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bfd603ef1bdabb2/Desktop/customer-intelligence-platform/data/raw/"/>
    </mc:Choice>
  </mc:AlternateContent>
  <xr:revisionPtr revIDLastSave="532" documentId="8_{396AB1AD-E550-4EF6-A796-D58DE5FC1204}" xr6:coauthVersionLast="47" xr6:coauthVersionMax="47" xr10:uidLastSave="{F356A0B6-55F7-41DF-9E75-6DC11AC10AFA}"/>
  <bookViews>
    <workbookView minimized="1" xWindow="3000" yWindow="3000" windowWidth="17280" windowHeight="8880" firstSheet="1" activeTab="8" xr2:uid="{C50F9214-BF02-4FB9-8C3E-197F79C4701F}"/>
  </bookViews>
  <sheets>
    <sheet name="Customers" sheetId="1" r:id="rId1"/>
    <sheet name="Products" sheetId="2" r:id="rId2"/>
    <sheet name="Orders" sheetId="3" r:id="rId3"/>
    <sheet name="Sheet2" sheetId="6" r:id="rId4"/>
    <sheet name="Sheet1" sheetId="7" r:id="rId5"/>
    <sheet name="Sheet7" sheetId="12" r:id="rId6"/>
    <sheet name="Product_Summary" sheetId="13" r:id="rId7"/>
    <sheet name="Sheet9" sheetId="14" r:id="rId8"/>
    <sheet name="Order_Items" sheetId="4" r:id="rId9"/>
  </sheets>
  <definedNames>
    <definedName name="Slicer_product_id">#N/A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F4" i="4"/>
  <c r="F5" i="4"/>
  <c r="F6" i="4"/>
  <c r="F7" i="4"/>
  <c r="F8" i="4"/>
  <c r="F9" i="4"/>
  <c r="F10" i="4"/>
  <c r="F11" i="4"/>
  <c r="F12" i="4"/>
  <c r="C3" i="3"/>
  <c r="C4" i="3"/>
  <c r="C5" i="3"/>
  <c r="C6" i="3"/>
  <c r="C7" i="3"/>
  <c r="C8" i="3"/>
  <c r="C9" i="3"/>
  <c r="C10" i="3"/>
  <c r="E11" i="2"/>
  <c r="D15" i="2"/>
  <c r="B11" i="13"/>
  <c r="B3" i="13"/>
  <c r="B4" i="13"/>
  <c r="B5" i="13"/>
  <c r="B6" i="13"/>
  <c r="B7" i="13"/>
  <c r="B8" i="13"/>
  <c r="B9" i="13"/>
  <c r="B10" i="13"/>
  <c r="B2" i="13"/>
  <c r="G19" i="1"/>
  <c r="G18" i="1"/>
  <c r="G17" i="1"/>
  <c r="G16" i="1"/>
  <c r="G15" i="1"/>
  <c r="G13" i="1"/>
  <c r="E20" i="1"/>
  <c r="E19" i="1"/>
  <c r="B19" i="1"/>
  <c r="B18" i="1"/>
  <c r="B16" i="1"/>
  <c r="B15" i="1"/>
  <c r="E17" i="1"/>
  <c r="E16" i="1"/>
  <c r="E14" i="4"/>
  <c r="E12" i="1"/>
  <c r="H12"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B13" i="1"/>
  <c r="D13" i="2"/>
  <c r="A11" i="1"/>
  <c r="C11"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F2" i="4"/>
  <c r="D3" i="4"/>
  <c r="D4" i="4"/>
  <c r="D5" i="4"/>
  <c r="D6" i="4"/>
  <c r="D7" i="4"/>
  <c r="D8" i="4"/>
  <c r="D9" i="4"/>
  <c r="D10" i="4"/>
  <c r="D11" i="4"/>
  <c r="D12" i="4"/>
  <c r="D2" i="4"/>
  <c r="B12" i="4"/>
  <c r="C12" i="4" s="1"/>
  <c r="B3" i="4"/>
  <c r="E3" i="4" s="1"/>
  <c r="B4" i="4"/>
  <c r="C4" i="4" s="1"/>
  <c r="B5" i="4"/>
  <c r="C5" i="4" s="1"/>
  <c r="B6" i="4"/>
  <c r="C6" i="4" s="1"/>
  <c r="B7" i="4"/>
  <c r="E7" i="4" s="1"/>
  <c r="B8" i="4"/>
  <c r="C8" i="4" s="1"/>
  <c r="B9" i="4"/>
  <c r="C9" i="4" s="1"/>
  <c r="B10" i="4"/>
  <c r="C10" i="4" s="1"/>
  <c r="B11" i="4"/>
  <c r="E11" i="4" s="1"/>
  <c r="B2" i="4"/>
  <c r="C2" i="4" s="1"/>
  <c r="A3" i="4"/>
  <c r="A4" i="4"/>
  <c r="A5" i="4"/>
  <c r="A6" i="4"/>
  <c r="A7" i="4"/>
  <c r="A8" i="4"/>
  <c r="A9" i="4"/>
  <c r="A10" i="4"/>
  <c r="A11" i="4"/>
  <c r="A12" i="4"/>
  <c r="A2" i="4"/>
  <c r="C2" i="3"/>
  <c r="B3" i="3"/>
  <c r="B4" i="3"/>
  <c r="B5" i="3"/>
  <c r="B6" i="3"/>
  <c r="B7" i="3"/>
  <c r="B8" i="3"/>
  <c r="B9" i="3"/>
  <c r="B10" i="3"/>
  <c r="B2" i="3"/>
  <c r="A3" i="3"/>
  <c r="A4" i="3"/>
  <c r="A5" i="3"/>
  <c r="A6" i="3"/>
  <c r="A7" i="3"/>
  <c r="A8" i="3"/>
  <c r="A9" i="3"/>
  <c r="A10" i="3"/>
  <c r="A2" i="3"/>
  <c r="E5" i="2"/>
  <c r="E10" i="2"/>
  <c r="E3" i="2"/>
  <c r="E4" i="2"/>
  <c r="E6" i="2"/>
  <c r="E9" i="2"/>
  <c r="E7" i="2"/>
  <c r="E8" i="2"/>
  <c r="E2" i="2"/>
  <c r="E15" i="2" s="1"/>
  <c r="A8" i="2"/>
  <c r="A5" i="2"/>
  <c r="A11" i="2"/>
  <c r="A10" i="2"/>
  <c r="A3" i="2"/>
  <c r="A4" i="2"/>
  <c r="A6" i="2"/>
  <c r="A9" i="2"/>
  <c r="A7" i="2"/>
  <c r="A2" i="2"/>
  <c r="C7" i="1"/>
  <c r="C6" i="1"/>
  <c r="C8" i="1"/>
  <c r="C5" i="1"/>
  <c r="C10" i="1"/>
  <c r="C4" i="1"/>
  <c r="C2" i="1"/>
  <c r="C9" i="1"/>
  <c r="C3" i="1"/>
  <c r="A7" i="1"/>
  <c r="A6" i="1"/>
  <c r="A8" i="1"/>
  <c r="A5" i="1"/>
  <c r="A10" i="1"/>
  <c r="A4" i="1"/>
  <c r="A2" i="1"/>
  <c r="A9" i="1"/>
  <c r="A3" i="1"/>
  <c r="A12" i="1"/>
  <c r="I6" i="4" l="1"/>
  <c r="I4" i="4"/>
  <c r="I10" i="4"/>
  <c r="I9" i="4"/>
  <c r="I8" i="4"/>
  <c r="I2" i="4"/>
  <c r="I7" i="4"/>
  <c r="I5" i="4"/>
  <c r="I12" i="4"/>
  <c r="I11" i="4"/>
  <c r="I3" i="4"/>
  <c r="H9" i="4"/>
  <c r="H8" i="4"/>
  <c r="H7" i="4"/>
  <c r="H6" i="4"/>
  <c r="H5" i="4"/>
  <c r="H2" i="4"/>
  <c r="H12" i="4"/>
  <c r="H4" i="4"/>
  <c r="H11" i="4"/>
  <c r="H3" i="4"/>
  <c r="H10" i="4"/>
  <c r="C7" i="4"/>
  <c r="C11" i="4"/>
  <c r="C3" i="4"/>
  <c r="D16" i="4"/>
  <c r="C16" i="4"/>
  <c r="C14" i="4"/>
  <c r="C15" i="4"/>
  <c r="C13" i="1"/>
  <c r="H13" i="1" s="1"/>
  <c r="E2" i="4"/>
  <c r="G2" i="4" s="1"/>
  <c r="E4" i="4"/>
  <c r="G4" i="4" s="1"/>
  <c r="E10" i="4"/>
  <c r="G10" i="4" s="1"/>
  <c r="E12" i="4"/>
  <c r="G12" i="4" s="1"/>
  <c r="E9" i="4"/>
  <c r="G9" i="4" s="1"/>
  <c r="E8" i="4"/>
  <c r="G8" i="4" s="1"/>
  <c r="E6" i="4"/>
  <c r="G6" i="4" s="1"/>
  <c r="E5" i="4"/>
  <c r="G5" i="4" s="1"/>
  <c r="G11" i="4"/>
  <c r="G3" i="4"/>
  <c r="G7" i="4"/>
  <c r="C10" i="13" l="1"/>
  <c r="C8" i="13"/>
  <c r="C3" i="13"/>
  <c r="C7" i="13"/>
  <c r="C9" i="13"/>
  <c r="C5" i="13"/>
  <c r="C11" i="13"/>
  <c r="C6" i="13"/>
  <c r="C2" i="13"/>
  <c r="C4" i="13"/>
  <c r="J2" i="4"/>
  <c r="J3" i="4"/>
  <c r="J4" i="4"/>
  <c r="J11" i="4"/>
  <c r="J6" i="4"/>
  <c r="J12" i="4"/>
  <c r="J9" i="4"/>
  <c r="J10" i="4"/>
  <c r="J5" i="4"/>
  <c r="J8" i="4"/>
  <c r="J7" i="4"/>
  <c r="F14" i="4"/>
  <c r="D18" i="4"/>
  <c r="D11" i="13" l="1"/>
  <c r="D5" i="13"/>
  <c r="D6" i="13"/>
  <c r="D9" i="13"/>
  <c r="D3" i="13"/>
  <c r="D7" i="13"/>
  <c r="D4" i="13"/>
  <c r="D2" i="13"/>
  <c r="D10" i="13"/>
  <c r="D8" i="13"/>
</calcChain>
</file>

<file path=xl/sharedStrings.xml><?xml version="1.0" encoding="utf-8"?>
<sst xmlns="http://schemas.openxmlformats.org/spreadsheetml/2006/main" count="16513" uniqueCount="16455">
  <si>
    <t>customer_id</t>
  </si>
  <si>
    <t>name</t>
  </si>
  <si>
    <t>age</t>
  </si>
  <si>
    <t>gender</t>
  </si>
  <si>
    <t>city</t>
  </si>
  <si>
    <t>region</t>
  </si>
  <si>
    <t>Rahul Sharma</t>
  </si>
  <si>
    <t>Male</t>
  </si>
  <si>
    <t>Kolkata</t>
  </si>
  <si>
    <t>East</t>
  </si>
  <si>
    <t>signup_date</t>
  </si>
  <si>
    <t>Priya Singh</t>
  </si>
  <si>
    <t>Tanya Kumari</t>
  </si>
  <si>
    <t>Ashish Singh Parmar</t>
  </si>
  <si>
    <t>Ajit Prasad</t>
  </si>
  <si>
    <t>Manvi Singh</t>
  </si>
  <si>
    <t>Sonali Singh</t>
  </si>
  <si>
    <t>Krish Kumar</t>
  </si>
  <si>
    <t>Mishruuuuu</t>
  </si>
  <si>
    <t>Female</t>
  </si>
  <si>
    <t>Other</t>
  </si>
  <si>
    <t>Delhi</t>
  </si>
  <si>
    <t>Bangalore</t>
  </si>
  <si>
    <t>Pune</t>
  </si>
  <si>
    <t>North</t>
  </si>
  <si>
    <t>South</t>
  </si>
  <si>
    <t>West</t>
  </si>
  <si>
    <t>product_id</t>
  </si>
  <si>
    <t>product_name</t>
  </si>
  <si>
    <t>category</t>
  </si>
  <si>
    <t>price</t>
  </si>
  <si>
    <t>cost</t>
  </si>
  <si>
    <t>Wireless Mouse</t>
  </si>
  <si>
    <t>Keyboard</t>
  </si>
  <si>
    <t>Headphones</t>
  </si>
  <si>
    <t>Webcam</t>
  </si>
  <si>
    <t>Laptop Stand</t>
  </si>
  <si>
    <t>Backpack</t>
  </si>
  <si>
    <t>Water Bottle</t>
  </si>
  <si>
    <t>Running Shoes</t>
  </si>
  <si>
    <t>Desk Lamp</t>
  </si>
  <si>
    <t>Electronics</t>
  </si>
  <si>
    <t>Home</t>
  </si>
  <si>
    <t>Clothing</t>
  </si>
  <si>
    <t>Sports</t>
  </si>
  <si>
    <t>Accessories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</si>
  <si>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</si>
  <si>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</si>
  <si>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</si>
  <si>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</si>
  <si>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</si>
  <si>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</si>
  <si>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</si>
  <si>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</si>
  <si>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</si>
  <si>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</si>
  <si>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</si>
  <si>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</si>
  <si>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</si>
  <si>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</si>
  <si>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</si>
  <si>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</si>
  <si>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</si>
  <si>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</si>
  <si>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</si>
  <si>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</si>
  <si>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</si>
  <si>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</si>
  <si>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</si>
  <si>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</si>
  <si>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</si>
  <si>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</si>
  <si>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</si>
  <si>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</si>
  <si>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</si>
  <si>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</si>
  <si>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</si>
  <si>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</si>
  <si>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</si>
  <si>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</si>
  <si>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</si>
  <si>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</si>
  <si>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</si>
  <si>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</si>
  <si>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</si>
  <si>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</si>
  <si>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</si>
  <si>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</si>
  <si>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</si>
  <si>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</si>
  <si>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</si>
  <si>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</si>
  <si>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</si>
  <si>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</si>
  <si>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</si>
  <si>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</si>
  <si>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</si>
  <si>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</si>
  <si>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</si>
  <si>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</si>
  <si>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</si>
  <si>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</si>
  <si>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</si>
  <si>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</si>
  <si>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</si>
  <si>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</si>
  <si>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</si>
  <si>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</si>
  <si>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</si>
  <si>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</si>
  <si>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</si>
  <si>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</si>
  <si>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</si>
  <si>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</si>
  <si>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</si>
  <si>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</si>
  <si>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</si>
  <si>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</si>
  <si>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</si>
  <si>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</si>
  <si>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</si>
  <si>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</si>
  <si>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</si>
  <si>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</si>
  <si>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</si>
  <si>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</si>
  <si>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</si>
  <si>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</si>
  <si>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</si>
  <si>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</si>
  <si>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</si>
  <si>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</si>
  <si>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</si>
  <si>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</si>
  <si>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</si>
  <si>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</si>
  <si>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</si>
  <si>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</si>
  <si>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</si>
  <si>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</si>
  <si>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</si>
  <si>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</si>
  <si>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</si>
  <si>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</si>
  <si>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</si>
  <si>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</si>
  <si>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</si>
  <si>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</si>
  <si>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</si>
  <si>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</si>
  <si>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</si>
  <si>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</si>
  <si>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</si>
  <si>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</si>
  <si>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</si>
  <si>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</si>
  <si>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</si>
  <si>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</si>
  <si>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</si>
  <si>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</si>
  <si>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</si>
  <si>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</si>
  <si>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</si>
  <si>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</si>
  <si>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</si>
  <si>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</si>
  <si>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</si>
  <si>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</si>
  <si>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</si>
  <si>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</si>
  <si>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</si>
  <si>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</si>
  <si>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</si>
  <si>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</si>
  <si>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</si>
  <si>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</si>
  <si>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</si>
  <si>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</si>
  <si>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</si>
  <si>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</si>
  <si>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</si>
  <si>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</si>
  <si>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</si>
  <si>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</si>
  <si>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</si>
  <si>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</si>
  <si>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</si>
  <si>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</si>
  <si>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</si>
  <si>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</si>
  <si>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</si>
  <si>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</si>
  <si>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</si>
  <si>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</si>
  <si>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</si>
  <si>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</si>
  <si>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</si>
  <si>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</si>
  <si>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</si>
  <si>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</si>
  <si>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</si>
  <si>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</si>
  <si>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</si>
  <si>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</si>
  <si>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</si>
  <si>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</si>
  <si>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</si>
  <si>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</si>
  <si>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</si>
  <si>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</si>
  <si>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</si>
  <si>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</si>
  <si>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</si>
  <si>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</si>
  <si>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</si>
  <si>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</si>
  <si>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</si>
  <si>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</si>
  <si>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</si>
  <si>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</si>
  <si>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</si>
  <si>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</si>
  <si>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</si>
  <si>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</si>
  <si>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</si>
  <si>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</si>
  <si>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</si>
  <si>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</si>
  <si>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</si>
  <si>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</si>
  <si>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</si>
  <si>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</si>
  <si>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</si>
  <si>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</si>
  <si>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</si>
  <si>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</si>
  <si>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</si>
  <si>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</si>
  <si>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</si>
  <si>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</si>
  <si>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</si>
  <si>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</si>
  <si>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</si>
  <si>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</si>
  <si>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</si>
  <si>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</si>
  <si>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</si>
  <si>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</si>
  <si>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</si>
  <si>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</si>
  <si>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</si>
  <si>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</si>
  <si>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</si>
  <si>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</si>
  <si>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</si>
  <si>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</si>
  <si>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</si>
  <si>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</si>
  <si>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</si>
  <si>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</si>
  <si>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</si>
  <si>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</si>
  <si>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</si>
  <si>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</si>
  <si>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</si>
  <si>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</si>
  <si>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</si>
  <si>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</si>
  <si>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</si>
  <si>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</si>
  <si>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</si>
  <si>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</si>
  <si>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</si>
  <si>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</si>
  <si>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</si>
  <si>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</si>
  <si>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</si>
  <si>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</si>
  <si>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</si>
  <si>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</si>
  <si>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</si>
  <si>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</si>
  <si>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</si>
  <si>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</si>
  <si>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</si>
  <si>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</si>
  <si>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</si>
  <si>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</si>
  <si>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</si>
  <si>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</si>
  <si>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</si>
  <si>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</si>
  <si>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</si>
  <si>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</si>
  <si>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</si>
  <si>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</si>
  <si>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</si>
  <si>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</si>
  <si>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</si>
  <si>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</si>
  <si>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</si>
  <si>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</si>
  <si>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</si>
  <si>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</si>
  <si>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</si>
  <si>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</si>
  <si>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</si>
  <si>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</si>
  <si>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</si>
  <si>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</si>
  <si>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</si>
  <si>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</si>
  <si>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</si>
  <si>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</si>
  <si>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</si>
  <si>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</si>
  <si>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</si>
  <si>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</si>
  <si>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</si>
  <si>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</si>
  <si>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</si>
  <si>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</si>
  <si>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</si>
  <si>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</si>
  <si>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</si>
  <si>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</si>
  <si>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</si>
  <si>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</si>
  <si>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</si>
  <si>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</si>
  <si>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</si>
  <si>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</si>
  <si>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</si>
  <si>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</si>
  <si>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</si>
  <si>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</si>
  <si>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</si>
  <si>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</si>
  <si>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</si>
  <si>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</si>
  <si>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</si>
  <si>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</si>
  <si>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</si>
  <si>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</si>
  <si>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</si>
  <si>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</si>
  <si>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</si>
  <si>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</si>
  <si>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</si>
  <si>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</si>
  <si>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</si>
  <si>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</si>
  <si>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</si>
  <si>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</si>
  <si>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</si>
  <si>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</si>
  <si>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</si>
  <si>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</si>
  <si>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</si>
  <si>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</si>
  <si>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</si>
  <si>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</si>
  <si>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</si>
  <si>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</si>
  <si>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</si>
  <si>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</si>
  <si>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</si>
  <si>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</si>
  <si>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</si>
  <si>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</si>
  <si>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</si>
  <si>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</si>
  <si>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</si>
  <si>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</si>
  <si>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</si>
  <si>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</si>
  <si>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</si>
  <si>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</si>
  <si>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</si>
  <si>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</si>
  <si>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</si>
  <si>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</si>
  <si>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</si>
  <si>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</si>
  <si>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</si>
  <si>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</si>
  <si>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</si>
  <si>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</si>
  <si>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</si>
  <si>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</si>
  <si>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</si>
  <si>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</si>
  <si>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</si>
  <si>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</si>
  <si>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</si>
  <si>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</si>
  <si>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</si>
  <si>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</si>
  <si>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</si>
  <si>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</si>
  <si>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</si>
  <si>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</si>
  <si>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</si>
  <si>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</si>
  <si>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</si>
  <si>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</si>
  <si>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</si>
  <si>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</si>
  <si>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</si>
  <si>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</si>
  <si>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</si>
  <si>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</si>
  <si>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</si>
  <si>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</si>
  <si>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</si>
  <si>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</si>
  <si>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</si>
  <si>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</si>
  <si>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</si>
  <si>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</si>
  <si>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</si>
  <si>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</si>
  <si>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</si>
  <si>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</si>
  <si>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</si>
  <si>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</si>
  <si>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</si>
  <si>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</si>
  <si>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</si>
  <si>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</si>
  <si>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</si>
  <si>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</si>
  <si>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</si>
  <si>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</si>
  <si>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</si>
  <si>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</si>
  <si>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</si>
  <si>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</si>
  <si>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</si>
  <si>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</si>
  <si>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</si>
  <si>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</si>
  <si>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</si>
  <si>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</si>
  <si>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</si>
  <si>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</si>
  <si>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</si>
  <si>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</si>
  <si>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</si>
  <si>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</si>
  <si>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</si>
  <si>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</si>
  <si>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</si>
  <si>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</si>
  <si>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</si>
  <si>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</si>
  <si>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</si>
  <si>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</si>
  <si>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</si>
  <si>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</si>
  <si>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</si>
  <si>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</si>
  <si>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</si>
  <si>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</si>
  <si>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</si>
  <si>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</si>
  <si>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</si>
  <si>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</si>
  <si>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</si>
  <si>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</si>
  <si>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</si>
  <si>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</si>
  <si>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</si>
  <si>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</si>
  <si>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</si>
  <si>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</si>
  <si>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</si>
  <si>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</si>
  <si>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</si>
  <si>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</si>
  <si>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</si>
  <si>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</si>
  <si>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</si>
  <si>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</si>
  <si>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</si>
  <si>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</si>
  <si>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</si>
  <si>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</si>
  <si>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</si>
  <si>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</si>
  <si>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</si>
  <si>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</si>
  <si>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</si>
  <si>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</si>
  <si>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</si>
  <si>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</si>
  <si>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</si>
  <si>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</si>
  <si>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</si>
  <si>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</si>
  <si>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</si>
  <si>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</si>
  <si>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</si>
  <si>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</si>
  <si>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</si>
  <si>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</si>
  <si>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</si>
  <si>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</si>
  <si>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</si>
  <si>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</si>
  <si>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</si>
  <si>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</si>
  <si>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</si>
  <si>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</si>
  <si>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</si>
  <si>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</si>
  <si>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</si>
  <si>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</si>
  <si>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</si>
  <si>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</si>
  <si>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</si>
  <si>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</si>
  <si>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</si>
  <si>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</si>
  <si>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</si>
  <si>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</si>
  <si>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</si>
  <si>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</si>
  <si>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</si>
  <si>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</si>
  <si>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</si>
  <si>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</si>
  <si>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</si>
  <si>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</si>
  <si>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</si>
  <si>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</si>
  <si>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</si>
  <si>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</si>
  <si>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</si>
  <si>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</si>
  <si>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</si>
  <si>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</si>
  <si>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</si>
  <si>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</si>
  <si>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</si>
  <si>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</si>
  <si>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</si>
  <si>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</si>
  <si>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</si>
  <si>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</si>
  <si>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</si>
  <si>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</si>
  <si>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</si>
  <si>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</si>
  <si>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</si>
  <si>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</si>
  <si>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</si>
  <si>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</si>
  <si>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</si>
  <si>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</si>
  <si>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</si>
  <si>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</si>
  <si>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</si>
  <si>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</si>
  <si>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</si>
  <si>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</si>
  <si>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</si>
  <si>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</si>
  <si>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</si>
  <si>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</si>
  <si>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</si>
  <si>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</si>
  <si>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</si>
  <si>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</si>
  <si>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</si>
  <si>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</si>
  <si>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</si>
  <si>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</si>
  <si>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</si>
  <si>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</si>
  <si>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</si>
  <si>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</si>
  <si>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</si>
  <si>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</si>
  <si>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</si>
  <si>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</si>
  <si>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</si>
  <si>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</si>
  <si>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</si>
  <si>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</si>
  <si>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</si>
  <si>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</si>
  <si>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</si>
  <si>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</si>
  <si>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</si>
  <si>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</si>
  <si>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</si>
  <si>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</si>
  <si>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</si>
  <si>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</si>
  <si>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</si>
  <si>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</si>
  <si>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</si>
  <si>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</si>
  <si>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</si>
  <si>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</si>
  <si>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</si>
  <si>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</si>
  <si>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</si>
  <si>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</si>
  <si>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</si>
  <si>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</si>
  <si>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</si>
  <si>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</si>
  <si>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</si>
  <si>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</si>
  <si>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</si>
  <si>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</si>
  <si>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</si>
  <si>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</si>
  <si>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</si>
  <si>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</si>
  <si>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</si>
  <si>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</si>
  <si>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</si>
  <si>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</si>
  <si>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</si>
  <si>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</si>
  <si>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</si>
  <si>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</si>
  <si>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</si>
  <si>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</si>
  <si>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</si>
  <si>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</si>
  <si>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</si>
  <si>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</si>
  <si>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</si>
  <si>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</si>
  <si>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</si>
  <si>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</si>
  <si>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</si>
  <si>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</si>
  <si>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</si>
  <si>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</si>
  <si>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</si>
  <si>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</si>
  <si>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</si>
  <si>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</si>
  <si>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</si>
  <si>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</si>
  <si>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</si>
  <si>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</si>
  <si>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</si>
  <si>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</si>
  <si>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</si>
  <si>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</si>
  <si>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</si>
  <si>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</si>
  <si>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</si>
  <si>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</si>
  <si>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</si>
  <si>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</si>
  <si>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</si>
  <si>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</si>
  <si>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</si>
  <si>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</si>
  <si>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</si>
  <si>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</si>
  <si>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</si>
  <si>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</si>
  <si>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</si>
  <si>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</si>
  <si>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</si>
  <si>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</si>
  <si>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</si>
  <si>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</si>
  <si>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</si>
  <si>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</si>
  <si>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</si>
  <si>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</si>
  <si>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</si>
  <si>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</si>
  <si>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</si>
  <si>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</si>
  <si>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</si>
  <si>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</si>
  <si>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</si>
  <si>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</si>
  <si>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</si>
  <si>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</si>
  <si>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</si>
  <si>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</si>
  <si>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</si>
  <si>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</si>
  <si>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</si>
  <si>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</si>
  <si>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</si>
  <si>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</si>
  <si>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</si>
  <si>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</si>
  <si>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</si>
  <si>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</si>
  <si>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</si>
  <si>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</si>
  <si>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</si>
  <si>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</si>
  <si>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</si>
  <si>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</si>
  <si>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</si>
  <si>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</si>
  <si>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</si>
  <si>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</si>
  <si>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</si>
  <si>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</si>
  <si>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</si>
  <si>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</si>
  <si>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</si>
  <si>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</si>
  <si>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</si>
  <si>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</si>
  <si>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</si>
  <si>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</si>
  <si>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</si>
  <si>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</si>
  <si>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</si>
  <si>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</si>
  <si>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</si>
  <si>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</si>
  <si>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</si>
  <si>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</si>
  <si>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</si>
  <si>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</si>
  <si>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</si>
  <si>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</si>
  <si>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</si>
  <si>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</si>
  <si>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</si>
  <si>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</si>
  <si>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</si>
  <si>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</si>
  <si>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</si>
  <si>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</si>
  <si>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</si>
  <si>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</si>
  <si>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</si>
  <si>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</si>
  <si>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</si>
  <si>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</si>
  <si>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</si>
  <si>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</si>
  <si>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</si>
  <si>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</si>
  <si>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</si>
  <si>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</si>
  <si>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</si>
  <si>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</si>
  <si>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</si>
  <si>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</si>
  <si>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</si>
  <si>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</si>
  <si>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</si>
  <si>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</si>
  <si>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</si>
  <si>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</si>
  <si>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</si>
  <si>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</si>
  <si>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</si>
  <si>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</si>
  <si>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</si>
  <si>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</si>
  <si>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</si>
  <si>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</si>
  <si>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</si>
  <si>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</si>
  <si>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</si>
  <si>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</si>
  <si>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</si>
  <si>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</si>
  <si>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</si>
  <si>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</si>
  <si>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</si>
  <si>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</si>
  <si>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</si>
  <si>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</si>
  <si>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</si>
  <si>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</si>
  <si>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</si>
  <si>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</si>
  <si>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</si>
  <si>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</si>
  <si>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</si>
  <si>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</si>
  <si>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</si>
  <si>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</si>
  <si>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</si>
  <si>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</si>
  <si>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</si>
  <si>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</si>
  <si>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</si>
  <si>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</si>
  <si>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</si>
  <si>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</si>
  <si>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</si>
  <si>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</si>
  <si>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</si>
  <si>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</si>
  <si>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</si>
  <si>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</si>
  <si>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</si>
  <si>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</si>
  <si>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</si>
  <si>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</si>
  <si>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</si>
  <si>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</si>
  <si>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</si>
  <si>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</si>
  <si>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</si>
  <si>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</si>
  <si>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</si>
  <si>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</si>
  <si>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</si>
  <si>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</si>
  <si>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</si>
  <si>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</si>
  <si>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</si>
  <si>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</si>
  <si>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</si>
  <si>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</si>
  <si>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</si>
  <si>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</si>
  <si>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</si>
  <si>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</si>
  <si>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</si>
  <si>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</si>
  <si>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</si>
  <si>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</si>
  <si>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</si>
  <si>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</si>
  <si>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</si>
  <si>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</si>
  <si>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</si>
  <si>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</si>
  <si>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</si>
  <si>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</si>
  <si>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</si>
  <si>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</si>
  <si>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</si>
  <si>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</si>
  <si>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</si>
  <si>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</si>
  <si>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</si>
  <si>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</si>
  <si>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</si>
  <si>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</si>
  <si>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</si>
  <si>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</si>
  <si>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</si>
  <si>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</si>
  <si>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</si>
  <si>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</si>
  <si>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</si>
  <si>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</si>
  <si>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</si>
  <si>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</si>
  <si>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</si>
  <si>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</si>
  <si>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</si>
  <si>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</si>
  <si>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</si>
  <si>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</si>
  <si>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</si>
  <si>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</si>
  <si>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</si>
  <si>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</si>
  <si>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</si>
  <si>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</si>
  <si>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</si>
  <si>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</si>
  <si>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</si>
  <si>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</si>
  <si>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</si>
  <si>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</si>
  <si>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</si>
  <si>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</si>
  <si>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</si>
  <si>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</si>
  <si>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</si>
  <si>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</si>
  <si>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</si>
  <si>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</si>
  <si>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</si>
  <si>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</si>
  <si>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</si>
  <si>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</si>
  <si>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</si>
  <si>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</si>
  <si>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</si>
  <si>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</si>
  <si>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</si>
  <si>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</si>
  <si>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</si>
  <si>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</si>
  <si>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</si>
  <si>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</si>
  <si>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</si>
  <si>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</si>
  <si>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</si>
  <si>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</si>
  <si>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</si>
  <si>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</si>
  <si>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</si>
  <si>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</si>
  <si>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</si>
  <si>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</si>
  <si>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</si>
  <si>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</si>
  <si>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</si>
  <si>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</si>
  <si>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</si>
  <si>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</si>
  <si>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</si>
  <si>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</si>
  <si>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</si>
  <si>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</si>
  <si>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</si>
  <si>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</si>
  <si>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</si>
  <si>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</si>
  <si>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</si>
  <si>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</si>
  <si>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</si>
  <si>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</si>
  <si>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</si>
  <si>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</si>
  <si>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</si>
  <si>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</si>
  <si>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</si>
  <si>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</si>
  <si>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</si>
  <si>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</si>
  <si>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</si>
  <si>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</si>
  <si>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</si>
  <si>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</si>
  <si>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</si>
  <si>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</si>
  <si>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</si>
  <si>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</si>
  <si>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</si>
  <si>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</si>
  <si>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</si>
  <si>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</si>
  <si>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</si>
  <si>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</si>
  <si>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</si>
  <si>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</si>
  <si>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</si>
  <si>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</si>
  <si>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</si>
  <si>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</si>
  <si>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</si>
  <si>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</si>
  <si>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</si>
  <si>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</si>
  <si>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</si>
  <si>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</si>
  <si>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</si>
  <si>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</si>
  <si>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</si>
  <si>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</si>
  <si>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</si>
  <si>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</si>
  <si>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</si>
  <si>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</si>
  <si>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</si>
  <si>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</si>
  <si>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</si>
  <si>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</si>
  <si>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</si>
  <si>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</si>
  <si>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</si>
  <si>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</si>
  <si>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</si>
  <si>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</si>
  <si>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</si>
  <si>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</si>
  <si>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</si>
  <si>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</si>
  <si>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</si>
  <si>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</si>
  <si>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</si>
  <si>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</si>
  <si>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</si>
  <si>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</si>
  <si>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</si>
  <si>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</si>
  <si>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</si>
  <si>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</si>
  <si>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</si>
  <si>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</si>
  <si>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</si>
  <si>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</si>
  <si>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</si>
  <si>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</si>
  <si>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</si>
  <si>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</si>
  <si>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</si>
  <si>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</si>
  <si>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</si>
  <si>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</si>
  <si>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</si>
  <si>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</si>
  <si>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</si>
  <si>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</si>
  <si>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</si>
  <si>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</si>
  <si>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</si>
  <si>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</si>
  <si>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</si>
  <si>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</si>
  <si>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</si>
  <si>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</si>
  <si>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</si>
  <si>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</si>
  <si>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</si>
  <si>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</si>
  <si>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</si>
  <si>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</si>
  <si>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</si>
  <si>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</si>
  <si>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</si>
  <si>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</si>
  <si>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</si>
  <si>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</si>
  <si>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</si>
  <si>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</si>
  <si>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</si>
  <si>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</si>
  <si>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</si>
  <si>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</si>
  <si>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</si>
  <si>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</si>
  <si>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</si>
  <si>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</si>
  <si>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</si>
  <si>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</si>
  <si>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</si>
  <si>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</si>
  <si>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</si>
  <si>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</si>
  <si>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</si>
  <si>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</si>
  <si>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</si>
  <si>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</si>
  <si>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</si>
  <si>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</si>
  <si>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</si>
  <si>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</si>
  <si>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</si>
  <si>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</si>
  <si>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</si>
  <si>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</si>
  <si>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</si>
  <si>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</si>
  <si>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</si>
  <si>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</si>
  <si>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</si>
  <si>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</si>
  <si>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</si>
  <si>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</si>
  <si>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</si>
  <si>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</si>
  <si>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</si>
  <si>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</si>
  <si>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</si>
  <si>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</si>
  <si>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</si>
  <si>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</si>
  <si>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</si>
  <si>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</si>
  <si>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</si>
  <si>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</si>
  <si>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</si>
  <si>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</si>
  <si>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</si>
  <si>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</si>
  <si>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</si>
  <si>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</si>
  <si>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</si>
  <si>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</si>
  <si>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</si>
  <si>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</si>
  <si>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</si>
  <si>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</si>
  <si>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</si>
  <si>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</si>
  <si>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</si>
  <si>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</si>
  <si>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</si>
  <si>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</si>
  <si>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</si>
  <si>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</si>
  <si>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</si>
  <si>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</si>
  <si>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</si>
  <si>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</si>
  <si>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</si>
  <si>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</si>
  <si>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</si>
  <si>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</si>
  <si>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</si>
  <si>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</si>
  <si>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</si>
  <si>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</si>
  <si>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</si>
  <si>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</si>
  <si>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</si>
  <si>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</si>
  <si>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</si>
  <si>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</si>
  <si>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</si>
  <si>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</si>
  <si>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</si>
  <si>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</si>
  <si>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</si>
  <si>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</si>
  <si>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</si>
  <si>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</si>
  <si>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</si>
  <si>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</si>
  <si>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</si>
  <si>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</si>
  <si>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</si>
  <si>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</si>
  <si>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</si>
  <si>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</si>
  <si>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</si>
  <si>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</si>
  <si>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</si>
  <si>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</si>
  <si>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</si>
  <si>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</si>
  <si>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</si>
  <si>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</si>
  <si>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</si>
  <si>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</si>
  <si>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</si>
  <si>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</si>
  <si>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</si>
  <si>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</si>
  <si>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</si>
  <si>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</si>
  <si>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</si>
  <si>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</si>
  <si>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</si>
  <si>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</si>
  <si>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</si>
  <si>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</si>
  <si>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</si>
  <si>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</si>
  <si>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</si>
  <si>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</si>
  <si>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</si>
  <si>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</si>
  <si>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</si>
  <si>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</si>
  <si>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</si>
  <si>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</si>
  <si>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</si>
  <si>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</si>
  <si>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</si>
  <si>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</si>
  <si>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</si>
  <si>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</si>
  <si>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</si>
  <si>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</si>
  <si>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</si>
  <si>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</si>
  <si>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</si>
  <si>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</si>
  <si>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</si>
  <si>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</si>
  <si>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</si>
  <si>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</si>
  <si>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</si>
  <si>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</si>
  <si>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</si>
  <si>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</si>
  <si>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</si>
  <si>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</si>
  <si>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</si>
  <si>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</si>
  <si>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</si>
  <si>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</si>
  <si>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</si>
  <si>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</si>
  <si>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</si>
  <si>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</si>
  <si>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</si>
  <si>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</si>
  <si>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</si>
  <si>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</si>
  <si>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</si>
  <si>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</si>
  <si>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</si>
  <si>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</si>
  <si>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</si>
  <si>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</si>
  <si>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</si>
  <si>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</si>
  <si>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</si>
  <si>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</si>
  <si>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</si>
  <si>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</si>
  <si>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</si>
  <si>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</si>
  <si>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</si>
  <si>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</si>
  <si>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</si>
  <si>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</si>
  <si>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</si>
  <si>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</si>
  <si>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</si>
  <si>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</si>
  <si>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</si>
  <si>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</si>
  <si>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</si>
  <si>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</si>
  <si>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</si>
  <si>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</si>
  <si>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</si>
  <si>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</si>
  <si>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</si>
  <si>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</si>
  <si>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</si>
  <si>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</si>
  <si>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</si>
  <si>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</si>
  <si>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</si>
  <si>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</si>
  <si>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</si>
  <si>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</si>
  <si>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</si>
  <si>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</si>
  <si>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</si>
  <si>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</si>
  <si>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</si>
  <si>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</si>
  <si>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</si>
  <si>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</si>
  <si>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</si>
  <si>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</si>
  <si>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</si>
  <si>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</si>
  <si>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</si>
  <si>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</si>
  <si>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</si>
  <si>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</si>
  <si>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</si>
  <si>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</si>
  <si>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</si>
  <si>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</si>
  <si>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</si>
  <si>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</si>
  <si>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</si>
  <si>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</si>
  <si>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</si>
  <si>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</si>
  <si>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</si>
  <si>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</si>
  <si>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</si>
  <si>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</si>
  <si>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</si>
  <si>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</si>
  <si>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</si>
  <si>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</si>
  <si>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</si>
  <si>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</si>
  <si>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</si>
  <si>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</si>
  <si>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</si>
  <si>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</si>
  <si>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</si>
  <si>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</si>
  <si>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</si>
  <si>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</si>
  <si>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</si>
  <si>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</si>
  <si>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</si>
  <si>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</si>
  <si>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</si>
  <si>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</si>
  <si>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</si>
  <si>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</si>
  <si>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</si>
  <si>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</si>
  <si>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</si>
  <si>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</si>
  <si>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</si>
  <si>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</si>
  <si>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</si>
  <si>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</si>
  <si>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</si>
  <si>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</si>
  <si>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</si>
  <si>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</si>
  <si>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</si>
  <si>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</si>
  <si>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</si>
  <si>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</si>
  <si>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</si>
  <si>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</si>
  <si>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</si>
  <si>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</si>
  <si>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</si>
  <si>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</si>
  <si>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</si>
  <si>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</si>
  <si>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</si>
  <si>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</si>
  <si>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</si>
  <si>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</si>
  <si>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</si>
  <si>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</si>
  <si>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</si>
  <si>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</si>
  <si>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</si>
  <si>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</si>
  <si>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</si>
  <si>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</si>
  <si>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</si>
  <si>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</si>
  <si>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</si>
  <si>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</si>
  <si>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</si>
  <si>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</si>
  <si>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</si>
  <si>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</si>
  <si>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</si>
  <si>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</si>
  <si>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</si>
  <si>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</si>
  <si>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</si>
  <si>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</si>
  <si>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</si>
  <si>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</si>
  <si>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</si>
  <si>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</si>
  <si>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</si>
  <si>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</si>
  <si>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</si>
  <si>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</si>
  <si>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</si>
  <si>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</si>
  <si>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</si>
  <si>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</si>
  <si>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</si>
  <si>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</si>
  <si>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</si>
  <si>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</si>
  <si>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</si>
  <si>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</si>
  <si>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</si>
  <si>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</si>
  <si>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</si>
  <si>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</si>
  <si>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</si>
  <si>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</si>
  <si>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</si>
  <si>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</si>
  <si>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</si>
  <si>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</si>
  <si>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</si>
  <si>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</si>
  <si>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</si>
  <si>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</si>
  <si>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</si>
  <si>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</si>
  <si>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</si>
  <si>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</si>
  <si>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</si>
  <si>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</si>
  <si>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</si>
  <si>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</si>
  <si>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</si>
  <si>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</si>
  <si>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</si>
  <si>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</si>
  <si>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</si>
  <si>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</si>
  <si>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</si>
  <si>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</si>
  <si>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</si>
  <si>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</si>
  <si>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</si>
  <si>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</si>
  <si>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</si>
  <si>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</si>
  <si>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</si>
  <si>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</si>
  <si>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</si>
  <si>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</si>
  <si>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</si>
  <si>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</si>
  <si>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</si>
  <si>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</si>
  <si>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</si>
  <si>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</si>
  <si>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</si>
  <si>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</si>
  <si>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</si>
  <si>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</si>
  <si>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</si>
  <si>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</si>
  <si>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</si>
  <si>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</si>
  <si>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</si>
  <si>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</si>
  <si>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</si>
  <si>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</si>
  <si>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</si>
  <si>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</si>
  <si>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</si>
  <si>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</si>
  <si>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</si>
  <si>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</si>
  <si>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</si>
  <si>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</si>
  <si>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</si>
  <si>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</si>
  <si>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</si>
  <si>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</si>
  <si>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</si>
  <si>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</si>
  <si>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</si>
  <si>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</si>
  <si>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</si>
  <si>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</si>
  <si>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</si>
  <si>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</si>
  <si>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</si>
  <si>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</si>
  <si>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</si>
  <si>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</si>
  <si>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</si>
  <si>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</si>
  <si>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</si>
  <si>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</si>
  <si>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</si>
  <si>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</si>
  <si>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</si>
  <si>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</si>
  <si>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</si>
  <si>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</si>
  <si>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</si>
  <si>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</si>
  <si>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</si>
  <si>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</si>
  <si>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</si>
  <si>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</si>
  <si>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</si>
  <si>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</si>
  <si>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</si>
  <si>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</si>
  <si>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</si>
  <si>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</si>
  <si>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</si>
  <si>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</si>
  <si>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</si>
  <si>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</si>
  <si>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</si>
  <si>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</si>
  <si>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</si>
  <si>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</si>
  <si>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</si>
  <si>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</si>
  <si>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</si>
  <si>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</si>
  <si>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</si>
  <si>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</si>
  <si>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</si>
  <si>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</si>
  <si>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</si>
  <si>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</si>
  <si>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</si>
  <si>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</si>
  <si>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</si>
  <si>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</si>
  <si>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</si>
  <si>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</si>
  <si>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</si>
  <si>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</si>
  <si>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</si>
  <si>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</si>
  <si>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</si>
  <si>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</si>
  <si>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</si>
  <si>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</si>
  <si>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</si>
  <si>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</si>
  <si>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</si>
  <si>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</si>
  <si>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</si>
  <si>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</si>
  <si>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</si>
  <si>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</si>
  <si>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</si>
  <si>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</si>
  <si>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</si>
  <si>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</si>
  <si>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</si>
  <si>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</si>
  <si>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</si>
  <si>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</si>
  <si>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</si>
  <si>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</si>
  <si>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</si>
  <si>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</si>
  <si>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</si>
  <si>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</si>
  <si>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</si>
  <si>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</si>
  <si>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</si>
  <si>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</si>
  <si>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</si>
  <si>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</si>
  <si>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</si>
  <si>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</si>
  <si>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</si>
  <si>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</si>
  <si>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</si>
  <si>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</si>
  <si>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</si>
  <si>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</si>
  <si>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</si>
  <si>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</si>
  <si>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</si>
  <si>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</si>
  <si>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</si>
  <si>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</si>
  <si>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</si>
  <si>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</si>
  <si>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</si>
  <si>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</si>
  <si>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</si>
  <si>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</si>
  <si>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</si>
  <si>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</si>
  <si>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</si>
  <si>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</si>
  <si>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</si>
  <si>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</si>
  <si>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</si>
  <si>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</si>
  <si>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</si>
  <si>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</si>
  <si>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</si>
  <si>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</si>
  <si>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</si>
  <si>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</si>
  <si>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</si>
  <si>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</si>
  <si>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</si>
  <si>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</si>
  <si>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</si>
  <si>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</si>
  <si>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</si>
  <si>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</si>
  <si>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</si>
  <si>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</si>
  <si>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</si>
  <si>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</si>
  <si>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</si>
  <si>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</si>
  <si>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</si>
  <si>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</si>
  <si>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</si>
  <si>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</si>
  <si>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</si>
  <si>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</si>
  <si>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</si>
  <si>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</si>
  <si>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</si>
  <si>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</si>
  <si>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</si>
  <si>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</si>
  <si>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</si>
  <si>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</si>
  <si>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</si>
  <si>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</si>
  <si>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</si>
  <si>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</si>
  <si>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</si>
  <si>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</si>
  <si>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</si>
  <si>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</si>
  <si>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</si>
  <si>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</si>
  <si>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</si>
  <si>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</si>
  <si>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</si>
  <si>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</si>
  <si>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</si>
  <si>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</si>
  <si>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</si>
  <si>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</si>
  <si>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</si>
  <si>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</si>
  <si>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</si>
  <si>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</si>
  <si>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</si>
  <si>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</si>
  <si>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</si>
  <si>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</si>
  <si>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</si>
  <si>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</si>
  <si>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</si>
  <si>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</si>
  <si>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</si>
  <si>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</si>
  <si>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</si>
  <si>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</si>
  <si>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</si>
  <si>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</si>
  <si>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</si>
  <si>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</si>
  <si>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</si>
  <si>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</si>
  <si>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</si>
  <si>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</si>
  <si>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</si>
  <si>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</si>
  <si>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</si>
  <si>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</si>
  <si>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</si>
  <si>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</si>
  <si>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</si>
  <si>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</si>
  <si>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</si>
  <si>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</si>
  <si>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</si>
  <si>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</si>
  <si>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</si>
  <si>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</si>
  <si>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</si>
  <si>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</si>
  <si>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</si>
  <si>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</si>
  <si>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</si>
  <si>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</si>
  <si>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</si>
  <si>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</si>
  <si>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</si>
  <si>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</si>
  <si>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</si>
  <si>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</si>
  <si>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</si>
  <si>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</si>
  <si>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</si>
  <si>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</si>
  <si>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</si>
  <si>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</si>
  <si>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</si>
  <si>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</si>
  <si>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</si>
  <si>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</si>
  <si>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</si>
  <si>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</si>
  <si>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</si>
  <si>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</si>
  <si>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</si>
  <si>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</si>
  <si>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</si>
  <si>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</si>
  <si>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</si>
  <si>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</si>
  <si>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</si>
  <si>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</si>
  <si>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</si>
  <si>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</si>
  <si>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</si>
  <si>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</si>
  <si>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</si>
  <si>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</si>
  <si>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</si>
  <si>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</si>
  <si>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</si>
  <si>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</si>
  <si>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</si>
  <si>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</si>
  <si>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</si>
  <si>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</si>
  <si>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</si>
  <si>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</si>
  <si>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</si>
  <si>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</si>
  <si>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</si>
  <si>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</si>
  <si>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</si>
  <si>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</si>
  <si>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</si>
  <si>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</si>
  <si>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</si>
  <si>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</si>
  <si>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</si>
  <si>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</si>
  <si>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</si>
  <si>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</si>
  <si>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</si>
  <si>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</si>
  <si>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</si>
  <si>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</si>
  <si>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</si>
  <si>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</si>
  <si>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</si>
  <si>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</si>
  <si>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</si>
  <si>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</si>
  <si>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</si>
  <si>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</si>
  <si>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</si>
  <si>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</si>
  <si>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</si>
  <si>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</si>
  <si>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</si>
  <si>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</si>
  <si>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</si>
  <si>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</si>
  <si>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</si>
  <si>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</si>
  <si>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</si>
  <si>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</si>
  <si>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</si>
  <si>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</si>
  <si>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</si>
  <si>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</si>
  <si>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</si>
  <si>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</si>
  <si>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</si>
  <si>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</si>
  <si>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</si>
  <si>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</si>
  <si>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</si>
  <si>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</si>
  <si>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</si>
  <si>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</si>
  <si>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</si>
  <si>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</si>
  <si>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</si>
  <si>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</si>
  <si>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</si>
  <si>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</si>
  <si>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</si>
  <si>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</si>
  <si>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</si>
  <si>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</si>
  <si>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</si>
  <si>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</si>
  <si>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</si>
  <si>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</si>
  <si>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</si>
  <si>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</si>
  <si>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</si>
  <si>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</si>
  <si>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</si>
  <si>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</si>
  <si>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</si>
  <si>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</si>
  <si>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</si>
  <si>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</si>
  <si>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</si>
  <si>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</si>
  <si>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</si>
  <si>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</si>
  <si>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</si>
  <si>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</si>
  <si>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</si>
  <si>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</si>
  <si>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</si>
  <si>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</si>
  <si>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</si>
  <si>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</si>
  <si>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</si>
  <si>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</si>
  <si>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</si>
  <si>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</si>
  <si>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</si>
  <si>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</si>
  <si>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</si>
  <si>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</si>
  <si>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</si>
  <si>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</si>
  <si>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</si>
  <si>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</si>
  <si>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</si>
  <si>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</si>
  <si>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</si>
  <si>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</si>
  <si>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</si>
  <si>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</si>
  <si>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</si>
  <si>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</si>
  <si>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</si>
  <si>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</si>
  <si>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</si>
  <si>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</si>
  <si>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</si>
  <si>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</si>
  <si>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</si>
  <si>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</si>
  <si>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</si>
  <si>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</si>
  <si>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</si>
  <si>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</si>
  <si>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</si>
  <si>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</si>
  <si>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</si>
  <si>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</si>
  <si>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</si>
  <si>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</si>
  <si>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</si>
  <si>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</si>
  <si>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</si>
  <si>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</si>
  <si>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</si>
  <si>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</si>
  <si>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</si>
  <si>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</si>
  <si>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</si>
  <si>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</si>
  <si>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</si>
  <si>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</si>
  <si>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</si>
  <si>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</si>
  <si>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</si>
  <si>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</si>
  <si>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</si>
  <si>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</si>
  <si>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</si>
  <si>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</si>
  <si>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</si>
  <si>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</si>
  <si>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</si>
  <si>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</si>
  <si>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</si>
  <si>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</si>
  <si>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</si>
  <si>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</si>
  <si>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</si>
  <si>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</si>
  <si>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</si>
  <si>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</si>
  <si>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</si>
  <si>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</si>
  <si>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</si>
  <si>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</si>
  <si>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</si>
  <si>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</si>
  <si>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</si>
  <si>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</si>
  <si>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</si>
  <si>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</si>
  <si>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</si>
  <si>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</si>
  <si>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</si>
  <si>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</si>
  <si>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</si>
  <si>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</si>
  <si>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</si>
  <si>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</si>
  <si>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</si>
  <si>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</si>
  <si>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</si>
  <si>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</si>
  <si>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</si>
  <si>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</si>
  <si>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</si>
  <si>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</si>
  <si>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</si>
  <si>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</si>
  <si>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</si>
  <si>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</si>
  <si>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</si>
  <si>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</si>
  <si>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</si>
  <si>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</si>
  <si>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</si>
  <si>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</si>
  <si>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</si>
  <si>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</si>
  <si>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</si>
  <si>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</si>
  <si>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</si>
  <si>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</si>
  <si>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</si>
  <si>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</si>
  <si>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</si>
  <si>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</si>
  <si>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</si>
  <si>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</si>
  <si>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</si>
  <si>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</si>
  <si>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</si>
  <si>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</si>
  <si>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</si>
  <si>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</si>
  <si>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</si>
  <si>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</si>
  <si>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</si>
  <si>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</si>
  <si>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</si>
  <si>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</si>
  <si>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</si>
  <si>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</si>
  <si>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</si>
  <si>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</si>
  <si>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</si>
  <si>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</si>
  <si>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</si>
  <si>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</si>
  <si>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</si>
  <si>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</si>
  <si>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</si>
  <si>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</si>
  <si>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</si>
  <si>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</si>
  <si>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</si>
  <si>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</si>
  <si>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</si>
  <si>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</si>
  <si>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</si>
  <si>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</si>
  <si>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</si>
  <si>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</si>
  <si>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</si>
  <si>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</si>
  <si>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</si>
  <si>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</si>
  <si>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</si>
  <si>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</si>
  <si>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</si>
  <si>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</si>
  <si>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</si>
  <si>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</si>
  <si>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</si>
  <si>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</si>
  <si>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</si>
  <si>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</si>
  <si>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</si>
  <si>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</si>
  <si>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</si>
  <si>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</si>
  <si>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</si>
  <si>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</si>
  <si>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</si>
  <si>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</si>
  <si>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</si>
  <si>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</si>
  <si>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</si>
  <si>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</si>
  <si>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</si>
  <si>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</si>
  <si>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</si>
  <si>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</si>
  <si>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</si>
  <si>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</si>
  <si>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</si>
  <si>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</si>
  <si>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</si>
  <si>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</si>
  <si>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</si>
  <si>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</si>
  <si>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</si>
  <si>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</si>
  <si>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</si>
  <si>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</si>
  <si>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</si>
  <si>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</si>
  <si>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</si>
  <si>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</si>
  <si>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</si>
  <si>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</si>
  <si>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</si>
  <si>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</si>
  <si>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</si>
  <si>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</si>
  <si>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</si>
  <si>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</si>
  <si>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</si>
  <si>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</si>
  <si>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</si>
  <si>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</si>
  <si>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</si>
  <si>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</si>
  <si>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</si>
  <si>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</si>
  <si>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</si>
  <si>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</si>
  <si>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</si>
  <si>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</si>
  <si>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</si>
  <si>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</si>
  <si>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</si>
  <si>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</si>
  <si>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</si>
  <si>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</si>
  <si>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</si>
  <si>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</si>
  <si>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</si>
  <si>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</si>
  <si>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</si>
  <si>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</si>
  <si>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</si>
  <si>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</si>
  <si>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</si>
  <si>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</si>
  <si>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</si>
  <si>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</si>
  <si>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</si>
  <si>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</si>
  <si>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</si>
  <si>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</si>
  <si>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</si>
  <si>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</si>
  <si>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</si>
  <si>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</si>
  <si>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</si>
  <si>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</si>
  <si>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</si>
  <si>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</si>
  <si>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</si>
  <si>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</si>
  <si>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</si>
  <si>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</si>
  <si>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</si>
  <si>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</si>
  <si>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</si>
  <si>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</si>
  <si>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</si>
  <si>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</si>
  <si>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</si>
  <si>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</si>
  <si>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</si>
  <si>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</si>
  <si>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</si>
  <si>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</si>
  <si>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</si>
  <si>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</si>
  <si>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</si>
  <si>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</si>
  <si>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</si>
  <si>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</si>
  <si>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</si>
  <si>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</si>
  <si>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</si>
  <si>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</si>
  <si>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</si>
  <si>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</si>
  <si>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</si>
  <si>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</si>
  <si>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</si>
  <si>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</si>
  <si>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</si>
  <si>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</si>
  <si>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</si>
  <si>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</si>
  <si>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</si>
  <si>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</si>
  <si>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</si>
  <si>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</si>
  <si>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</si>
  <si>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</si>
  <si>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</si>
  <si>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</si>
  <si>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</si>
  <si>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</si>
  <si>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</si>
  <si>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</si>
  <si>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</si>
  <si>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</si>
  <si>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</si>
  <si>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</si>
  <si>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</si>
  <si>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</si>
  <si>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</si>
  <si>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</si>
  <si>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</si>
  <si>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</si>
  <si>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</si>
  <si>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</si>
  <si>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</si>
  <si>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</si>
  <si>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</si>
  <si>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</si>
  <si>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</si>
  <si>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</si>
  <si>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</si>
  <si>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</si>
  <si>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</si>
  <si>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</si>
  <si>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</si>
  <si>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</si>
  <si>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</si>
  <si>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</si>
  <si>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</si>
  <si>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</si>
  <si>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</si>
  <si>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</si>
  <si>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</si>
  <si>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</si>
  <si>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</si>
  <si>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</si>
  <si>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</si>
  <si>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</si>
  <si>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</si>
  <si>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</si>
  <si>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</si>
  <si>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</si>
  <si>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</si>
  <si>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</si>
  <si>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</si>
  <si>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</si>
  <si>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</si>
  <si>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</si>
  <si>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</si>
  <si>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</si>
  <si>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</si>
  <si>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</si>
  <si>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</si>
  <si>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</si>
  <si>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</si>
  <si>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</si>
  <si>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</si>
  <si>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</si>
  <si>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</si>
  <si>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</si>
  <si>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</si>
  <si>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</si>
  <si>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</si>
  <si>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</si>
  <si>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</si>
  <si>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</si>
  <si>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</si>
  <si>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</si>
  <si>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</si>
  <si>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</si>
  <si>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</si>
  <si>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</si>
  <si>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</si>
  <si>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</si>
  <si>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</si>
  <si>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</si>
  <si>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</si>
  <si>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</si>
  <si>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</si>
  <si>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</si>
  <si>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</si>
  <si>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</si>
  <si>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</si>
  <si>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</si>
  <si>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</si>
  <si>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</si>
  <si>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</si>
  <si>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</si>
  <si>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</si>
  <si>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</si>
  <si>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</si>
  <si>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</si>
  <si>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</si>
  <si>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</si>
  <si>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</si>
  <si>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</si>
  <si>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</si>
  <si>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</si>
  <si>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</si>
  <si>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</si>
  <si>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</si>
  <si>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</si>
  <si>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</si>
  <si>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</si>
  <si>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</si>
  <si>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</si>
  <si>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</si>
  <si>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</si>
  <si>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</si>
  <si>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</si>
  <si>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</si>
  <si>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</si>
  <si>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</si>
  <si>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</si>
  <si>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</si>
  <si>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</si>
  <si>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</si>
  <si>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</si>
  <si>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</si>
  <si>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</si>
  <si>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</si>
  <si>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</si>
  <si>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</si>
  <si>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</si>
  <si>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</si>
  <si>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</si>
  <si>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</si>
  <si>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</si>
  <si>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</si>
  <si>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</si>
  <si>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</si>
  <si>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</si>
  <si>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</si>
  <si>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</si>
  <si>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</si>
  <si>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</si>
  <si>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</si>
  <si>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</si>
  <si>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</si>
  <si>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</si>
  <si>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</si>
  <si>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</si>
  <si>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</si>
  <si>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</si>
  <si>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</si>
  <si>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</si>
  <si>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</si>
  <si>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</si>
  <si>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</si>
  <si>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</si>
  <si>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</si>
  <si>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</si>
  <si>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</si>
  <si>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</si>
  <si>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</si>
  <si>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</si>
  <si>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</si>
  <si>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</si>
  <si>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</si>
  <si>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</si>
  <si>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</si>
  <si>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</si>
  <si>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</si>
  <si>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</si>
  <si>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</si>
  <si>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</si>
  <si>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</si>
  <si>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</si>
  <si>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</si>
  <si>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</si>
  <si>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</si>
  <si>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</si>
  <si>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</si>
  <si>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</si>
  <si>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</si>
  <si>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</si>
  <si>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</si>
  <si>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</si>
  <si>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</si>
  <si>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</si>
  <si>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</si>
  <si>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</si>
  <si>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</si>
  <si>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</si>
  <si>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</si>
  <si>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</si>
  <si>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</si>
  <si>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</si>
  <si>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</si>
  <si>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</si>
  <si>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</si>
  <si>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</si>
  <si>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</si>
  <si>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</si>
  <si>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</si>
  <si>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</si>
  <si>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</si>
  <si>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</si>
  <si>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</si>
  <si>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</si>
  <si>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</si>
  <si>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</si>
  <si>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</si>
  <si>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</si>
  <si>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</si>
  <si>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</si>
  <si>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</si>
  <si>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</si>
  <si>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</si>
  <si>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</si>
  <si>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</si>
  <si>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</si>
  <si>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</si>
  <si>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</si>
  <si>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</si>
  <si>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</si>
  <si>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</si>
  <si>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</si>
  <si>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</si>
  <si>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</si>
  <si>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</si>
  <si>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</si>
  <si>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</si>
  <si>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</si>
  <si>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</si>
  <si>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</si>
  <si>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</si>
  <si>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</si>
  <si>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</si>
  <si>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</si>
  <si>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</si>
  <si>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</si>
  <si>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</si>
  <si>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</si>
  <si>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</si>
  <si>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</si>
  <si>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</si>
  <si>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</si>
  <si>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</si>
  <si>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</si>
  <si>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</si>
  <si>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</si>
  <si>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</si>
  <si>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</si>
  <si>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</si>
  <si>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</si>
  <si>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</si>
  <si>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</si>
  <si>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</si>
  <si>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</si>
  <si>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</si>
  <si>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</si>
  <si>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</si>
  <si>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</si>
  <si>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</si>
  <si>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</si>
  <si>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</si>
  <si>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</si>
  <si>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</si>
  <si>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</si>
  <si>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</si>
  <si>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</si>
  <si>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</si>
  <si>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</si>
  <si>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</si>
  <si>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</si>
  <si>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</si>
  <si>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</si>
  <si>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</si>
  <si>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</si>
  <si>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</si>
  <si>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</si>
  <si>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</si>
  <si>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</si>
  <si>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</si>
  <si>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</si>
  <si>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</si>
  <si>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</si>
  <si>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</si>
  <si>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</si>
  <si>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</si>
  <si>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</si>
  <si>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</si>
  <si>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</si>
  <si>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</si>
  <si>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</si>
  <si>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</si>
  <si>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</si>
  <si>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</si>
  <si>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</si>
  <si>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</si>
  <si>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</si>
  <si>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</si>
  <si>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</si>
  <si>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</si>
  <si>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</si>
  <si>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</si>
  <si>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</si>
  <si>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</si>
  <si>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</si>
  <si>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</si>
  <si>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</si>
  <si>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</si>
  <si>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</si>
  <si>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</si>
  <si>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</si>
  <si>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</si>
  <si>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</si>
  <si>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</si>
  <si>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</si>
  <si>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</si>
  <si>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</si>
  <si>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</si>
  <si>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</si>
  <si>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</si>
  <si>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</si>
  <si>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</si>
  <si>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</si>
  <si>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</si>
  <si>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</si>
  <si>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</si>
  <si>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</si>
  <si>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</si>
  <si>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</si>
  <si>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</si>
  <si>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</si>
  <si>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</si>
  <si>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</si>
  <si>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</si>
  <si>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</si>
  <si>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</si>
  <si>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</si>
  <si>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</si>
  <si>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</si>
  <si>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</si>
  <si>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</si>
  <si>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</si>
  <si>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</si>
  <si>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</si>
  <si>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</si>
  <si>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</si>
  <si>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</si>
  <si>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</si>
  <si>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</si>
  <si>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</si>
  <si>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</si>
  <si>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</si>
  <si>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</si>
  <si>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</si>
  <si>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</si>
  <si>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</si>
  <si>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</si>
  <si>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</si>
  <si>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</si>
  <si>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</si>
  <si>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</si>
  <si>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</si>
  <si>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</si>
  <si>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</si>
  <si>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</si>
  <si>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</si>
  <si>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</si>
  <si>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</si>
  <si>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</si>
  <si>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</si>
  <si>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</si>
  <si>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</si>
  <si>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</si>
  <si>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</si>
  <si>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</si>
  <si>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</si>
  <si>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</si>
  <si>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</si>
  <si>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</si>
  <si>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</si>
  <si>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</si>
  <si>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</si>
  <si>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</si>
  <si>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</si>
  <si>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</si>
  <si>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</si>
  <si>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</si>
  <si>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</si>
  <si>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</si>
  <si>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</si>
  <si>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</si>
  <si>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</si>
  <si>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</si>
  <si>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</si>
  <si>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</si>
  <si>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</si>
  <si>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</si>
  <si>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</si>
  <si>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</si>
  <si>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</si>
  <si>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</si>
  <si>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</si>
  <si>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</si>
  <si>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</si>
  <si>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</si>
  <si>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</si>
  <si>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</si>
  <si>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</si>
  <si>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</si>
  <si>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</si>
  <si>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</si>
  <si>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</si>
  <si>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</si>
  <si>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</si>
  <si>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</si>
  <si>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</si>
  <si>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</si>
  <si>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</si>
  <si>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</si>
  <si>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</si>
  <si>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</si>
  <si>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</si>
  <si>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</si>
  <si>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</si>
  <si>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</si>
  <si>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</si>
  <si>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</si>
  <si>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</si>
  <si>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</si>
  <si>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</si>
  <si>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</si>
  <si>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</si>
  <si>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</si>
  <si>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</si>
  <si>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</si>
  <si>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</si>
  <si>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</si>
  <si>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</si>
  <si>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</si>
  <si>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</si>
  <si>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</si>
  <si>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</si>
  <si>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</si>
  <si>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</si>
  <si>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</si>
  <si>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</si>
  <si>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</si>
  <si>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</si>
  <si>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</si>
  <si>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</si>
  <si>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</si>
  <si>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</si>
  <si>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</si>
  <si>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</si>
  <si>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</si>
  <si>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</si>
  <si>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</si>
  <si>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</si>
  <si>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</si>
  <si>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</si>
  <si>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</si>
  <si>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</si>
  <si>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</si>
  <si>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</si>
  <si>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</si>
  <si>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</si>
  <si>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</si>
  <si>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</si>
  <si>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</si>
  <si>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</si>
  <si>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</si>
  <si>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</si>
  <si>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</si>
  <si>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</si>
  <si>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</si>
  <si>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</si>
  <si>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</si>
  <si>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</si>
  <si>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</si>
  <si>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</si>
  <si>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</si>
  <si>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</si>
  <si>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</si>
  <si>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</si>
  <si>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</si>
  <si>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</si>
  <si>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</si>
  <si>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</si>
  <si>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</si>
  <si>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</si>
  <si>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</si>
  <si>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</si>
  <si>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</si>
  <si>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</si>
  <si>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</si>
  <si>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</si>
  <si>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</si>
  <si>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</si>
  <si>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</si>
  <si>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</si>
  <si>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</si>
  <si>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</si>
  <si>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</si>
  <si>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</si>
  <si>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</si>
  <si>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</si>
  <si>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</si>
  <si>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</si>
  <si>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</si>
  <si>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</si>
  <si>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</si>
  <si>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</si>
  <si>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</si>
  <si>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</si>
  <si>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</si>
  <si>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</si>
  <si>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</si>
  <si>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</si>
  <si>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</si>
  <si>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</si>
  <si>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</si>
  <si>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</si>
  <si>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</si>
  <si>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</si>
  <si>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</si>
  <si>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</si>
  <si>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</si>
  <si>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</si>
  <si>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</si>
  <si>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</si>
  <si>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</si>
  <si>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</si>
  <si>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</si>
  <si>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</si>
  <si>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</si>
  <si>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</si>
  <si>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</si>
  <si>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</si>
  <si>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</si>
  <si>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</si>
  <si>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</si>
  <si>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</si>
  <si>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</si>
  <si>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</si>
  <si>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</si>
  <si>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</si>
  <si>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</si>
  <si>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</si>
  <si>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</si>
  <si>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</si>
  <si>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</si>
  <si>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</si>
  <si>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</si>
  <si>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</si>
  <si>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</si>
  <si>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</si>
  <si>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</si>
  <si>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</si>
  <si>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</si>
  <si>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</si>
  <si>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</si>
  <si>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</si>
  <si>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</si>
  <si>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</si>
  <si>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</si>
  <si>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</si>
  <si>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</si>
  <si>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</si>
  <si>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</si>
  <si>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</si>
  <si>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</si>
  <si>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</si>
  <si>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</si>
  <si>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</si>
  <si>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</si>
  <si>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</si>
  <si>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</si>
  <si>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</si>
  <si>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</si>
  <si>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</si>
  <si>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</si>
  <si>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</si>
  <si>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</si>
  <si>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</si>
  <si>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</si>
  <si>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</si>
  <si>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</si>
  <si>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</si>
  <si>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</si>
  <si>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</si>
  <si>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</si>
  <si>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</si>
  <si>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</si>
  <si>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</si>
  <si>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</si>
  <si>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</si>
  <si>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</si>
  <si>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</si>
  <si>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</si>
  <si>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</si>
  <si>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</si>
  <si>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</si>
  <si>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</si>
  <si>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</si>
  <si>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</si>
  <si>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</si>
  <si>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</si>
  <si>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</si>
  <si>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</si>
  <si>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</si>
  <si>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</si>
  <si>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</si>
  <si>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</si>
  <si>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</si>
  <si>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</si>
  <si>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</si>
  <si>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</si>
  <si>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</si>
  <si>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</si>
  <si>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</si>
  <si>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</si>
  <si>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</si>
  <si>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</si>
  <si>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</si>
  <si>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</si>
  <si>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</si>
  <si>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</si>
  <si>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</si>
  <si>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</si>
  <si>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</si>
  <si>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</si>
  <si>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</si>
  <si>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</si>
  <si>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</si>
  <si>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</si>
  <si>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</si>
  <si>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</si>
  <si>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</si>
  <si>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</si>
  <si>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</si>
  <si>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</si>
  <si>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</si>
  <si>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</si>
  <si>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</si>
  <si>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</si>
  <si>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</si>
  <si>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</si>
  <si>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</si>
  <si>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</si>
  <si>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</si>
  <si>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</si>
  <si>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</si>
  <si>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</si>
  <si>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</si>
  <si>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</si>
  <si>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</si>
  <si>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</si>
  <si>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</si>
  <si>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</si>
  <si>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</si>
  <si>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</si>
  <si>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</si>
  <si>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</si>
  <si>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</si>
  <si>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</si>
  <si>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</si>
  <si>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</si>
  <si>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</si>
  <si>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</si>
  <si>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</si>
  <si>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</si>
  <si>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</si>
  <si>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</si>
  <si>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</si>
  <si>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</si>
  <si>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</si>
  <si>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</si>
  <si>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</si>
  <si>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</si>
  <si>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</si>
  <si>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</si>
  <si>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</si>
  <si>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</si>
  <si>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</si>
  <si>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</si>
  <si>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</si>
  <si>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</si>
  <si>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</si>
  <si>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</si>
  <si>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</si>
  <si>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</si>
  <si>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</si>
  <si>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</si>
  <si>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</si>
  <si>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</si>
  <si>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</si>
  <si>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</si>
  <si>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</si>
  <si>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</si>
  <si>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</si>
  <si>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</si>
  <si>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</si>
  <si>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</si>
  <si>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</si>
  <si>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</si>
  <si>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</si>
  <si>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</si>
  <si>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</si>
  <si>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</si>
  <si>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</si>
  <si>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</si>
  <si>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</si>
  <si>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</si>
  <si>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</si>
  <si>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</si>
  <si>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</si>
  <si>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</si>
  <si>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</si>
  <si>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</si>
  <si>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</si>
  <si>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</si>
  <si>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</si>
  <si>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</si>
  <si>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</si>
  <si>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</si>
  <si>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</si>
  <si>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</si>
  <si>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</si>
  <si>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</si>
  <si>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</si>
  <si>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</si>
  <si>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</si>
  <si>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</si>
  <si>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</si>
  <si>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</si>
  <si>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</si>
  <si>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</si>
  <si>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</si>
  <si>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</si>
  <si>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</si>
  <si>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</si>
  <si>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</si>
  <si>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</si>
  <si>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</si>
  <si>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</si>
  <si>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</si>
  <si>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</si>
  <si>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</si>
  <si>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</si>
  <si>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</si>
  <si>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</si>
  <si>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</si>
  <si>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</si>
  <si>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</si>
  <si>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</si>
  <si>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</si>
  <si>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</si>
  <si>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</si>
  <si>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</si>
  <si>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</si>
  <si>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</si>
  <si>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</si>
  <si>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</si>
  <si>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</si>
  <si>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</si>
  <si>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</si>
  <si>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</si>
  <si>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</si>
  <si>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</si>
  <si>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</si>
  <si>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</si>
  <si>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</si>
  <si>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</si>
  <si>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</si>
  <si>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</si>
  <si>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</si>
  <si>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</si>
  <si>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</si>
  <si>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</si>
  <si>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</si>
  <si>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</si>
  <si>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</si>
  <si>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</si>
  <si>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</si>
  <si>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</si>
  <si>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</si>
  <si>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</si>
  <si>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</si>
  <si>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</si>
  <si>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</si>
  <si>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</si>
  <si>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</si>
  <si>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</si>
  <si>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</si>
  <si>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</si>
  <si>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</si>
  <si>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</si>
  <si>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</si>
  <si>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</si>
  <si>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</si>
  <si>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</si>
  <si>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</si>
  <si>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</si>
  <si>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</si>
  <si>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</si>
  <si>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</si>
  <si>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</si>
  <si>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</si>
  <si>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</si>
  <si>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</si>
  <si>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</si>
  <si>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</si>
  <si>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</si>
  <si>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</si>
  <si>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</si>
  <si>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</si>
  <si>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</si>
  <si>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</si>
  <si>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</si>
  <si>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</si>
  <si>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</si>
  <si>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</si>
  <si>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</si>
  <si>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</si>
  <si>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</si>
  <si>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</si>
  <si>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</si>
  <si>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</si>
  <si>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</si>
  <si>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</si>
  <si>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</si>
  <si>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</si>
  <si>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</si>
  <si>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</si>
  <si>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</si>
  <si>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</si>
  <si>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</si>
  <si>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</si>
  <si>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</si>
  <si>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</si>
  <si>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</si>
  <si>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</si>
  <si>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</si>
  <si>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</si>
  <si>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</si>
  <si>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</si>
  <si>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</si>
  <si>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</si>
  <si>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</si>
  <si>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</si>
  <si>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</si>
  <si>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</si>
  <si>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</si>
  <si>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</si>
  <si>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</si>
  <si>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</si>
  <si>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</si>
  <si>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</si>
  <si>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</si>
  <si>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</si>
  <si>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</si>
  <si>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</si>
  <si>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</si>
  <si>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</si>
  <si>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</si>
  <si>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</si>
  <si>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</si>
  <si>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</si>
  <si>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</si>
  <si>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</si>
  <si>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</si>
  <si>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</si>
  <si>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</si>
  <si>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</si>
  <si>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</si>
  <si>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</si>
  <si>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</si>
  <si>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</si>
  <si>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</si>
  <si>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</si>
  <si>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</si>
  <si>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</si>
  <si>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</si>
  <si>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</si>
  <si>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</si>
  <si>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</si>
  <si>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</si>
  <si>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</si>
  <si>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</si>
  <si>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</si>
  <si>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</si>
  <si>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</si>
  <si>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</si>
  <si>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</si>
  <si>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</si>
  <si>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</si>
  <si>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</si>
  <si>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</si>
  <si>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</si>
  <si>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</si>
  <si>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</si>
  <si>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</si>
  <si>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</si>
  <si>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</si>
  <si>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</si>
  <si>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</si>
  <si>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</si>
  <si>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</si>
  <si>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</si>
  <si>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</si>
  <si>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</si>
  <si>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</si>
  <si>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</si>
  <si>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</si>
  <si>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</si>
  <si>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</si>
  <si>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</si>
  <si>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</si>
  <si>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</si>
  <si>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</si>
  <si>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</si>
  <si>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</si>
  <si>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</si>
  <si>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</si>
  <si>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</si>
  <si>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</si>
  <si>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</si>
  <si>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</si>
  <si>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</si>
  <si>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</si>
  <si>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</si>
  <si>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</si>
  <si>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</si>
  <si>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</si>
  <si>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</si>
  <si>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</si>
  <si>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</si>
  <si>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</si>
  <si>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</si>
  <si>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</si>
  <si>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</si>
  <si>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</si>
  <si>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</si>
  <si>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</si>
  <si>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</si>
  <si>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</si>
  <si>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</si>
  <si>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</si>
  <si>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</si>
  <si>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</si>
  <si>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</si>
  <si>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</si>
  <si>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</si>
  <si>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</si>
  <si>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</si>
  <si>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</si>
  <si>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</si>
  <si>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</si>
  <si>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</si>
  <si>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</si>
  <si>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</si>
  <si>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</si>
  <si>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</si>
  <si>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</si>
  <si>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</si>
  <si>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</si>
  <si>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</si>
  <si>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</si>
  <si>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</si>
  <si>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</si>
  <si>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</si>
  <si>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</si>
  <si>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</si>
  <si>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</si>
  <si>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</si>
  <si>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</si>
  <si>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</si>
  <si>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</si>
  <si>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</si>
  <si>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</si>
  <si>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</si>
  <si>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</si>
  <si>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</si>
  <si>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</si>
  <si>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</si>
  <si>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</si>
  <si>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</si>
  <si>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</si>
  <si>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</si>
  <si>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</si>
  <si>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</si>
  <si>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</si>
  <si>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</si>
  <si>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</si>
  <si>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</si>
  <si>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</si>
  <si>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</si>
  <si>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</si>
  <si>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</si>
  <si>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</si>
  <si>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</si>
  <si>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</si>
  <si>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</si>
  <si>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</si>
  <si>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</si>
  <si>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</si>
  <si>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</si>
  <si>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</si>
  <si>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</si>
  <si>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</si>
  <si>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</si>
  <si>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</si>
  <si>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</si>
  <si>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</si>
  <si>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</si>
  <si>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</si>
  <si>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</si>
  <si>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</si>
  <si>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</si>
  <si>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</si>
  <si>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</si>
  <si>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</si>
  <si>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</si>
  <si>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</si>
  <si>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</si>
  <si>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</si>
  <si>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</si>
  <si>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</si>
  <si>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</si>
  <si>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</si>
  <si>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</si>
  <si>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</si>
  <si>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</si>
  <si>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</si>
  <si>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</si>
  <si>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</si>
  <si>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</si>
  <si>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</si>
  <si>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</si>
  <si>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</si>
  <si>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</si>
  <si>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</si>
  <si>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</si>
  <si>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</si>
  <si>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</si>
  <si>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</si>
  <si>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</si>
  <si>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</si>
  <si>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</si>
  <si>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</si>
  <si>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</si>
  <si>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</si>
  <si>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</si>
  <si>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</si>
  <si>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</si>
  <si>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</si>
  <si>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</si>
  <si>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</si>
  <si>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</si>
  <si>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</si>
  <si>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</si>
  <si>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</si>
  <si>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</si>
  <si>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</si>
  <si>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</si>
  <si>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</si>
  <si>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</si>
  <si>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</si>
  <si>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</si>
  <si>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</si>
  <si>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</si>
  <si>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</si>
  <si>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</si>
  <si>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</si>
  <si>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</si>
  <si>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</si>
  <si>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</si>
  <si>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</si>
  <si>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</si>
  <si>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</si>
  <si>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</si>
  <si>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</si>
  <si>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</si>
  <si>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</si>
  <si>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</si>
  <si>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</si>
  <si>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</si>
  <si>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</si>
  <si>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</si>
  <si>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</si>
  <si>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</si>
  <si>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</si>
  <si>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</si>
  <si>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</si>
  <si>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</si>
  <si>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</si>
  <si>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</si>
  <si>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</si>
  <si>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</si>
  <si>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</si>
  <si>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</si>
  <si>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</si>
  <si>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</si>
  <si>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</si>
  <si>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</si>
  <si>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</si>
  <si>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</si>
  <si>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</si>
  <si>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</si>
  <si>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</si>
  <si>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</si>
  <si>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</si>
  <si>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</si>
  <si>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</si>
  <si>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</si>
  <si>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</si>
  <si>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</si>
  <si>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</si>
  <si>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</si>
  <si>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</si>
  <si>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</si>
  <si>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</si>
  <si>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</si>
  <si>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</si>
  <si>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</si>
  <si>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</si>
  <si>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</si>
  <si>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</si>
  <si>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</si>
  <si>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</si>
  <si>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</si>
  <si>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</si>
  <si>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</si>
  <si>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</si>
  <si>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</si>
  <si>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</si>
  <si>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</si>
  <si>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</si>
  <si>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</si>
  <si>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</si>
  <si>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</si>
  <si>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</si>
  <si>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</si>
  <si>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</si>
  <si>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</si>
  <si>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</si>
  <si>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</si>
  <si>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</si>
  <si>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</si>
  <si>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</si>
  <si>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</si>
  <si>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</si>
  <si>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</si>
  <si>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</si>
  <si>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</si>
  <si>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</si>
  <si>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</si>
  <si>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</si>
  <si>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</si>
  <si>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</si>
  <si>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</si>
  <si>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</si>
  <si>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</si>
  <si>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</si>
  <si>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</si>
  <si>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</si>
  <si>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</si>
  <si>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</si>
  <si>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</si>
  <si>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</si>
  <si>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</si>
  <si>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</si>
  <si>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</si>
  <si>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</si>
  <si>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</si>
  <si>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</si>
  <si>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</si>
  <si>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</si>
  <si>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</si>
  <si>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</si>
  <si>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</si>
  <si>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</si>
  <si>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</si>
  <si>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</si>
  <si>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</si>
  <si>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</si>
  <si>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</si>
  <si>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</si>
  <si>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</si>
  <si>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</si>
  <si>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</si>
  <si>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</si>
  <si>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</si>
  <si>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</si>
  <si>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</si>
  <si>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</si>
  <si>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</si>
  <si>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</si>
  <si>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</si>
  <si>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</si>
  <si>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</si>
  <si>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</si>
  <si>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</si>
  <si>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</si>
  <si>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</si>
  <si>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</si>
  <si>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</si>
  <si>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</si>
  <si>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</si>
  <si>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</si>
  <si>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</si>
  <si>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</si>
  <si>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</si>
  <si>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</si>
  <si>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</si>
  <si>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</si>
  <si>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</si>
  <si>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</si>
  <si>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</si>
  <si>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</si>
  <si>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</si>
  <si>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</si>
  <si>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</si>
  <si>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</si>
  <si>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</si>
  <si>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</si>
  <si>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</si>
  <si>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</si>
  <si>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</si>
  <si>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</si>
  <si>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</si>
  <si>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</si>
  <si>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</si>
  <si>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</si>
  <si>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</si>
  <si>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</si>
  <si>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</si>
  <si>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</si>
  <si>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</si>
  <si>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</si>
  <si>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</si>
  <si>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</si>
  <si>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</si>
  <si>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</si>
  <si>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</si>
  <si>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</si>
  <si>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</si>
  <si>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</si>
  <si>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</si>
  <si>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</si>
  <si>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</si>
  <si>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</si>
  <si>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</si>
  <si>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</si>
  <si>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</si>
  <si>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</si>
  <si>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</si>
  <si>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</si>
  <si>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</si>
  <si>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</si>
  <si>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</si>
  <si>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</si>
  <si>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</si>
  <si>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</si>
  <si>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</si>
  <si>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</si>
  <si>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</si>
  <si>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</si>
  <si>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</si>
  <si>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</si>
  <si>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</si>
  <si>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</si>
  <si>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</si>
  <si>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</si>
  <si>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</si>
  <si>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</si>
  <si>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</si>
  <si>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</si>
  <si>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</si>
  <si>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</si>
  <si>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</si>
  <si>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</si>
  <si>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</si>
  <si>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</si>
  <si>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</si>
  <si>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</si>
  <si>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</si>
  <si>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</si>
  <si>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</si>
  <si>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</si>
  <si>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</si>
  <si>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</si>
  <si>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</si>
  <si>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</si>
  <si>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</si>
  <si>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</si>
  <si>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</si>
  <si>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</si>
  <si>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</si>
  <si>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</si>
  <si>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</si>
  <si>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</si>
  <si>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</si>
  <si>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</si>
  <si>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</si>
  <si>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</si>
  <si>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</si>
  <si>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</si>
  <si>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</si>
  <si>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</si>
  <si>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</si>
  <si>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</si>
  <si>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</si>
  <si>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</si>
  <si>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</si>
  <si>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</si>
  <si>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</si>
  <si>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</si>
  <si>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</si>
  <si>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</si>
  <si>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</si>
  <si>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</si>
  <si>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</si>
  <si>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</si>
  <si>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</si>
  <si>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</si>
  <si>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</si>
  <si>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</si>
  <si>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</si>
  <si>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</si>
  <si>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</si>
  <si>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</si>
  <si>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</si>
  <si>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</si>
  <si>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</si>
  <si>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</si>
  <si>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</si>
  <si>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</si>
  <si>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</si>
  <si>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</si>
  <si>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</si>
  <si>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</si>
  <si>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</si>
  <si>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</si>
  <si>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</si>
  <si>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</si>
  <si>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</si>
  <si>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</si>
  <si>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</si>
  <si>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</si>
  <si>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</si>
  <si>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</si>
  <si>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</si>
  <si>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</si>
  <si>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</si>
  <si>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</si>
  <si>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</si>
  <si>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</si>
  <si>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</si>
  <si>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</si>
  <si>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</si>
  <si>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</si>
  <si>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</si>
  <si>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</si>
  <si>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</si>
  <si>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</si>
  <si>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</si>
  <si>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</si>
  <si>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</si>
  <si>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</si>
  <si>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</si>
  <si>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</si>
  <si>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</si>
  <si>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</si>
  <si>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</si>
  <si>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</si>
  <si>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</si>
  <si>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</si>
  <si>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</si>
  <si>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</si>
  <si>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</si>
  <si>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</si>
  <si>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</si>
  <si>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</si>
  <si>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</si>
  <si>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</si>
  <si>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</si>
  <si>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</si>
  <si>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</si>
  <si>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</si>
  <si>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</si>
  <si>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</si>
  <si>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</si>
  <si>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</si>
  <si>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</si>
  <si>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</si>
  <si>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</si>
  <si>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</si>
  <si>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</si>
  <si>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</si>
  <si>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</si>
  <si>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</si>
  <si>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</si>
  <si>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</si>
  <si>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</si>
  <si>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</si>
  <si>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</si>
  <si>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</si>
  <si>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</si>
  <si>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</si>
  <si>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</si>
  <si>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</si>
  <si>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</si>
  <si>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</si>
  <si>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</si>
  <si>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</si>
  <si>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</si>
  <si>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</si>
  <si>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</si>
  <si>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</si>
  <si>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</si>
  <si>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</si>
  <si>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</si>
  <si>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</si>
  <si>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</si>
  <si>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</si>
  <si>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</si>
  <si>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</si>
  <si>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</si>
  <si>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</si>
  <si>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</si>
  <si>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</si>
  <si>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</si>
  <si>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</si>
  <si>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</si>
  <si>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</si>
  <si>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</si>
  <si>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</si>
  <si>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</si>
  <si>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</si>
  <si>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</si>
  <si>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</si>
  <si>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</si>
  <si>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</si>
  <si>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</si>
  <si>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</si>
  <si>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</si>
  <si>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</si>
  <si>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</si>
  <si>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</si>
  <si>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</si>
  <si>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</si>
  <si>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</si>
  <si>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</si>
  <si>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</si>
  <si>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</si>
  <si>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</si>
  <si>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</si>
  <si>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</si>
  <si>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</si>
  <si>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</si>
  <si>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</si>
  <si>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</si>
  <si>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</si>
  <si>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</si>
  <si>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</si>
  <si>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</si>
  <si>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</si>
  <si>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</si>
  <si>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</si>
  <si>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</si>
  <si>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</si>
  <si>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</si>
  <si>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</si>
  <si>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</si>
  <si>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</si>
  <si>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</si>
  <si>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</si>
  <si>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</si>
  <si>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</si>
  <si>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</si>
  <si>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</si>
  <si>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</si>
  <si>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</si>
  <si>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</si>
  <si>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</si>
  <si>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</si>
  <si>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</si>
  <si>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</si>
  <si>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</si>
  <si>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</si>
  <si>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</si>
  <si>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</si>
  <si>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</si>
  <si>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</si>
  <si>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</si>
  <si>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</si>
  <si>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</si>
  <si>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</si>
  <si>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</si>
  <si>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</si>
  <si>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</si>
  <si>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</si>
  <si>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</si>
  <si>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</si>
  <si>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</si>
  <si>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</si>
  <si>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</si>
  <si>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</si>
  <si>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</si>
  <si>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</si>
  <si>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</si>
  <si>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</si>
  <si>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</si>
  <si>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</si>
  <si>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</si>
  <si>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</si>
  <si>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</si>
  <si>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</si>
  <si>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</si>
  <si>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</si>
  <si>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</si>
  <si>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</si>
  <si>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</si>
  <si>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</si>
  <si>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</si>
  <si>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</si>
  <si>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</si>
  <si>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</si>
  <si>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</si>
  <si>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</si>
  <si>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</si>
  <si>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</si>
  <si>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</si>
  <si>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</si>
  <si>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</si>
  <si>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</si>
  <si>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</si>
  <si>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</si>
  <si>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</si>
  <si>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</si>
  <si>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</si>
  <si>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</si>
  <si>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</si>
  <si>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</si>
  <si>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</si>
  <si>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</si>
  <si>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</si>
  <si>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</si>
  <si>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</si>
  <si>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</si>
  <si>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</si>
  <si>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</si>
  <si>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</si>
  <si>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</si>
  <si>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</si>
  <si>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</si>
  <si>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</si>
  <si>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</si>
  <si>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</si>
  <si>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</si>
  <si>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</si>
  <si>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</si>
  <si>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</si>
  <si>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</si>
  <si>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</si>
  <si>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</si>
  <si>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</si>
  <si>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</si>
  <si>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</si>
  <si>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</si>
  <si>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</si>
  <si>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</si>
  <si>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</si>
  <si>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</si>
  <si>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</si>
  <si>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</si>
  <si>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</si>
  <si>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</si>
  <si>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</si>
  <si>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</si>
  <si>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</si>
  <si>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</si>
  <si>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</si>
  <si>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</si>
  <si>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</si>
  <si>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</si>
  <si>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</si>
  <si>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</si>
  <si>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</si>
  <si>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</si>
  <si>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</si>
  <si>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</si>
  <si>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</si>
  <si>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</si>
  <si>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</si>
  <si>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</si>
  <si>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</si>
  <si>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</si>
  <si>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</si>
  <si>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</si>
  <si>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</si>
  <si>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</si>
  <si>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</si>
  <si>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</si>
  <si>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</si>
  <si>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</si>
  <si>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</si>
  <si>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</si>
  <si>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</si>
  <si>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</si>
  <si>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</si>
  <si>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</si>
  <si>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</si>
  <si>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</si>
  <si>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</si>
  <si>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</si>
  <si>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</si>
  <si>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</si>
  <si>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</si>
  <si>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</si>
  <si>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</si>
  <si>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</si>
  <si>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</si>
  <si>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</si>
  <si>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</si>
  <si>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</si>
  <si>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</si>
  <si>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</si>
  <si>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</si>
  <si>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</si>
  <si>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</si>
  <si>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</si>
  <si>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</si>
  <si>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</si>
  <si>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</si>
  <si>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</si>
  <si>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</si>
  <si>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</si>
  <si>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</si>
  <si>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</si>
  <si>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</si>
  <si>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</si>
  <si>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</si>
  <si>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</si>
  <si>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</si>
  <si>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</si>
  <si>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</si>
  <si>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</si>
  <si>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</si>
  <si>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</si>
  <si>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</si>
  <si>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</si>
  <si>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</si>
  <si>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</si>
  <si>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</si>
  <si>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</si>
  <si>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</si>
  <si>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</si>
  <si>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</si>
  <si>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</si>
  <si>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</si>
  <si>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</si>
  <si>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</si>
  <si>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</si>
  <si>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</si>
  <si>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</si>
  <si>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</si>
  <si>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</si>
  <si>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</si>
  <si>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</si>
  <si>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</si>
  <si>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</si>
  <si>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</si>
  <si>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</si>
  <si>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</si>
  <si>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</si>
  <si>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</si>
  <si>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</si>
  <si>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</si>
  <si>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</si>
  <si>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</si>
  <si>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</si>
  <si>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</si>
  <si>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</si>
  <si>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</si>
  <si>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</si>
  <si>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</si>
  <si>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</si>
  <si>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</si>
  <si>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</si>
  <si>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</si>
  <si>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</si>
  <si>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</si>
  <si>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</si>
  <si>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</si>
  <si>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</si>
  <si>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</si>
  <si>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</si>
  <si>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</si>
  <si>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</si>
  <si>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</si>
  <si>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</si>
  <si>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</si>
  <si>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</si>
  <si>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</si>
  <si>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</si>
  <si>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</si>
  <si>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</si>
  <si>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</si>
  <si>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</si>
  <si>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</si>
  <si>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</si>
  <si>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</si>
  <si>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</si>
  <si>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</si>
  <si>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</si>
  <si>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</si>
  <si>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</si>
  <si>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</si>
  <si>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</si>
  <si>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</si>
  <si>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</si>
  <si>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</si>
  <si>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</si>
  <si>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</si>
  <si>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</si>
  <si>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</si>
  <si>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</si>
  <si>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</si>
  <si>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</si>
  <si>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</si>
  <si>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</si>
  <si>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</si>
  <si>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</si>
  <si>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</si>
  <si>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</si>
  <si>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</si>
  <si>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</si>
  <si>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</si>
  <si>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</si>
  <si>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</si>
  <si>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</si>
  <si>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</si>
  <si>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</si>
  <si>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</si>
  <si>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</si>
  <si>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</si>
  <si>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</si>
  <si>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</si>
  <si>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</si>
  <si>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</si>
  <si>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</si>
  <si>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</si>
  <si>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</si>
  <si>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</si>
  <si>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</si>
  <si>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</si>
  <si>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</si>
  <si>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</si>
  <si>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</si>
  <si>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</si>
  <si>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</si>
  <si>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</si>
  <si>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</si>
  <si>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</si>
  <si>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</si>
  <si>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</si>
  <si>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</si>
  <si>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</si>
  <si>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</si>
  <si>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</si>
  <si>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</si>
  <si>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</si>
  <si>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</si>
  <si>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</si>
  <si>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</si>
  <si>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</si>
  <si>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</si>
  <si>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</si>
  <si>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</si>
  <si>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</si>
  <si>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</si>
  <si>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</si>
  <si>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</si>
  <si>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</si>
  <si>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</si>
  <si>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</si>
  <si>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</si>
  <si>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</si>
  <si>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</si>
  <si>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</si>
  <si>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</si>
  <si>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</si>
  <si>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</si>
  <si>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</si>
  <si>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</si>
  <si>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</si>
  <si>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</si>
  <si>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</si>
  <si>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</si>
  <si>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</si>
  <si>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</si>
  <si>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</si>
  <si>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</si>
  <si>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</si>
  <si>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</si>
  <si>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</si>
  <si>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</si>
  <si>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</si>
  <si>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</si>
  <si>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</si>
  <si>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</si>
  <si>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</si>
  <si>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</si>
  <si>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</si>
  <si>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</si>
  <si>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</si>
  <si>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</si>
  <si>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</si>
  <si>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</si>
  <si>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</si>
  <si>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</si>
  <si>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</si>
  <si>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</si>
  <si>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</si>
  <si>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</si>
  <si>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</si>
  <si>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</si>
  <si>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</si>
  <si>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</si>
  <si>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</si>
  <si>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</si>
  <si>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</si>
  <si>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</si>
  <si>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</si>
  <si>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</si>
  <si>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</si>
  <si>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</si>
  <si>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</si>
  <si>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</si>
  <si>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</si>
  <si>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</si>
  <si>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</si>
  <si>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</si>
  <si>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</si>
  <si>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</si>
  <si>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</si>
  <si>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</si>
  <si>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</si>
  <si>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</si>
  <si>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</si>
  <si>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</si>
  <si>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</si>
  <si>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</si>
  <si>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</si>
  <si>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</si>
  <si>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</si>
  <si>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</si>
  <si>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</si>
  <si>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</si>
  <si>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</si>
  <si>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</si>
  <si>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</si>
  <si>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</si>
  <si>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</si>
  <si>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</si>
  <si>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</si>
  <si>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</si>
  <si>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</si>
  <si>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</si>
  <si>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</si>
  <si>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</si>
  <si>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</si>
  <si>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</si>
  <si>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</si>
  <si>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</si>
  <si>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</si>
  <si>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</si>
  <si>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</si>
  <si>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</si>
  <si>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</si>
  <si>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</si>
  <si>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</si>
  <si>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</si>
  <si>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</si>
  <si>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</si>
  <si>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</si>
  <si>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</si>
  <si>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</si>
  <si>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</si>
  <si>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</si>
  <si>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</si>
  <si>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</si>
  <si>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</si>
  <si>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</si>
  <si>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</si>
  <si>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</si>
  <si>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</si>
  <si>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</si>
  <si>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</si>
  <si>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</si>
  <si>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</si>
  <si>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</si>
  <si>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</si>
  <si>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</si>
  <si>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</si>
  <si>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</si>
  <si>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</si>
  <si>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</si>
  <si>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</si>
  <si>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</si>
  <si>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</si>
  <si>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</si>
  <si>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</si>
  <si>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</si>
  <si>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</si>
  <si>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</si>
  <si>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</si>
  <si>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</si>
  <si>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</si>
  <si>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</si>
  <si>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</si>
  <si>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</si>
  <si>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</si>
  <si>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</si>
  <si>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</si>
  <si>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</si>
  <si>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</si>
  <si>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</si>
  <si>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</si>
  <si>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</si>
  <si>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</si>
  <si>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</si>
  <si>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</si>
  <si>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</si>
  <si>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</si>
  <si>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</si>
  <si>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</si>
  <si>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</si>
  <si>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</si>
  <si>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</si>
  <si>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</si>
  <si>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</si>
  <si>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</si>
  <si>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</si>
  <si>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</si>
  <si>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</si>
  <si>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</si>
  <si>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</si>
  <si>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</si>
  <si>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</si>
  <si>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</si>
  <si>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</si>
  <si>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</si>
  <si>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</si>
  <si>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</si>
  <si>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</si>
  <si>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</si>
  <si>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</si>
  <si>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</si>
  <si>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</si>
  <si>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</si>
  <si>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</si>
  <si>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</si>
  <si>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</si>
  <si>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</si>
  <si>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</si>
  <si>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</si>
  <si>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</si>
  <si>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</si>
  <si>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</si>
  <si>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</si>
  <si>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</si>
  <si>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</si>
  <si>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</si>
  <si>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</si>
  <si>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</si>
  <si>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</si>
  <si>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</si>
  <si>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</si>
  <si>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</si>
  <si>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</si>
  <si>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</si>
  <si>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</si>
  <si>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</si>
  <si>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</si>
  <si>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</si>
  <si>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</si>
  <si>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</si>
  <si>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</si>
  <si>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</si>
  <si>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</si>
  <si>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</si>
  <si>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</si>
  <si>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</si>
  <si>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</si>
  <si>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</si>
  <si>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</si>
  <si>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</si>
  <si>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</si>
  <si>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</si>
  <si>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</si>
  <si>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</si>
  <si>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</si>
  <si>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</si>
  <si>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</si>
  <si>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</si>
  <si>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</si>
  <si>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</si>
  <si>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</si>
  <si>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</si>
  <si>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</si>
  <si>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</si>
  <si>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</si>
  <si>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</si>
  <si>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</si>
  <si>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</si>
  <si>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</si>
  <si>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</si>
  <si>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</si>
  <si>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</si>
  <si>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</si>
  <si>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</si>
  <si>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</si>
  <si>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</si>
  <si>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</si>
  <si>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</si>
  <si>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</si>
  <si>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</si>
  <si>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</si>
  <si>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</si>
  <si>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</si>
  <si>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</si>
  <si>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</si>
  <si>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</si>
  <si>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</si>
  <si>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</si>
  <si>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</si>
  <si>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</si>
  <si>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</si>
  <si>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</si>
  <si>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</si>
  <si>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</si>
  <si>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</si>
  <si>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</si>
  <si>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</si>
  <si>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</si>
  <si>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</si>
  <si>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</si>
  <si>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</si>
  <si>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</si>
  <si>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</si>
  <si>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</si>
  <si>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</si>
  <si>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</si>
  <si>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</si>
  <si>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</si>
  <si>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</si>
  <si>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</si>
  <si>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</si>
  <si>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</si>
  <si>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</si>
  <si>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</si>
  <si>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</si>
  <si>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</si>
  <si>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</si>
  <si>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</si>
  <si>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</si>
  <si>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</si>
  <si>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</si>
  <si>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</si>
  <si>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</si>
  <si>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</si>
  <si>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</si>
  <si>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</si>
  <si>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</si>
  <si>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</si>
  <si>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</si>
  <si>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</si>
  <si>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</si>
  <si>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</si>
  <si>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</si>
  <si>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</si>
  <si>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</si>
  <si>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</si>
  <si>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</si>
  <si>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</si>
  <si>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</si>
  <si>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</si>
  <si>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</si>
  <si>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</si>
  <si>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</si>
  <si>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</si>
  <si>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</si>
  <si>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</si>
  <si>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</si>
  <si>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</si>
  <si>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</si>
  <si>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</si>
  <si>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</si>
  <si>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</si>
  <si>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</si>
  <si>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</si>
  <si>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</si>
  <si>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</si>
  <si>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</si>
  <si>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</si>
  <si>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</si>
  <si>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</si>
  <si>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</si>
  <si>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</si>
  <si>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</si>
  <si>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</si>
  <si>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</si>
  <si>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</si>
  <si>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</si>
  <si>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</si>
  <si>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</si>
  <si>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</si>
  <si>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</si>
  <si>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</si>
  <si>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</si>
  <si>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</si>
  <si>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</si>
  <si>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</si>
  <si>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</si>
  <si>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</si>
  <si>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</si>
  <si>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</si>
  <si>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</si>
  <si>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</si>
  <si>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</si>
  <si>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</si>
  <si>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</si>
  <si>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</si>
  <si>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</si>
  <si>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</si>
  <si>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</si>
  <si>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</si>
  <si>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</si>
  <si>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</si>
  <si>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</si>
  <si>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</si>
  <si>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</si>
  <si>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</si>
  <si>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</si>
  <si>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</si>
  <si>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</si>
  <si>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</si>
  <si>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</si>
  <si>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</si>
  <si>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</si>
  <si>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</si>
  <si>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</si>
  <si>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</si>
  <si>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</si>
  <si>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</si>
  <si>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</si>
  <si>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</si>
  <si>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</si>
  <si>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</si>
  <si>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</si>
  <si>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</si>
  <si>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</si>
  <si>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</si>
  <si>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</si>
  <si>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</si>
  <si>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</si>
  <si>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</si>
  <si>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</si>
  <si>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</si>
  <si>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</si>
  <si>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</si>
  <si>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</si>
  <si>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</si>
  <si>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</si>
  <si>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</si>
  <si>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</si>
  <si>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</si>
  <si>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</si>
  <si>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</si>
  <si>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</si>
  <si>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</si>
  <si>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</si>
  <si>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</si>
  <si>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</si>
  <si>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</si>
  <si>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</si>
  <si>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</si>
  <si>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</si>
  <si>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</si>
  <si>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</si>
  <si>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</si>
  <si>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</si>
  <si>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</si>
  <si>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</si>
  <si>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</si>
  <si>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</si>
  <si>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</si>
  <si>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</si>
  <si>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</si>
  <si>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</si>
  <si>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</si>
  <si>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</si>
  <si>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</si>
  <si>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</si>
  <si>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</si>
  <si>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</si>
  <si>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</si>
  <si>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</si>
  <si>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</si>
  <si>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</si>
  <si>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</si>
  <si>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</si>
  <si>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</si>
  <si>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</si>
  <si>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</si>
  <si>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</si>
  <si>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</si>
  <si>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</si>
  <si>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</si>
  <si>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</si>
  <si>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</si>
  <si>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</si>
  <si>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</si>
  <si>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</si>
  <si>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</si>
  <si>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</si>
  <si>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</si>
  <si>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</si>
  <si>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</si>
  <si>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</si>
  <si>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</si>
  <si>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</si>
  <si>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</si>
  <si>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</si>
  <si>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</si>
  <si>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</si>
  <si>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</si>
  <si>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</si>
  <si>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</si>
  <si>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</si>
  <si>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</si>
  <si>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</si>
  <si>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</si>
  <si>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</si>
  <si>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</si>
  <si>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</si>
  <si>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</si>
  <si>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</si>
  <si>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</si>
  <si>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</si>
  <si>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</si>
  <si>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</si>
  <si>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</si>
  <si>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</si>
  <si>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</si>
  <si>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</si>
  <si>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</si>
  <si>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</si>
  <si>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</si>
  <si>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</si>
  <si>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</si>
  <si>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</si>
  <si>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</si>
  <si>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</si>
  <si>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</si>
  <si>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</si>
  <si>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</si>
  <si>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</si>
  <si>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</si>
  <si>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</si>
  <si>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</si>
  <si>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</si>
  <si>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</si>
  <si>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</si>
  <si>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</si>
  <si>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</si>
  <si>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</si>
  <si>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</si>
  <si>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</si>
  <si>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</si>
  <si>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</si>
  <si>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</si>
  <si>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</si>
  <si>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</si>
  <si>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</si>
  <si>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</si>
  <si>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</si>
  <si>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</si>
  <si>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</si>
  <si>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</si>
  <si>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</si>
  <si>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</si>
  <si>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</si>
  <si>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</si>
  <si>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</si>
  <si>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</si>
  <si>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</si>
  <si>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</si>
  <si>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</si>
  <si>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</si>
  <si>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</si>
  <si>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</si>
  <si>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</si>
  <si>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</si>
  <si>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</si>
  <si>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</si>
  <si>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</si>
  <si>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</si>
  <si>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</si>
  <si>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</si>
  <si>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</si>
  <si>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</si>
  <si>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</si>
  <si>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</si>
  <si>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</si>
  <si>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</si>
  <si>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</si>
  <si>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</si>
  <si>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</si>
  <si>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</si>
  <si>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</si>
  <si>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</si>
  <si>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</si>
  <si>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</si>
  <si>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</si>
  <si>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</si>
  <si>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</si>
  <si>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</si>
  <si>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</si>
  <si>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</si>
  <si>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</si>
  <si>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</si>
  <si>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</si>
  <si>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</si>
  <si>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</si>
  <si>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</si>
  <si>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</si>
  <si>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</si>
  <si>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</si>
  <si>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</si>
  <si>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</si>
  <si>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</si>
  <si>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</si>
  <si>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</si>
  <si>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</si>
  <si>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</si>
  <si>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</si>
  <si>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</si>
  <si>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</si>
  <si>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</si>
  <si>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</si>
  <si>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</si>
  <si>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</si>
  <si>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</si>
  <si>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</si>
  <si>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</si>
  <si>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</si>
  <si>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</si>
  <si>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</si>
  <si>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</si>
  <si>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</si>
  <si>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</si>
  <si>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</si>
  <si>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</si>
  <si>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</si>
  <si>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</si>
  <si>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</si>
  <si>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</si>
  <si>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</si>
  <si>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</si>
  <si>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</si>
  <si>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</si>
  <si>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</si>
  <si>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</si>
  <si>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</si>
  <si>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</si>
  <si>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</si>
  <si>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</si>
  <si>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</si>
  <si>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</si>
  <si>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</si>
  <si>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</si>
  <si>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</si>
  <si>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</si>
  <si>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</si>
  <si>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</si>
  <si>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</si>
  <si>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</si>
  <si>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</si>
  <si>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</si>
  <si>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</si>
  <si>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</si>
  <si>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</si>
  <si>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</si>
  <si>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</si>
  <si>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</si>
  <si>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</si>
  <si>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</si>
  <si>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</si>
  <si>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</si>
  <si>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</si>
  <si>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</si>
  <si>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</si>
  <si>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</si>
  <si>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</si>
  <si>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</si>
  <si>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</si>
  <si>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</si>
  <si>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</si>
  <si>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</si>
  <si>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</si>
  <si>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</si>
  <si>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</si>
  <si>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</si>
  <si>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</si>
  <si>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</si>
  <si>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</si>
  <si>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</si>
  <si>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</si>
  <si>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</si>
  <si>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</si>
  <si>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</si>
  <si>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</si>
  <si>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</si>
  <si>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</si>
  <si>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</si>
  <si>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</si>
  <si>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</si>
  <si>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</si>
  <si>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</si>
  <si>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</si>
  <si>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</si>
  <si>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</si>
  <si>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</si>
  <si>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</si>
  <si>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</si>
  <si>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</si>
  <si>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</si>
  <si>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</si>
  <si>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</si>
  <si>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</si>
  <si>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</si>
  <si>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</si>
  <si>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</si>
  <si>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</si>
  <si>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</si>
  <si>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</si>
  <si>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</si>
  <si>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</si>
  <si>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</si>
  <si>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</si>
  <si>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</si>
  <si>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</si>
  <si>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</si>
  <si>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</si>
  <si>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</si>
  <si>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</si>
  <si>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</si>
  <si>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</si>
  <si>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</si>
  <si>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</si>
  <si>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</si>
  <si>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</si>
  <si>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</si>
  <si>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</si>
  <si>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</si>
  <si>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</si>
  <si>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</si>
  <si>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</si>
  <si>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</si>
  <si>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</si>
  <si>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</si>
  <si>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</si>
  <si>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</si>
  <si>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</si>
  <si>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</si>
  <si>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</si>
  <si>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</si>
  <si>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</si>
  <si>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</si>
  <si>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</si>
  <si>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</si>
  <si>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</si>
  <si>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</si>
  <si>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</si>
  <si>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</si>
  <si>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</si>
  <si>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</si>
  <si>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</si>
  <si>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</si>
  <si>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</si>
  <si>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</si>
  <si>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</si>
  <si>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</si>
  <si>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</si>
  <si>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</si>
  <si>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</si>
  <si>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</si>
  <si>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</si>
  <si>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</si>
  <si>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</si>
  <si>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</si>
  <si>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</si>
  <si>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</si>
  <si>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</si>
  <si>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</si>
  <si>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</si>
  <si>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</si>
  <si>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</si>
  <si>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</si>
  <si>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</si>
  <si>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</si>
  <si>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</si>
  <si>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</si>
  <si>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</si>
  <si>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</si>
  <si>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</si>
  <si>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</si>
  <si>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</si>
  <si>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</si>
  <si>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</si>
  <si>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</si>
  <si>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</si>
  <si>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</si>
  <si>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</si>
  <si>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</si>
  <si>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</si>
  <si>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</si>
  <si>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</si>
  <si>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</si>
  <si>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</si>
  <si>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</si>
  <si>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</si>
  <si>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</si>
  <si>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</si>
  <si>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</si>
  <si>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</si>
  <si>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</si>
  <si>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</si>
  <si>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</si>
  <si>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</si>
  <si>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</si>
  <si>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</si>
  <si>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</si>
  <si>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</si>
  <si>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</si>
  <si>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</si>
  <si>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</si>
  <si>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</si>
  <si>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</si>
  <si>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</si>
  <si>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</si>
  <si>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</si>
  <si>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</si>
  <si>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</si>
  <si>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</si>
  <si>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</si>
  <si>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</si>
  <si>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</si>
  <si>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</si>
  <si>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</si>
  <si>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</si>
  <si>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</si>
  <si>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</si>
  <si>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</si>
  <si>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</si>
  <si>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</si>
  <si>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</si>
  <si>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</si>
  <si>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</si>
  <si>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</si>
  <si>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</si>
  <si>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</si>
  <si>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</si>
  <si>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</si>
  <si>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</si>
  <si>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</si>
  <si>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</si>
  <si>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</si>
  <si>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</si>
  <si>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</si>
  <si>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</si>
  <si>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</si>
  <si>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</si>
  <si>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</si>
  <si>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</si>
  <si>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</si>
  <si>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</si>
  <si>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</si>
  <si>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</si>
  <si>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</si>
  <si>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</si>
  <si>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</si>
  <si>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</si>
  <si>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</si>
  <si>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</si>
  <si>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</si>
  <si>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</si>
  <si>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</si>
  <si>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</si>
  <si>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</si>
  <si>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</si>
  <si>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</si>
  <si>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</si>
  <si>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</si>
  <si>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</si>
  <si>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</si>
  <si>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</si>
  <si>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</si>
  <si>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</si>
  <si>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</si>
  <si>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</si>
  <si>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</si>
  <si>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</si>
  <si>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</si>
  <si>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</si>
  <si>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</si>
  <si>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</si>
  <si>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</si>
  <si>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</si>
  <si>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</si>
  <si>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</si>
  <si>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</si>
  <si>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</si>
  <si>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</si>
  <si>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</si>
  <si>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</si>
  <si>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</si>
  <si>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</si>
  <si>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</si>
  <si>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</si>
  <si>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</si>
  <si>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</si>
  <si>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</si>
  <si>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</si>
  <si>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</si>
  <si>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</si>
  <si>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</si>
  <si>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</si>
  <si>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</si>
  <si>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</si>
  <si>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</si>
  <si>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</si>
  <si>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</si>
  <si>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</si>
  <si>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</si>
  <si>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</si>
  <si>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</si>
  <si>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</si>
  <si>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</si>
  <si>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</si>
  <si>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</si>
  <si>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</si>
  <si>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</si>
  <si>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</si>
  <si>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</si>
  <si>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</si>
  <si>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</si>
  <si>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</si>
  <si>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</si>
  <si>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</si>
  <si>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</si>
  <si>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</si>
  <si>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</si>
  <si>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</si>
  <si>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</si>
  <si>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</si>
  <si>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</si>
  <si>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</si>
  <si>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</si>
  <si>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</si>
  <si>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</si>
  <si>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</si>
  <si>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</si>
  <si>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</si>
  <si>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</si>
  <si>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</si>
  <si>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</si>
  <si>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</si>
  <si>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</si>
  <si>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</si>
  <si>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</si>
  <si>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</si>
  <si>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</si>
  <si>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</si>
  <si>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</si>
  <si>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</si>
  <si>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</si>
  <si>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</si>
  <si>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</si>
  <si>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</si>
  <si>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</si>
  <si>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</si>
  <si>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</si>
  <si>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</si>
  <si>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</si>
  <si>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</si>
  <si>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</si>
  <si>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</si>
  <si>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</si>
  <si>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</si>
  <si>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</si>
  <si>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</si>
  <si>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</si>
  <si>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</si>
  <si>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</si>
  <si>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</si>
  <si>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</si>
  <si>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</si>
  <si>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</si>
  <si>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</si>
  <si>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</si>
  <si>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</si>
  <si>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</si>
  <si>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</si>
  <si>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</si>
  <si>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</si>
  <si>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</si>
  <si>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</si>
  <si>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</si>
  <si>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</si>
  <si>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</si>
  <si>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</si>
  <si>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</si>
  <si>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</si>
  <si>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</si>
  <si>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</si>
  <si>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</si>
  <si>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</si>
  <si>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</si>
  <si>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</si>
  <si>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</si>
  <si>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</si>
  <si>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</si>
  <si>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</si>
  <si>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</si>
  <si>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</si>
  <si>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</si>
  <si>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</si>
  <si>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</si>
  <si>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</si>
  <si>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</si>
  <si>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</si>
  <si>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</si>
  <si>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</si>
  <si>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</si>
  <si>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</si>
  <si>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</si>
  <si>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</si>
  <si>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</si>
  <si>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</si>
  <si>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</si>
  <si>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</si>
  <si>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</si>
  <si>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</si>
  <si>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</si>
  <si>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</si>
  <si>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</si>
  <si>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</si>
  <si>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</si>
  <si>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</si>
  <si>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</si>
  <si>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</si>
  <si>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</si>
  <si>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</si>
  <si>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</si>
  <si>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</si>
  <si>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</si>
  <si>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</si>
  <si>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</si>
  <si>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</si>
  <si>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</si>
  <si>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</si>
  <si>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</si>
  <si>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</si>
  <si>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</si>
  <si>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</si>
  <si>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</si>
  <si>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</si>
  <si>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</si>
  <si>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</si>
  <si>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</si>
  <si>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</si>
  <si>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</si>
  <si>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</si>
  <si>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</si>
  <si>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</si>
  <si>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</si>
  <si>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</si>
  <si>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</si>
  <si>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</si>
  <si>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</si>
  <si>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</si>
  <si>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</si>
  <si>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</si>
  <si>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</si>
  <si>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</si>
  <si>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</si>
  <si>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</si>
  <si>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</si>
  <si>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</si>
  <si>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</si>
  <si>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</si>
  <si>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</si>
  <si>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</si>
  <si>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</si>
  <si>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</si>
  <si>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</si>
  <si>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</si>
  <si>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</si>
  <si>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</si>
  <si>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</si>
  <si>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</si>
  <si>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</si>
  <si>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</si>
  <si>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</si>
  <si>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</si>
  <si>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</si>
  <si>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</si>
  <si>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</si>
  <si>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</si>
  <si>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</si>
  <si>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</si>
  <si>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</si>
  <si>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</si>
  <si>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</si>
  <si>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</si>
  <si>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</si>
  <si>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</si>
  <si>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</si>
  <si>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</si>
  <si>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</si>
  <si>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</si>
  <si>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</si>
  <si>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</si>
  <si>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</si>
  <si>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</si>
  <si>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</si>
  <si>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</si>
  <si>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</si>
  <si>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</si>
  <si>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</si>
  <si>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</si>
  <si>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</si>
  <si>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</si>
  <si>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</si>
  <si>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</si>
  <si>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</si>
  <si>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</si>
  <si>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</si>
  <si>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</si>
  <si>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</si>
  <si>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</si>
  <si>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</si>
  <si>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</si>
  <si>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</si>
  <si>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</si>
  <si>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</si>
  <si>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</si>
  <si>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</si>
  <si>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</si>
  <si>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</si>
  <si>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</si>
  <si>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</si>
  <si>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</si>
  <si>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</si>
  <si>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</si>
  <si>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</si>
  <si>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</si>
  <si>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</si>
  <si>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</si>
  <si>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</si>
  <si>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</si>
  <si>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</si>
  <si>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</si>
  <si>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</si>
  <si>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</si>
  <si>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</si>
  <si>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</si>
  <si>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</si>
  <si>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</si>
  <si>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</si>
  <si>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</si>
  <si>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</si>
  <si>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</si>
  <si>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</si>
  <si>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</si>
  <si>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</si>
  <si>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</si>
  <si>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</si>
  <si>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</si>
  <si>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</si>
  <si>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</si>
  <si>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</si>
  <si>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</si>
  <si>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</si>
  <si>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</si>
  <si>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</si>
  <si>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</si>
  <si>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</si>
  <si>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</si>
  <si>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</si>
  <si>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</si>
  <si>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</si>
  <si>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</si>
  <si>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</si>
  <si>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</si>
  <si>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</si>
  <si>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</si>
  <si>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</si>
  <si>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</si>
  <si>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</si>
  <si>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</si>
  <si>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</si>
  <si>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</si>
  <si>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</si>
  <si>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</si>
  <si>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</si>
  <si>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</si>
  <si>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</si>
  <si>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</si>
  <si>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</si>
  <si>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</si>
  <si>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</si>
  <si>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</si>
  <si>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</si>
  <si>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</si>
  <si>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</si>
  <si>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</si>
  <si>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</si>
  <si>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</si>
  <si>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</si>
  <si>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</si>
  <si>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</si>
  <si>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</si>
  <si>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</si>
  <si>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</si>
  <si>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</si>
  <si>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</si>
  <si>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</si>
  <si>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</si>
  <si>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</si>
  <si>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</si>
  <si>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</si>
  <si>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</si>
  <si>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</si>
  <si>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</si>
  <si>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</si>
  <si>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</si>
  <si>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</si>
  <si>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</si>
  <si>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</si>
  <si>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</si>
  <si>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</si>
  <si>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</si>
  <si>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</si>
  <si>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</si>
  <si>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</si>
  <si>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</si>
  <si>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</si>
  <si>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</si>
  <si>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</si>
  <si>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</si>
  <si>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</si>
  <si>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</si>
  <si>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</si>
  <si>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</si>
  <si>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</si>
  <si>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</si>
  <si>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</si>
  <si>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</si>
  <si>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</si>
  <si>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</si>
  <si>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</si>
  <si>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</si>
  <si>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</si>
  <si>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</si>
  <si>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</si>
  <si>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</si>
  <si>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</si>
  <si>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</si>
  <si>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</si>
  <si>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</si>
  <si>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</si>
  <si>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</si>
  <si>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</si>
  <si>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</si>
  <si>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</si>
  <si>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</si>
  <si>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</si>
  <si>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</si>
  <si>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</si>
  <si>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</si>
  <si>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</si>
  <si>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</si>
  <si>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</si>
  <si>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</si>
  <si>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</si>
  <si>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</si>
  <si>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</si>
  <si>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</si>
  <si>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</si>
  <si>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</si>
  <si>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</si>
  <si>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</si>
  <si>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</si>
  <si>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</si>
  <si>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</si>
  <si>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</si>
  <si>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</si>
  <si>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</si>
  <si>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</si>
  <si>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</si>
  <si>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</si>
  <si>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</si>
  <si>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</si>
  <si>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</si>
  <si>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</si>
  <si>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</si>
  <si>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</si>
  <si>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</si>
  <si>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</si>
  <si>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</si>
  <si>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</si>
  <si>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</si>
  <si>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</si>
  <si>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</si>
  <si>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</si>
  <si>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</si>
  <si>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</si>
  <si>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</si>
  <si>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</si>
  <si>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</si>
  <si>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</si>
  <si>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</si>
  <si>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</si>
  <si>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</si>
  <si>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</si>
  <si>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</si>
  <si>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</si>
  <si>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</si>
  <si>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</si>
  <si>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</si>
  <si>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</si>
  <si>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</si>
  <si>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</si>
  <si>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</si>
  <si>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</si>
  <si>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</si>
  <si>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</si>
  <si>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</si>
  <si>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</si>
  <si>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</si>
  <si>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</si>
  <si>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</si>
  <si>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</si>
  <si>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</si>
  <si>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</si>
  <si>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</si>
  <si>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</si>
  <si>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</si>
  <si>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</si>
  <si>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</si>
  <si>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</si>
  <si>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</si>
  <si>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</si>
  <si>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</si>
  <si>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</si>
  <si>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</si>
  <si>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</si>
  <si>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</si>
  <si>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</si>
  <si>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</si>
  <si>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</si>
  <si>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</si>
  <si>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</si>
  <si>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</si>
  <si>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</si>
  <si>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</si>
  <si>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</si>
  <si>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</si>
  <si>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</si>
  <si>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</si>
  <si>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</si>
  <si>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</si>
  <si>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</si>
  <si>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</si>
  <si>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</si>
  <si>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</si>
  <si>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</si>
  <si>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</si>
  <si>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</si>
  <si>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</si>
  <si>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</si>
  <si>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</si>
  <si>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</si>
  <si>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</si>
  <si>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</si>
  <si>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</si>
  <si>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</si>
  <si>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</si>
  <si>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</si>
  <si>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</si>
  <si>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</si>
  <si>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</si>
  <si>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</si>
  <si>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</si>
  <si>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</si>
  <si>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</si>
  <si>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</si>
  <si>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</si>
  <si>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</si>
  <si>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</si>
  <si>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</si>
  <si>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</si>
  <si>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</si>
  <si>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</si>
  <si>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</si>
  <si>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</si>
  <si>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</si>
  <si>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</si>
  <si>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</si>
  <si>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</si>
  <si>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</si>
  <si>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</si>
  <si>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</si>
  <si>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</si>
  <si>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</si>
  <si>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</si>
  <si>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</si>
  <si>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</si>
  <si>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</si>
  <si>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</si>
  <si>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</si>
  <si>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</si>
  <si>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</si>
  <si>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</si>
  <si>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</si>
  <si>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</si>
  <si>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</si>
  <si>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</si>
  <si>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</si>
  <si>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</si>
  <si>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</si>
  <si>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</si>
  <si>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</si>
  <si>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</si>
  <si>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</si>
  <si>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</si>
  <si>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</si>
  <si>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</si>
  <si>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</si>
  <si>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</si>
  <si>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</si>
  <si>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</si>
  <si>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</si>
  <si>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</si>
  <si>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</si>
  <si>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</si>
  <si>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</si>
  <si>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</si>
  <si>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</si>
  <si>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</si>
  <si>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</si>
  <si>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</si>
  <si>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</si>
  <si>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</si>
  <si>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</si>
  <si>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</si>
  <si>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</si>
  <si>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</si>
  <si>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</si>
  <si>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</si>
  <si>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</si>
  <si>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</si>
  <si>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</si>
  <si>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</si>
  <si>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</si>
  <si>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</si>
  <si>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</si>
  <si>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</si>
  <si>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</si>
  <si>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</si>
  <si>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</si>
  <si>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</si>
  <si>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</si>
  <si>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</si>
  <si>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</si>
  <si>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</si>
  <si>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</si>
  <si>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</si>
  <si>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</si>
  <si>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</si>
  <si>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</si>
  <si>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</si>
  <si>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</si>
  <si>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</si>
  <si>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</si>
  <si>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</si>
  <si>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</si>
  <si>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</si>
  <si>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</si>
  <si>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</si>
  <si>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</si>
  <si>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</si>
  <si>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</si>
  <si>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</si>
  <si>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</si>
  <si>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</si>
  <si>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</si>
  <si>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</si>
  <si>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</si>
  <si>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</si>
  <si>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</si>
  <si>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</si>
  <si>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</si>
  <si>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</si>
  <si>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</si>
  <si>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</si>
  <si>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</si>
  <si>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</si>
  <si>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</si>
  <si>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</si>
  <si>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</si>
  <si>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</si>
  <si>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</si>
  <si>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</si>
  <si>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</si>
  <si>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</si>
  <si>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</si>
  <si>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</si>
  <si>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</si>
  <si>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</si>
  <si>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</si>
  <si>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</si>
  <si>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</si>
  <si>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</si>
  <si>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</si>
  <si>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</si>
  <si>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</si>
  <si>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</si>
  <si>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</si>
  <si>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</si>
  <si>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</si>
  <si>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</si>
  <si>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</si>
  <si>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</si>
  <si>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</si>
  <si>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</si>
  <si>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</si>
  <si>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</si>
  <si>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</si>
  <si>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</si>
  <si>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</si>
  <si>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</si>
  <si>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</si>
  <si>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</si>
  <si>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</si>
  <si>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</si>
  <si>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</si>
  <si>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</si>
  <si>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</si>
  <si>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</si>
  <si>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</si>
  <si>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</si>
  <si>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</si>
  <si>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</si>
  <si>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</si>
  <si>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</si>
  <si>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</si>
  <si>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</si>
  <si>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</si>
  <si>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</si>
  <si>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</si>
  <si>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</si>
  <si>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</si>
  <si>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</si>
  <si>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</si>
  <si>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</si>
  <si>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</si>
  <si>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</si>
  <si>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</si>
  <si>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</si>
  <si>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</si>
  <si>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</si>
  <si>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</si>
  <si>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</si>
  <si>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</si>
  <si>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</si>
  <si>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</si>
  <si>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</si>
  <si>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</si>
  <si>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</si>
  <si>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</si>
  <si>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</si>
  <si>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</si>
  <si>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</si>
  <si>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</si>
  <si>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</si>
  <si>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</si>
  <si>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</si>
  <si>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</si>
  <si>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</si>
  <si>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</si>
  <si>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</si>
  <si>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</si>
  <si>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</si>
  <si>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</si>
  <si>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</si>
  <si>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</si>
  <si>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</si>
  <si>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</si>
  <si>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</si>
  <si>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</si>
  <si>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</si>
  <si>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</si>
  <si>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</si>
  <si>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</si>
  <si>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</si>
  <si>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</si>
  <si>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</si>
  <si>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</si>
  <si>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</si>
  <si>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</si>
  <si>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</si>
  <si>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</si>
  <si>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</si>
  <si>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</si>
  <si>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</si>
  <si>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</si>
  <si>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</si>
  <si>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</si>
  <si>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</si>
  <si>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</si>
  <si>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</si>
  <si>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</si>
  <si>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</si>
  <si>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</si>
  <si>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</si>
  <si>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</si>
  <si>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</si>
  <si>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</si>
  <si>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</si>
  <si>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</si>
  <si>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</si>
  <si>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</si>
  <si>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</si>
  <si>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</si>
  <si>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</si>
  <si>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</si>
  <si>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</si>
  <si>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</si>
  <si>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</si>
  <si>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</si>
  <si>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</si>
  <si>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</si>
  <si>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</si>
  <si>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</si>
  <si>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</si>
  <si>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</si>
  <si>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</si>
  <si>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</si>
  <si>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</si>
  <si>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</si>
  <si>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</si>
  <si>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</si>
  <si>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</si>
  <si>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</si>
  <si>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</si>
  <si>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</si>
  <si>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</si>
  <si>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</si>
  <si>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</si>
  <si>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</si>
  <si>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</si>
  <si>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</si>
  <si>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</si>
  <si>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</si>
  <si>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</si>
  <si>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</si>
  <si>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</si>
  <si>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</si>
  <si>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</si>
  <si>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</si>
  <si>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</si>
  <si>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</si>
  <si>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</si>
  <si>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</si>
  <si>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</si>
  <si>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</si>
  <si>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</si>
  <si>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</si>
  <si>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</si>
  <si>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</si>
  <si>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</si>
  <si>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</si>
  <si>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</si>
  <si>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</si>
  <si>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</si>
  <si>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</si>
  <si>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</si>
  <si>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</si>
  <si>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</si>
  <si>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</si>
  <si>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</si>
  <si>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</si>
  <si>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</si>
  <si>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</si>
  <si>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</si>
  <si>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</si>
  <si>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</si>
  <si>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</si>
  <si>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</si>
  <si>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</si>
  <si>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</si>
  <si>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</si>
  <si>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</si>
  <si>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</si>
  <si>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</si>
  <si>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</si>
  <si>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</si>
  <si>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</si>
  <si>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</si>
  <si>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</si>
  <si>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</si>
  <si>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</si>
  <si>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</si>
  <si>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</si>
  <si>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</si>
  <si>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</si>
  <si>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</si>
  <si>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</si>
  <si>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</si>
  <si>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</si>
  <si>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</si>
  <si>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</si>
  <si>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</si>
  <si>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</si>
  <si>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</si>
  <si>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</si>
  <si>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</si>
  <si>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</si>
  <si>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</si>
  <si>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</si>
  <si>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</si>
  <si>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</si>
  <si>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</si>
  <si>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</si>
  <si>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</si>
  <si>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</si>
  <si>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</si>
  <si>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</si>
  <si>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</si>
  <si>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</si>
  <si>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</si>
  <si>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</si>
  <si>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</si>
  <si>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</si>
  <si>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</si>
  <si>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</si>
  <si>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</si>
  <si>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</si>
  <si>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</si>
  <si>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</si>
  <si>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</si>
  <si>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</si>
  <si>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</si>
  <si>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</si>
  <si>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</si>
  <si>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</si>
  <si>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</si>
  <si>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</si>
  <si>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</si>
  <si>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</si>
  <si>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</si>
  <si>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</si>
  <si>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</si>
  <si>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</si>
  <si>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</si>
  <si>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</si>
  <si>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</si>
  <si>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</si>
  <si>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</si>
  <si>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</si>
  <si>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</si>
  <si>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</si>
  <si>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</si>
  <si>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</si>
  <si>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</si>
  <si>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</si>
  <si>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</si>
  <si>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</si>
  <si>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</si>
  <si>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</si>
  <si>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</si>
  <si>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</si>
  <si>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</si>
  <si>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</si>
  <si>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</si>
  <si>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</si>
  <si>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</si>
  <si>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</si>
  <si>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</si>
  <si>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</si>
  <si>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</si>
  <si>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</si>
  <si>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</si>
  <si>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</si>
  <si>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</si>
  <si>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</si>
  <si>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</si>
  <si>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</si>
  <si>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</si>
  <si>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</si>
  <si>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</si>
  <si>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</si>
  <si>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</si>
  <si>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</si>
  <si>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</si>
  <si>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</si>
  <si>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</si>
  <si>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</si>
  <si>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</si>
  <si>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</si>
  <si>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</si>
  <si>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</si>
  <si>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</si>
  <si>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</si>
  <si>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</si>
  <si>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</si>
  <si>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</si>
  <si>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</si>
  <si>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</si>
  <si>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</si>
  <si>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</si>
  <si>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</si>
  <si>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</si>
  <si>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</si>
  <si>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</si>
  <si>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</si>
  <si>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</si>
  <si>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</si>
  <si>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</si>
  <si>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</si>
  <si>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</si>
  <si>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</si>
  <si>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</si>
  <si>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</si>
  <si>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</si>
  <si>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</si>
  <si>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</si>
  <si>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</si>
  <si>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</si>
  <si>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</si>
  <si>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</si>
  <si>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</si>
  <si>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</si>
  <si>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</si>
  <si>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</si>
  <si>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</si>
  <si>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</si>
  <si>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</si>
  <si>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</si>
  <si>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</si>
  <si>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</si>
  <si>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</si>
  <si>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</si>
  <si>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</si>
  <si>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</si>
  <si>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</si>
  <si>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</si>
  <si>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</si>
  <si>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</si>
  <si>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</si>
  <si>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</si>
  <si>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</si>
  <si>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</si>
  <si>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</si>
  <si>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</si>
  <si>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</si>
  <si>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</si>
  <si>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</si>
  <si>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</si>
  <si>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</si>
  <si>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</si>
  <si>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</si>
  <si>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</si>
  <si>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</si>
  <si>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</si>
  <si>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</si>
  <si>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</si>
  <si>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</si>
  <si>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</si>
  <si>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</si>
  <si>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</si>
  <si>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</si>
  <si>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</si>
  <si>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</si>
  <si>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</si>
  <si>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</si>
  <si>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</si>
  <si>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</si>
  <si>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</si>
  <si>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</si>
  <si>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</si>
  <si>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</si>
  <si>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</si>
  <si>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</si>
  <si>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</si>
  <si>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</si>
  <si>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</si>
  <si>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</si>
  <si>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</si>
  <si>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</si>
  <si>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</si>
  <si>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</si>
  <si>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</si>
  <si>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</si>
  <si>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</si>
  <si>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</si>
  <si>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</si>
  <si>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</si>
  <si>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</si>
  <si>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</si>
  <si>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</si>
  <si>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</si>
  <si>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</si>
  <si>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</si>
  <si>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</si>
  <si>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</si>
  <si>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</si>
  <si>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</si>
  <si>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</si>
  <si>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</si>
  <si>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</si>
  <si>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</si>
  <si>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</si>
  <si>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</si>
  <si>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</si>
  <si>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</si>
  <si>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</si>
  <si>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</si>
  <si>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</si>
  <si>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</si>
  <si>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</si>
  <si>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</si>
  <si>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</si>
  <si>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</si>
  <si>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</si>
  <si>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</si>
  <si>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</si>
  <si>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</si>
  <si>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</si>
  <si>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</si>
  <si>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</si>
  <si>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</si>
  <si>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</si>
  <si>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</si>
  <si>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</si>
  <si>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</si>
  <si>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</si>
  <si>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</si>
  <si>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</si>
  <si>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</si>
  <si>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</si>
  <si>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</si>
  <si>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</si>
  <si>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</si>
  <si>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</si>
  <si>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</si>
  <si>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</si>
  <si>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</si>
  <si>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</si>
  <si>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</si>
  <si>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</si>
  <si>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</si>
  <si>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</si>
  <si>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</si>
  <si>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</si>
  <si>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</si>
  <si>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</si>
  <si>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</si>
  <si>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</si>
  <si>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</si>
  <si>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</si>
  <si>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</si>
  <si>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</si>
  <si>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</si>
  <si>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</si>
  <si>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</si>
  <si>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</si>
  <si>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</si>
  <si>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</si>
  <si>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</si>
  <si>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</si>
  <si>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</si>
  <si>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</si>
  <si>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</si>
  <si>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</si>
  <si>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</si>
  <si>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</si>
  <si>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</si>
  <si>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</si>
  <si>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</si>
  <si>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</si>
  <si>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</si>
  <si>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</si>
  <si>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</si>
  <si>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</si>
  <si>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</si>
  <si>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</si>
  <si>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</si>
  <si>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</si>
  <si>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</si>
  <si>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</si>
  <si>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</si>
  <si>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</si>
  <si>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</si>
  <si>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</si>
  <si>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</si>
  <si>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</si>
  <si>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</si>
  <si>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</si>
  <si>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</si>
  <si>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</si>
  <si>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</si>
  <si>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</si>
  <si>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</si>
  <si>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</si>
  <si>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</si>
  <si>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</si>
  <si>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</si>
  <si>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</si>
  <si>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</si>
  <si>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</si>
  <si>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</si>
  <si>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</si>
  <si>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</si>
  <si>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</si>
  <si>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</si>
  <si>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</si>
  <si>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</si>
  <si>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</si>
  <si>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</si>
  <si>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</si>
  <si>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</si>
  <si>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</si>
  <si>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</si>
  <si>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</si>
  <si>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</si>
  <si>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</si>
  <si>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</si>
  <si>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</si>
  <si>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</si>
  <si>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</si>
  <si>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</si>
  <si>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</si>
  <si>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</si>
  <si>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</si>
  <si>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</si>
  <si>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</si>
  <si>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</si>
  <si>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</si>
  <si>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</si>
  <si>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</si>
  <si>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</si>
  <si>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</si>
  <si>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</si>
  <si>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</si>
  <si>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</si>
  <si>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</si>
  <si>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</si>
  <si>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</si>
  <si>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</si>
  <si>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</si>
  <si>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</si>
  <si>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</si>
  <si>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</si>
  <si>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</si>
  <si>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</si>
  <si>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</si>
  <si>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</si>
  <si>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</si>
  <si>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</si>
  <si>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</si>
  <si>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</si>
  <si>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</si>
  <si>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</si>
  <si>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</si>
  <si>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</si>
  <si>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</si>
  <si>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</si>
  <si>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</si>
  <si>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</si>
  <si>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</si>
  <si>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</si>
  <si>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</si>
  <si>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</si>
  <si>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</si>
  <si>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</si>
  <si>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</si>
  <si>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</si>
  <si>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</si>
  <si>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</si>
  <si>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</si>
  <si>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</si>
  <si>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</si>
  <si>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</si>
  <si>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</si>
  <si>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</si>
  <si>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</si>
  <si>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</si>
  <si>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</si>
  <si>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</si>
  <si>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</si>
  <si>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</si>
  <si>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</si>
  <si>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</si>
  <si>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</si>
  <si>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</si>
  <si>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</si>
  <si>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</si>
  <si>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</si>
  <si>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</si>
  <si>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</si>
  <si>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</si>
  <si>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</si>
  <si>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</si>
  <si>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</si>
  <si>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</si>
  <si>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</si>
  <si>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</si>
  <si>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</si>
  <si>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</si>
  <si>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</si>
  <si>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</si>
  <si>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</si>
  <si>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</si>
  <si>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</si>
  <si>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</si>
  <si>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</si>
  <si>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</si>
  <si>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</si>
  <si>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</si>
  <si>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</si>
  <si>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</si>
  <si>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</si>
  <si>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</si>
  <si>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</si>
  <si>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</si>
  <si>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</si>
  <si>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</si>
  <si>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</si>
  <si>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</si>
  <si>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</si>
  <si>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</si>
  <si>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</si>
  <si>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</si>
  <si>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</si>
  <si>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</si>
  <si>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</si>
  <si>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</si>
  <si>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</si>
  <si>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</si>
  <si>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</si>
  <si>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</si>
  <si>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</si>
  <si>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</si>
  <si>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</si>
  <si>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</si>
  <si>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</si>
  <si>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</si>
  <si>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</si>
  <si>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</si>
  <si>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</si>
  <si>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</si>
  <si>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</si>
  <si>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</si>
  <si>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</si>
  <si>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</si>
  <si>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</si>
  <si>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</si>
  <si>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</si>
  <si>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</si>
  <si>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</si>
  <si>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</si>
  <si>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</si>
  <si>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</si>
  <si>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</si>
  <si>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</si>
  <si>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</si>
  <si>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</si>
  <si>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</si>
  <si>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</si>
  <si>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</si>
  <si>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</si>
  <si>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</si>
  <si>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</si>
  <si>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</si>
  <si>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</si>
  <si>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</si>
  <si>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</si>
  <si>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</si>
  <si>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</si>
  <si>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</si>
  <si>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</si>
  <si>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</si>
  <si>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</si>
  <si>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</si>
  <si>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</si>
  <si>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</si>
  <si>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</si>
  <si>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</si>
  <si>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</si>
  <si>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</si>
  <si>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</si>
  <si>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</si>
  <si>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</si>
  <si>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</si>
  <si>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</si>
  <si>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</si>
  <si>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</si>
  <si>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</si>
  <si>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</si>
  <si>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</si>
  <si>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</si>
  <si>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</si>
  <si>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</si>
  <si>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</si>
  <si>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</si>
  <si>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</si>
  <si>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</si>
  <si>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</si>
  <si>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</si>
  <si>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</si>
  <si>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</si>
  <si>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</si>
  <si>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</si>
  <si>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</si>
  <si>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</si>
  <si>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</si>
  <si>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</si>
  <si>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</si>
  <si>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</si>
  <si>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</si>
  <si>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</si>
  <si>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</si>
  <si>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</si>
  <si>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</si>
  <si>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</si>
  <si>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</si>
  <si>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</si>
  <si>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</si>
  <si>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</si>
  <si>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</si>
  <si>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</si>
  <si>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</si>
  <si>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</si>
  <si>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</si>
  <si>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</si>
  <si>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</si>
  <si>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</si>
  <si>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</si>
  <si>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</si>
  <si>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</si>
  <si>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</si>
  <si>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</si>
  <si>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</si>
  <si>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</si>
  <si>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</si>
  <si>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</si>
  <si>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</si>
  <si>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</si>
  <si>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</si>
  <si>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</si>
  <si>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</si>
  <si>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</si>
  <si>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</si>
  <si>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</si>
  <si>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</si>
  <si>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</si>
  <si>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</si>
  <si>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</si>
  <si>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</si>
  <si>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</si>
  <si>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</si>
  <si>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</si>
  <si>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</si>
  <si>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</si>
  <si>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</si>
  <si>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</si>
  <si>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</si>
  <si>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</si>
  <si>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</si>
  <si>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</si>
  <si>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</si>
  <si>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</si>
  <si>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</si>
  <si>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</si>
  <si>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</si>
  <si>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</si>
  <si>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</si>
  <si>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</si>
  <si>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</si>
  <si>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</si>
  <si>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</si>
  <si>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</si>
  <si>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</si>
  <si>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</si>
  <si>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</si>
  <si>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</si>
  <si>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</si>
  <si>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</si>
  <si>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</si>
  <si>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</si>
  <si>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</si>
  <si>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</si>
  <si>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</si>
  <si>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</si>
  <si>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</si>
  <si>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</si>
  <si>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</si>
  <si>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</si>
  <si>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</si>
  <si>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</si>
  <si>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</si>
  <si>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</si>
  <si>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</si>
  <si>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</si>
  <si>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</si>
  <si>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</si>
  <si>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</si>
  <si>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</si>
  <si>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</si>
  <si>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</si>
  <si>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</si>
  <si>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</si>
  <si>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</si>
  <si>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</si>
  <si>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</si>
  <si>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</si>
  <si>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</si>
  <si>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</si>
  <si>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</si>
  <si>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</si>
  <si>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</si>
  <si>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</si>
  <si>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</si>
  <si>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</si>
  <si>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</si>
  <si>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</si>
  <si>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</si>
  <si>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</si>
  <si>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</si>
  <si>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</si>
  <si>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</si>
  <si>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</si>
  <si>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</si>
  <si>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</si>
  <si>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</si>
  <si>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</si>
  <si>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</si>
  <si>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</si>
  <si>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</si>
  <si>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</si>
  <si>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</si>
  <si>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</si>
  <si>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</si>
  <si>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</si>
  <si>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</si>
  <si>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</si>
  <si>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</si>
  <si>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</si>
  <si>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</si>
  <si>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</si>
  <si>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</si>
  <si>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</si>
  <si>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</si>
  <si>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</si>
  <si>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</si>
  <si>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</si>
  <si>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</si>
  <si>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</si>
  <si>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</si>
  <si>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</si>
  <si>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</si>
  <si>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</si>
  <si>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</si>
  <si>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</si>
  <si>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</si>
  <si>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</si>
  <si>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</si>
  <si>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</si>
  <si>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</si>
  <si>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</si>
  <si>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</si>
  <si>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</si>
  <si>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</si>
  <si>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</si>
  <si>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</si>
  <si>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</si>
  <si>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</si>
  <si>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</si>
  <si>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</si>
  <si>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</si>
  <si>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</si>
  <si>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</si>
  <si>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</si>
  <si>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</si>
  <si>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</si>
  <si>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</si>
  <si>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</si>
  <si>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</si>
  <si>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</si>
  <si>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</si>
  <si>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</si>
  <si>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</si>
  <si>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</si>
  <si>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</si>
  <si>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</si>
  <si>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</si>
  <si>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</si>
  <si>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</si>
  <si>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</si>
  <si>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</si>
  <si>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</si>
  <si>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</si>
  <si>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</si>
  <si>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</si>
  <si>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</si>
  <si>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</si>
  <si>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</si>
  <si>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</si>
  <si>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</si>
  <si>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</si>
  <si>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</si>
  <si>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</si>
  <si>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</si>
  <si>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</si>
  <si>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</si>
  <si>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</si>
  <si>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</si>
  <si>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</si>
  <si>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</si>
  <si>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</si>
  <si>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</si>
  <si>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</si>
  <si>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</si>
  <si>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</si>
  <si>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</si>
  <si>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</si>
  <si>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</si>
  <si>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</si>
  <si>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</si>
  <si>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</si>
  <si>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</si>
  <si>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</si>
  <si>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</si>
  <si>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</si>
  <si>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</si>
  <si>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</si>
  <si>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</si>
  <si>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</si>
  <si>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</si>
  <si>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</si>
  <si>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</si>
  <si>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</si>
  <si>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</si>
  <si>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</si>
  <si>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</si>
  <si>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</si>
  <si>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</si>
  <si>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</si>
  <si>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</si>
  <si>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</si>
  <si>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</si>
  <si>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</si>
  <si>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</si>
  <si>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</si>
  <si>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</si>
  <si>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</si>
  <si>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</si>
  <si>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</si>
  <si>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</si>
  <si>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</si>
  <si>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</si>
  <si>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</si>
  <si>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</si>
  <si>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</si>
  <si>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</si>
  <si>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</si>
  <si>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</si>
  <si>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</si>
  <si>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</si>
  <si>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</si>
  <si>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</si>
  <si>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</si>
  <si>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</si>
  <si>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</si>
  <si>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</si>
  <si>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</si>
  <si>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</si>
  <si>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</si>
  <si>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</si>
  <si>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</si>
  <si>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</si>
  <si>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</si>
  <si>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</si>
  <si>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</si>
  <si>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</si>
  <si>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</si>
  <si>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</si>
  <si>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</si>
  <si>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</si>
  <si>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</si>
  <si>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</si>
  <si>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</si>
  <si>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</si>
  <si>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</si>
  <si>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</si>
  <si>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</si>
  <si>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</si>
  <si>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</si>
  <si>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</si>
  <si>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</si>
  <si>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</si>
  <si>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</si>
  <si>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</si>
  <si>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</si>
  <si>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</si>
  <si>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</si>
  <si>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</si>
  <si>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</si>
  <si>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</si>
  <si>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</si>
  <si>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</si>
  <si>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</si>
  <si>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</si>
  <si>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</si>
  <si>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</si>
  <si>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</si>
  <si>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</si>
  <si>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</si>
  <si>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</si>
  <si>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</si>
  <si>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</si>
  <si>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</si>
  <si>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</si>
  <si>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</si>
  <si>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</si>
  <si>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</si>
  <si>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</si>
  <si>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</si>
  <si>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</si>
  <si>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</si>
  <si>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</si>
  <si>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</si>
  <si>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</si>
  <si>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</si>
  <si>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</si>
  <si>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</si>
  <si>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</si>
  <si>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</si>
  <si>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</si>
  <si>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</si>
  <si>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</si>
  <si>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</si>
  <si>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</si>
  <si>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</si>
  <si>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</si>
  <si>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</si>
  <si>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</si>
  <si>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</si>
  <si>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</si>
  <si>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</si>
  <si>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</si>
  <si>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</si>
  <si>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</si>
  <si>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</si>
  <si>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</si>
  <si>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</si>
  <si>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</si>
  <si>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</si>
  <si>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</si>
  <si>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</si>
  <si>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</si>
  <si>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</si>
  <si>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</si>
  <si>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</si>
  <si>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</si>
  <si>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</si>
  <si>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</si>
  <si>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</si>
  <si>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</si>
  <si>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</si>
  <si>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</si>
  <si>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</si>
  <si>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</si>
  <si>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</si>
  <si>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</si>
  <si>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</si>
  <si>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</si>
  <si>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</si>
  <si>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</si>
  <si>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</si>
  <si>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</si>
  <si>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</si>
  <si>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</si>
  <si>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</si>
  <si>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</si>
  <si>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</si>
  <si>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</si>
  <si>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</si>
  <si>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</si>
  <si>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</si>
  <si>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</si>
  <si>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</si>
  <si>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</si>
  <si>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</si>
  <si>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</si>
  <si>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</si>
  <si>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</si>
  <si>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</si>
  <si>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</si>
  <si>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</si>
  <si>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</si>
  <si>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</si>
  <si>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</si>
  <si>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</si>
  <si>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</si>
  <si>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</si>
  <si>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</si>
  <si>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</si>
  <si>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</si>
  <si>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</si>
  <si>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</si>
  <si>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</si>
  <si>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</si>
  <si>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</si>
  <si>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</si>
  <si>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</si>
  <si>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</si>
  <si>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</si>
  <si>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</si>
  <si>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</si>
  <si>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</si>
  <si>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</si>
  <si>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</si>
  <si>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</si>
  <si>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</si>
  <si>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</si>
  <si>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</si>
  <si>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</si>
  <si>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</si>
  <si>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</si>
  <si>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</si>
  <si>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</si>
  <si>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</si>
  <si>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</si>
  <si>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</si>
  <si>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</si>
  <si>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</si>
  <si>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</si>
  <si>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</si>
  <si>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</si>
  <si>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</si>
  <si>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</si>
  <si>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</si>
  <si>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</si>
  <si>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</si>
  <si>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</si>
  <si>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</si>
  <si>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</si>
  <si>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</si>
  <si>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</si>
  <si>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</si>
  <si>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</si>
  <si>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</si>
  <si>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</si>
  <si>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</si>
  <si>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</si>
  <si>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</si>
  <si>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</si>
  <si>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</si>
  <si>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</si>
  <si>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</si>
  <si>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</si>
  <si>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</si>
  <si>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</si>
  <si>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</si>
  <si>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</si>
  <si>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</si>
  <si>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</si>
  <si>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</si>
  <si>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</si>
  <si>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</si>
  <si>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</si>
  <si>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</si>
  <si>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</si>
  <si>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</si>
  <si>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</si>
  <si>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</si>
  <si>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</si>
  <si>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</si>
  <si>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</si>
  <si>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</si>
  <si>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</si>
  <si>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</si>
  <si>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</si>
  <si>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</si>
  <si>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</si>
  <si>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</si>
  <si>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</si>
  <si>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</si>
  <si>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</si>
  <si>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</si>
  <si>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</si>
  <si>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</si>
  <si>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</si>
  <si>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</si>
  <si>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</si>
  <si>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</si>
  <si>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</si>
  <si>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</si>
  <si>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</si>
  <si>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</si>
  <si>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</si>
  <si>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</si>
  <si>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</si>
  <si>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</si>
  <si>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</si>
  <si>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</si>
  <si>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</si>
  <si>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</si>
  <si>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</si>
  <si>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</si>
  <si>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</si>
  <si>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</si>
  <si>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</si>
  <si>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</si>
  <si>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</si>
  <si>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</si>
  <si>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</si>
  <si>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</si>
  <si>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</si>
  <si>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</si>
  <si>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</si>
  <si>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</si>
  <si>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</si>
  <si>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</si>
  <si>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</si>
  <si>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</si>
  <si>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</si>
  <si>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</si>
  <si>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</si>
  <si>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</si>
  <si>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</si>
  <si>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</si>
  <si>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</si>
  <si>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</si>
  <si>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</si>
  <si>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</si>
  <si>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</si>
  <si>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</si>
  <si>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</si>
  <si>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</si>
  <si>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</si>
  <si>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</si>
  <si>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</si>
  <si>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</si>
  <si>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</si>
  <si>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</si>
  <si>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</si>
  <si>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</si>
  <si>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</si>
  <si>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</si>
  <si>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</si>
  <si>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</si>
  <si>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</si>
  <si>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</si>
  <si>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</si>
  <si>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</si>
  <si>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</si>
  <si>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</si>
  <si>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</si>
  <si>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</si>
  <si>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</si>
  <si>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</si>
  <si>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</si>
  <si>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</si>
  <si>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</si>
  <si>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</si>
  <si>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</si>
  <si>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</si>
  <si>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</si>
  <si>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</si>
  <si>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</si>
  <si>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</si>
  <si>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</si>
  <si>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</si>
  <si>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</si>
  <si>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</si>
  <si>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</si>
  <si>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</si>
  <si>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</si>
  <si>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</si>
  <si>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</si>
  <si>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</si>
  <si>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</si>
  <si>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</si>
  <si>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</si>
  <si>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</si>
  <si>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</si>
  <si>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</si>
  <si>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</si>
  <si>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</si>
  <si>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</si>
  <si>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</si>
  <si>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</si>
  <si>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</si>
  <si>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</si>
  <si>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</si>
  <si>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</si>
  <si>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</si>
  <si>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</si>
  <si>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</si>
  <si>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</si>
  <si>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</si>
  <si>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</si>
  <si>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</si>
  <si>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</si>
  <si>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</si>
  <si>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</si>
  <si>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</si>
  <si>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</si>
  <si>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</si>
  <si>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</si>
  <si>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</si>
  <si>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</si>
  <si>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</si>
  <si>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</si>
  <si>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</si>
  <si>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</si>
  <si>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</si>
  <si>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</si>
  <si>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</si>
  <si>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</si>
  <si>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</si>
  <si>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</si>
  <si>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</si>
  <si>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</si>
  <si>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</si>
  <si>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</si>
  <si>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</si>
  <si>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</si>
  <si>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</si>
  <si>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</si>
  <si>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</si>
  <si>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</si>
  <si>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</si>
  <si>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</si>
  <si>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</si>
  <si>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</si>
  <si>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</si>
  <si>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</si>
  <si>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</si>
  <si>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</si>
  <si>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</si>
  <si>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</si>
  <si>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</si>
  <si>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</si>
  <si>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</si>
  <si>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</si>
  <si>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</si>
  <si>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</si>
  <si>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</si>
  <si>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</si>
  <si>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</si>
  <si>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</si>
  <si>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</si>
  <si>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</si>
  <si>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</si>
  <si>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</si>
  <si>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</si>
  <si>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</si>
  <si>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</si>
  <si>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</si>
  <si>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</si>
  <si>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</si>
  <si>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</si>
  <si>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</si>
  <si>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</si>
  <si>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</si>
  <si>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</si>
  <si>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</si>
  <si>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</si>
  <si>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</si>
  <si>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</si>
  <si>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</si>
  <si>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</si>
  <si>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</si>
  <si>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</si>
  <si>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</si>
  <si>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</si>
  <si>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</si>
  <si>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</si>
  <si>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</si>
  <si>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</si>
  <si>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</si>
  <si>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</si>
  <si>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</si>
  <si>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</si>
  <si>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</si>
  <si>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</si>
  <si>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</si>
  <si>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</si>
  <si>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</si>
  <si>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</si>
  <si>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</si>
  <si>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</si>
  <si>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</si>
  <si>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</si>
  <si>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</si>
  <si>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</si>
  <si>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</si>
  <si>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</si>
  <si>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</si>
  <si>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</si>
  <si>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</si>
  <si>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</si>
  <si>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</si>
  <si>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</si>
  <si>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</si>
  <si>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</si>
  <si>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</si>
  <si>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</si>
  <si>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</si>
  <si>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</si>
  <si>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</si>
  <si>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</si>
  <si>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</si>
  <si>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</si>
  <si>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</si>
  <si>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</si>
  <si>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</si>
  <si>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</si>
  <si>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</si>
  <si>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</si>
  <si>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</si>
  <si>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</si>
  <si>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</si>
  <si>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</si>
  <si>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</si>
  <si>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</si>
  <si>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</si>
  <si>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</si>
  <si>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</si>
  <si>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</si>
  <si>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</si>
  <si>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</si>
  <si>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</si>
  <si>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</si>
  <si>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</si>
  <si>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</si>
  <si>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</si>
  <si>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</si>
  <si>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</si>
  <si>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</si>
  <si>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</si>
  <si>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</si>
  <si>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</si>
  <si>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</si>
  <si>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</si>
  <si>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</si>
  <si>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</si>
  <si>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</si>
  <si>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</si>
  <si>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</si>
  <si>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</si>
  <si>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</si>
  <si>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</si>
  <si>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</si>
  <si>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</si>
  <si>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</si>
  <si>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</si>
  <si>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</si>
  <si>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</si>
  <si>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</si>
  <si>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</si>
  <si>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</si>
  <si>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</si>
  <si>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</si>
  <si>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</si>
  <si>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</si>
  <si>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</si>
  <si>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</si>
  <si>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</si>
  <si>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</si>
  <si>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</si>
  <si>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</si>
  <si>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</si>
  <si>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</si>
  <si>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</si>
  <si>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</si>
  <si>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</si>
  <si>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</si>
  <si>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</si>
  <si>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</si>
  <si>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</si>
  <si>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</si>
  <si>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</si>
  <si>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</si>
  <si>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</si>
  <si>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</si>
  <si>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</si>
  <si>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</si>
  <si>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</si>
  <si>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</si>
  <si>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</si>
  <si>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</si>
  <si>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</si>
  <si>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</si>
  <si>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</si>
  <si>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</si>
  <si>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</si>
  <si>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</si>
  <si>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</si>
  <si>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</si>
  <si>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</si>
  <si>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</si>
  <si>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</si>
  <si>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</si>
  <si>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</si>
  <si>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</si>
  <si>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</si>
  <si>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</si>
  <si>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</si>
  <si>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</si>
  <si>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</si>
  <si>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</si>
  <si>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</si>
  <si>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</si>
  <si>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</si>
  <si>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</si>
  <si>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</si>
  <si>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</si>
  <si>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</si>
  <si>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</si>
  <si>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</si>
  <si>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</si>
  <si>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</si>
  <si>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</si>
  <si>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</si>
  <si>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</si>
  <si>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</si>
  <si>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</si>
  <si>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</si>
  <si>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</si>
  <si>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</si>
  <si>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</si>
  <si>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</si>
  <si>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</si>
  <si>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</si>
  <si>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</si>
  <si>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</si>
  <si>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</si>
  <si>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</si>
  <si>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</si>
  <si>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</si>
  <si>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</si>
  <si>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</si>
  <si>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</si>
  <si>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</si>
  <si>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</si>
  <si>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</si>
  <si>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</si>
  <si>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</si>
  <si>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</si>
  <si>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</si>
  <si>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</si>
  <si>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</si>
  <si>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</si>
  <si>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</si>
  <si>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</si>
  <si>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</si>
  <si>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</si>
  <si>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</si>
  <si>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</si>
  <si>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</si>
  <si>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</si>
  <si>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</si>
  <si>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</si>
  <si>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</si>
  <si>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</si>
  <si>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</si>
  <si>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</si>
  <si>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</si>
  <si>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</si>
  <si>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</si>
  <si>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</si>
  <si>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</si>
  <si>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</si>
  <si>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</si>
  <si>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</si>
  <si>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</si>
  <si>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</si>
  <si>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</si>
  <si>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</si>
  <si>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</si>
  <si>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</si>
  <si>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</si>
  <si>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</si>
  <si>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</si>
  <si>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</si>
  <si>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</si>
  <si>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</si>
  <si>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</si>
  <si>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</si>
  <si>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</si>
  <si>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</si>
  <si>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</si>
  <si>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</si>
  <si>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</si>
  <si>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</si>
  <si>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</si>
  <si>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</si>
  <si>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</si>
  <si>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</si>
  <si>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</si>
  <si>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</si>
  <si>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</si>
  <si>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</si>
  <si>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</si>
  <si>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</si>
  <si>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</si>
  <si>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</si>
  <si>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</si>
  <si>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</si>
  <si>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</si>
  <si>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</si>
  <si>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</si>
  <si>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</si>
  <si>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</si>
  <si>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</si>
  <si>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</si>
  <si>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</si>
  <si>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</si>
  <si>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</si>
  <si>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</si>
  <si>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</si>
  <si>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</si>
  <si>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</si>
  <si>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</si>
  <si>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</si>
  <si>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</si>
  <si>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</si>
  <si>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</si>
  <si>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</si>
  <si>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</si>
  <si>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</si>
  <si>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</si>
  <si>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</si>
  <si>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</si>
  <si>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</si>
  <si>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</si>
  <si>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</si>
  <si>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</si>
  <si>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</si>
  <si>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</si>
  <si>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</si>
  <si>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</si>
  <si>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</si>
  <si>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</si>
  <si>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</si>
  <si>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</si>
  <si>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</si>
  <si>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</si>
  <si>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</si>
  <si>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</si>
  <si>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</si>
  <si>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</si>
  <si>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</si>
  <si>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</si>
  <si>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</si>
  <si>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</si>
  <si>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</si>
  <si>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</si>
  <si>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</si>
  <si>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</si>
  <si>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</si>
  <si>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</si>
  <si>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</si>
  <si>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</si>
  <si>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</si>
  <si>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</si>
  <si>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</si>
  <si>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</si>
  <si>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</si>
  <si>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</si>
  <si>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</si>
  <si>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</si>
  <si>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</si>
  <si>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</si>
  <si>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</si>
  <si>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</si>
  <si>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</si>
  <si>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</si>
  <si>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</si>
  <si>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</si>
  <si>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</si>
  <si>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</si>
  <si>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</si>
  <si>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</si>
  <si>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</si>
  <si>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</si>
  <si>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</si>
  <si>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</si>
  <si>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</si>
  <si>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</si>
  <si>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</si>
  <si>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</si>
  <si>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</si>
  <si>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</si>
  <si>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</si>
  <si>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</si>
  <si>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</si>
  <si>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</si>
  <si>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</si>
  <si>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</si>
  <si>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</si>
  <si>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</si>
  <si>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</si>
  <si>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</si>
  <si>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</si>
  <si>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</si>
  <si>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</si>
  <si>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</si>
  <si>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</si>
  <si>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</si>
  <si>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</si>
  <si>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</si>
  <si>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</si>
  <si>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</si>
  <si>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</si>
  <si>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</si>
  <si>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</si>
  <si>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</si>
  <si>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</si>
  <si>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</si>
  <si>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</si>
  <si>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</si>
  <si>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</si>
  <si>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</si>
  <si>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</si>
  <si>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</si>
  <si>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</si>
  <si>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</si>
  <si>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</si>
  <si>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</si>
  <si>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</si>
  <si>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</si>
  <si>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</si>
  <si>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</si>
  <si>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</si>
  <si>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</si>
  <si>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</si>
  <si>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</si>
  <si>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</si>
  <si>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</si>
  <si>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</si>
  <si>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</si>
  <si>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</si>
  <si>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</si>
  <si>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</si>
  <si>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</si>
  <si>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</si>
  <si>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</si>
  <si>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</si>
  <si>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</si>
  <si>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</si>
  <si>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</si>
  <si>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</si>
  <si>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</si>
  <si>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</si>
  <si>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</si>
  <si>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</si>
  <si>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</si>
  <si>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</si>
  <si>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</si>
  <si>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</si>
  <si>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</si>
  <si>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</si>
  <si>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</si>
  <si>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</si>
  <si>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</si>
  <si>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</si>
  <si>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</si>
  <si>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</si>
  <si>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</si>
  <si>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</si>
  <si>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</si>
  <si>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</si>
  <si>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</si>
  <si>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</si>
  <si>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</si>
  <si>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</si>
  <si>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</si>
  <si>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</si>
  <si>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</si>
  <si>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</si>
  <si>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</si>
  <si>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</si>
  <si>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</si>
  <si>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</si>
  <si>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</si>
  <si>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</si>
  <si>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</si>
  <si>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</si>
  <si>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</si>
  <si>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</si>
  <si>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</si>
  <si>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</si>
  <si>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</si>
  <si>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</si>
  <si>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</si>
  <si>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</si>
  <si>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</si>
  <si>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</si>
  <si>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</si>
  <si>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</si>
  <si>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</si>
  <si>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</si>
  <si>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</si>
  <si>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</si>
  <si>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</si>
  <si>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</si>
  <si>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</si>
  <si>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</si>
  <si>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</si>
  <si>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</si>
  <si>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</si>
  <si>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</si>
  <si>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</si>
  <si>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</si>
  <si>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</si>
  <si>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</si>
  <si>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</si>
  <si>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</si>
  <si>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</si>
  <si>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</si>
  <si>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</si>
  <si>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</si>
  <si>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</si>
  <si>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</si>
  <si>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</si>
  <si>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</si>
  <si>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</si>
  <si>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</si>
  <si>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</si>
  <si>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</si>
  <si>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</si>
  <si>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</si>
  <si>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</si>
  <si>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</si>
  <si>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</si>
  <si>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</si>
  <si>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</si>
  <si>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</si>
  <si>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</si>
  <si>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</si>
  <si>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</si>
  <si>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</si>
  <si>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</si>
  <si>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</si>
  <si>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</si>
  <si>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</si>
  <si>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</si>
  <si>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</si>
  <si>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</si>
  <si>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</si>
  <si>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</si>
  <si>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</si>
  <si>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</si>
  <si>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</si>
  <si>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</si>
  <si>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</si>
  <si>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</si>
  <si>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</si>
  <si>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</si>
  <si>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</si>
  <si>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</si>
  <si>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</si>
  <si>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</si>
  <si>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</si>
  <si>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</si>
  <si>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</si>
  <si>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</si>
  <si>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</si>
  <si>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</si>
  <si>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</si>
  <si>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</si>
  <si>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</si>
  <si>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</si>
  <si>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</si>
  <si>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</si>
  <si>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</si>
  <si>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</si>
  <si>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</si>
  <si>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</si>
  <si>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</si>
  <si>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</si>
  <si>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</si>
  <si>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</si>
  <si>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</si>
  <si>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</si>
  <si>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</si>
  <si>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</si>
  <si>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</si>
  <si>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</si>
  <si>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</si>
  <si>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</si>
  <si>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</si>
  <si>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</si>
  <si>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</si>
  <si>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</si>
  <si>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</si>
  <si>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</si>
  <si>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</si>
  <si>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</si>
  <si>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</si>
  <si>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</si>
  <si>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</si>
  <si>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</si>
  <si>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</si>
  <si>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</si>
  <si>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</si>
  <si>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</si>
  <si>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</si>
  <si>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</si>
  <si>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</si>
  <si>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</si>
  <si>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</si>
  <si>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</si>
  <si>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</si>
  <si>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</si>
  <si>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</si>
  <si>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</si>
  <si>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</si>
  <si>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</si>
  <si>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</si>
  <si>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</si>
  <si>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</si>
  <si>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</si>
  <si>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</si>
  <si>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</si>
  <si>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</si>
  <si>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</si>
  <si>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</si>
  <si>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</si>
  <si>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</si>
  <si>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</si>
  <si>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</si>
  <si>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</si>
  <si>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</si>
  <si>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</si>
  <si>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</si>
  <si>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</si>
  <si>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</si>
  <si>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</si>
  <si>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</si>
  <si>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</si>
  <si>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</si>
  <si>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</si>
  <si>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</si>
  <si>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</si>
  <si>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</si>
  <si>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</si>
  <si>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</si>
  <si>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</si>
  <si>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</si>
  <si>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</si>
  <si>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</si>
  <si>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</si>
  <si>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</si>
  <si>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</si>
  <si>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</si>
  <si>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</si>
  <si>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</si>
  <si>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</si>
  <si>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</si>
  <si>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</si>
  <si>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</si>
  <si>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</si>
  <si>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</si>
  <si>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</si>
  <si>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</si>
  <si>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</si>
  <si>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</si>
  <si>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</si>
  <si>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</si>
  <si>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</si>
  <si>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</si>
  <si>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</si>
  <si>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</si>
  <si>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</si>
  <si>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</si>
  <si>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</si>
  <si>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</si>
  <si>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</si>
  <si>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</si>
  <si>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</si>
  <si>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</si>
  <si>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</si>
  <si>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</si>
  <si>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</si>
  <si>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</si>
  <si>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</si>
  <si>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</si>
  <si>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</si>
  <si>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</si>
  <si>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</si>
  <si>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</si>
  <si>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</si>
  <si>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</si>
  <si>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</si>
  <si>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</si>
  <si>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</si>
  <si>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</si>
  <si>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</si>
  <si>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</si>
  <si>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</si>
  <si>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</si>
  <si>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</si>
  <si>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</si>
  <si>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</si>
  <si>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</si>
  <si>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</si>
  <si>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</si>
  <si>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</si>
  <si>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</si>
  <si>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</si>
  <si>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</si>
  <si>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</si>
  <si>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</si>
  <si>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</si>
  <si>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</si>
  <si>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</si>
  <si>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</si>
  <si>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</si>
  <si>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</si>
  <si>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</si>
  <si>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</si>
  <si>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</si>
  <si>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</si>
  <si>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</si>
  <si>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</si>
  <si>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</si>
  <si>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</si>
  <si>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</si>
  <si>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</si>
  <si>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</si>
  <si>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</si>
  <si>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</si>
  <si>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</si>
  <si>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</si>
  <si>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</si>
  <si>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</si>
  <si>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</si>
  <si>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</si>
  <si>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</si>
  <si>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</si>
  <si>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</si>
  <si>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</si>
  <si>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</si>
  <si>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</si>
  <si>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</si>
  <si>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</si>
  <si>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</si>
  <si>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</si>
  <si>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</si>
  <si>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</si>
  <si>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</si>
  <si>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</si>
  <si>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</si>
  <si>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</si>
  <si>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</si>
  <si>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</si>
  <si>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</si>
  <si>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</si>
  <si>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</si>
  <si>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</si>
  <si>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</si>
  <si>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</si>
  <si>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</si>
  <si>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</si>
  <si>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</si>
  <si>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</si>
  <si>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</si>
  <si>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</si>
  <si>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</si>
  <si>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</si>
  <si>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</si>
  <si>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</si>
  <si>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</si>
  <si>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</si>
  <si>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</si>
  <si>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</si>
  <si>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</si>
  <si>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</si>
  <si>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</si>
  <si>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</si>
  <si>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</si>
  <si>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</si>
  <si>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</si>
  <si>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</si>
  <si>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</si>
  <si>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</si>
  <si>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</si>
  <si>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</si>
  <si>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</si>
  <si>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</si>
  <si>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</si>
  <si>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</si>
  <si>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</si>
  <si>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</si>
  <si>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</si>
  <si>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</si>
  <si>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</si>
  <si>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</si>
  <si>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</si>
  <si>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</si>
  <si>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</si>
  <si>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</si>
  <si>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</si>
  <si>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</si>
  <si>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</si>
  <si>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</si>
  <si>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</si>
  <si>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</si>
  <si>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</si>
  <si>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</si>
  <si>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</si>
  <si>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</si>
  <si>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</si>
  <si>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</si>
  <si>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</si>
  <si>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</si>
  <si>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</si>
  <si>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</si>
  <si>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</si>
  <si>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</si>
  <si>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</si>
  <si>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</si>
  <si>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</si>
  <si>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</si>
  <si>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</si>
  <si>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</si>
  <si>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</si>
  <si>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</si>
  <si>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</si>
  <si>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</si>
  <si>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</si>
  <si>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</si>
  <si>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</si>
  <si>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</si>
  <si>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</si>
  <si>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</si>
  <si>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</si>
  <si>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</si>
  <si>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</si>
  <si>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</si>
  <si>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</si>
  <si>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</si>
  <si>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</si>
  <si>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</si>
  <si>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</si>
  <si>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</si>
  <si>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</si>
  <si>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</si>
  <si>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</si>
  <si>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</si>
  <si>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</si>
  <si>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</si>
  <si>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</si>
  <si>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</si>
  <si>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</si>
  <si>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</si>
  <si>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</si>
  <si>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</si>
  <si>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</si>
  <si>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</si>
  <si>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</si>
  <si>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</si>
  <si>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</si>
  <si>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</si>
  <si>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</si>
  <si>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</si>
  <si>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</si>
  <si>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</si>
  <si>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</si>
  <si>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</si>
  <si>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</si>
  <si>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</si>
  <si>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</si>
  <si>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</si>
  <si>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</si>
  <si>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</si>
  <si>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</si>
  <si>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</si>
  <si>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</si>
  <si>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</si>
  <si>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</si>
  <si>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</si>
  <si>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</si>
  <si>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</si>
  <si>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</si>
  <si>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</si>
  <si>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</si>
  <si>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</si>
  <si>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</si>
  <si>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</si>
  <si>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</si>
  <si>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</si>
  <si>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</si>
  <si>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</si>
  <si>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</si>
  <si>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</si>
  <si>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</si>
  <si>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</si>
  <si>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</si>
  <si>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</si>
  <si>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</si>
  <si>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</si>
  <si>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</si>
  <si>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</si>
  <si>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</si>
  <si>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</si>
  <si>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</si>
  <si>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</si>
  <si>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</si>
  <si>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</si>
  <si>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</si>
  <si>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</si>
  <si>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</si>
  <si>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</si>
  <si>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</si>
  <si>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</si>
  <si>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</si>
  <si>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</si>
  <si>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</si>
  <si>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</si>
  <si>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</si>
  <si>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</si>
  <si>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</si>
  <si>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</si>
  <si>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</si>
  <si>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</si>
  <si>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</si>
  <si>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</si>
  <si>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</si>
  <si>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</si>
  <si>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</si>
  <si>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</si>
  <si>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</si>
  <si>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</si>
  <si>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</si>
  <si>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</si>
  <si>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</si>
  <si>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</si>
  <si>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</si>
  <si>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</si>
  <si>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</si>
  <si>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</si>
  <si>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</si>
  <si>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</si>
  <si>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</si>
  <si>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</si>
  <si>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</si>
  <si>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</si>
  <si>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</si>
  <si>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</si>
  <si>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</si>
  <si>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</si>
  <si>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</si>
  <si>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</si>
  <si>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</si>
  <si>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</si>
  <si>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</si>
  <si>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</si>
  <si>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</si>
  <si>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</si>
  <si>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</si>
  <si>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</si>
  <si>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</si>
  <si>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</si>
  <si>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</si>
  <si>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</si>
  <si>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</si>
  <si>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</si>
  <si>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</si>
  <si>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</si>
  <si>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</si>
  <si>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</si>
  <si>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</si>
  <si>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</si>
  <si>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</si>
  <si>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</si>
  <si>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</si>
  <si>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</si>
  <si>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</si>
  <si>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</si>
  <si>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</si>
  <si>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</si>
  <si>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</si>
  <si>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</si>
  <si>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</si>
  <si>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</si>
  <si>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</si>
  <si>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</si>
  <si>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</si>
  <si>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</si>
  <si>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</si>
  <si>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</si>
  <si>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</si>
  <si>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</si>
  <si>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</si>
  <si>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</si>
  <si>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</si>
  <si>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</si>
  <si>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</si>
  <si>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</si>
  <si>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</si>
  <si>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</si>
  <si>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</si>
  <si>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</si>
  <si>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</si>
  <si>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</si>
  <si>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</si>
  <si>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</si>
  <si>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</si>
  <si>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</si>
  <si>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</si>
  <si>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</si>
  <si>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</si>
  <si>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</si>
  <si>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</si>
  <si>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</si>
  <si>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</si>
  <si>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</si>
  <si>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</si>
  <si>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</si>
  <si>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</si>
  <si>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</si>
  <si>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</si>
  <si>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</si>
  <si>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</si>
  <si>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</si>
  <si>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</si>
  <si>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</si>
  <si>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</si>
  <si>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</si>
  <si>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</si>
  <si>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</si>
  <si>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</si>
  <si>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</si>
  <si>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</si>
  <si>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</si>
  <si>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</si>
  <si>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</si>
  <si>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</si>
  <si>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</si>
  <si>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</si>
  <si>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</si>
  <si>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</si>
  <si>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</si>
  <si>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</si>
  <si>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</si>
  <si>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</si>
  <si>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</si>
  <si>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</si>
  <si>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</si>
  <si>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</si>
  <si>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</si>
  <si>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</si>
  <si>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</si>
  <si>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</si>
  <si>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</si>
  <si>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</si>
  <si>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</si>
  <si>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</si>
  <si>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</si>
  <si>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</si>
  <si>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</si>
  <si>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</si>
  <si>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</si>
  <si>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</si>
  <si>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</si>
  <si>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</si>
  <si>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</si>
  <si>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</si>
  <si>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</si>
  <si>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</si>
  <si>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</si>
  <si>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</si>
  <si>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</si>
  <si>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</si>
  <si>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</si>
  <si>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</si>
  <si>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</si>
  <si>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</si>
  <si>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</si>
  <si>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</si>
  <si>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</si>
  <si>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</si>
  <si>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</si>
  <si>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</si>
  <si>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</si>
  <si>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</si>
  <si>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</si>
  <si>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</si>
  <si>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</si>
  <si>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</si>
  <si>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</si>
  <si>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</si>
  <si>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</si>
  <si>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</si>
  <si>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</si>
  <si>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</si>
  <si>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</si>
  <si>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</si>
  <si>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</si>
  <si>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</si>
  <si>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</si>
  <si>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</si>
  <si>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</si>
  <si>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</si>
  <si>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</si>
  <si>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</si>
  <si>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</si>
  <si>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</si>
  <si>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</si>
  <si>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</si>
  <si>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</si>
  <si>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</si>
  <si>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</si>
  <si>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</si>
  <si>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</si>
  <si>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</si>
  <si>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</si>
  <si>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</si>
  <si>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</si>
  <si>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</si>
  <si>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</si>
  <si>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</si>
  <si>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</si>
  <si>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</si>
  <si>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</si>
  <si>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</si>
  <si>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</si>
  <si>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</si>
  <si>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</si>
  <si>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</si>
  <si>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</si>
  <si>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</si>
  <si>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</si>
  <si>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</si>
  <si>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</si>
  <si>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</si>
  <si>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</si>
  <si>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</si>
  <si>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</si>
  <si>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</si>
  <si>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</si>
  <si>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</si>
  <si>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</si>
  <si>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</si>
  <si>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</si>
  <si>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</si>
  <si>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</si>
  <si>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</si>
  <si>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</si>
  <si>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</si>
  <si>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</si>
  <si>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</si>
  <si>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</si>
  <si>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</si>
  <si>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</si>
  <si>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</si>
  <si>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</si>
  <si>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</si>
  <si>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</si>
  <si>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</si>
  <si>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</si>
  <si>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</si>
  <si>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</si>
  <si>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</si>
  <si>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</si>
  <si>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</si>
  <si>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</si>
  <si>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</si>
  <si>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</si>
  <si>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</si>
  <si>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</si>
  <si>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</si>
  <si>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</si>
  <si>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</si>
  <si>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</si>
  <si>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</si>
  <si>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</si>
  <si>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</si>
  <si>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</si>
  <si>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</si>
  <si>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</si>
  <si>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</si>
  <si>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</si>
  <si>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</si>
  <si>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</si>
  <si>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</si>
  <si>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</si>
  <si>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</si>
  <si>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</si>
  <si>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</si>
  <si>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</si>
  <si>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</si>
  <si>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</si>
  <si>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</si>
  <si>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</si>
  <si>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</si>
  <si>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</si>
  <si>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</si>
  <si>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</si>
  <si>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</si>
  <si>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</si>
  <si>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</si>
  <si>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</si>
  <si>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</si>
  <si>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</si>
  <si>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</si>
  <si>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</si>
  <si>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</si>
  <si>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</si>
  <si>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</si>
  <si>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</si>
  <si>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</si>
  <si>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</si>
  <si>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</si>
  <si>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</si>
  <si>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</si>
  <si>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</si>
  <si>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</si>
  <si>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</si>
  <si>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</si>
  <si>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</si>
  <si>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</si>
  <si>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</si>
  <si>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</si>
  <si>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</si>
  <si>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</si>
  <si>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</si>
  <si>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</si>
  <si>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</si>
  <si>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</si>
  <si>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</si>
  <si>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</si>
  <si>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</si>
  <si>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</si>
  <si>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</si>
  <si>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</si>
  <si>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</si>
  <si>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</si>
  <si>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</si>
  <si>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</si>
  <si>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</si>
  <si>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</si>
  <si>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</si>
  <si>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</si>
  <si>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</si>
  <si>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</si>
  <si>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</si>
  <si>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</si>
  <si>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</si>
  <si>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</si>
  <si>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</si>
  <si>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</si>
  <si>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</si>
  <si>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</si>
  <si>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</si>
  <si>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</si>
  <si>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</si>
  <si>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</si>
  <si>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</si>
  <si>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</si>
  <si>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</si>
  <si>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</si>
  <si>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</si>
  <si>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</si>
  <si>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</si>
  <si>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</si>
  <si>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</si>
  <si>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</si>
  <si>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</si>
  <si>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</si>
  <si>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</si>
  <si>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</si>
  <si>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</si>
  <si>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</si>
  <si>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</si>
  <si>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</si>
  <si>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</si>
  <si>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</si>
  <si>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</si>
  <si>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</si>
  <si>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</si>
  <si>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</si>
  <si>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</si>
  <si>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</si>
  <si>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</si>
  <si>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</si>
  <si>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</si>
  <si>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</si>
  <si>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</si>
  <si>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</si>
  <si>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</si>
  <si>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</si>
  <si>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</si>
  <si>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</si>
  <si>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</si>
  <si>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</si>
  <si>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</si>
  <si>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</si>
  <si>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</si>
  <si>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</si>
  <si>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</si>
  <si>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</si>
  <si>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</si>
  <si>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</si>
  <si>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</si>
  <si>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</si>
  <si>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</si>
  <si>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</si>
  <si>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</si>
  <si>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</si>
  <si>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</si>
  <si>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</si>
  <si>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</si>
  <si>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</si>
  <si>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</si>
  <si>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</si>
  <si>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</si>
  <si>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</si>
  <si>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</si>
  <si>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</si>
  <si>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</si>
  <si>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</si>
  <si>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</si>
  <si>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</si>
  <si>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</si>
  <si>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</si>
  <si>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</si>
  <si>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</si>
  <si>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</si>
  <si>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</si>
  <si>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</si>
  <si>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</si>
  <si>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</si>
  <si>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</si>
  <si>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</si>
  <si>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</si>
  <si>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</si>
  <si>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</si>
  <si>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</si>
  <si>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</si>
  <si>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</si>
  <si>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</si>
  <si>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</si>
  <si>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</si>
  <si>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</si>
  <si>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</si>
  <si>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</si>
  <si>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</si>
  <si>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</si>
  <si>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</si>
  <si>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</si>
  <si>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</si>
  <si>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</si>
  <si>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</si>
  <si>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</si>
  <si>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</si>
  <si>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</si>
  <si>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</si>
  <si>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</si>
  <si>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</si>
  <si>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</si>
  <si>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</si>
  <si>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</si>
  <si>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</si>
  <si>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</si>
  <si>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</si>
  <si>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</si>
  <si>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</si>
  <si>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</si>
  <si>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</si>
  <si>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</si>
  <si>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</si>
  <si>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</si>
  <si>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</si>
  <si>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</si>
  <si>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</si>
  <si>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</si>
  <si>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</si>
  <si>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</si>
  <si>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</si>
  <si>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</si>
  <si>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</si>
  <si>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</si>
  <si>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</si>
  <si>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</si>
  <si>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</si>
  <si>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</si>
  <si>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</si>
  <si>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</si>
  <si>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</si>
  <si>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</si>
  <si>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</si>
  <si>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</si>
  <si>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</si>
  <si>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</si>
  <si>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</si>
  <si>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</si>
  <si>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</si>
  <si>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</si>
  <si>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</si>
  <si>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</si>
  <si>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</si>
  <si>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</si>
  <si>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</si>
  <si>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</si>
  <si>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</si>
  <si>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</si>
  <si>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</si>
  <si>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</si>
  <si>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</si>
  <si>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</si>
  <si>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</si>
  <si>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</si>
  <si>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</si>
  <si>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</si>
  <si>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</si>
  <si>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</si>
  <si>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</si>
  <si>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</si>
  <si>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</si>
  <si>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</si>
  <si>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</si>
  <si>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</si>
  <si>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</si>
  <si>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</si>
  <si>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</si>
  <si>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</si>
  <si>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</si>
  <si>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</si>
  <si>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</si>
  <si>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</si>
  <si>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</si>
  <si>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</si>
  <si>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</si>
  <si>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</si>
  <si>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</si>
  <si>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</si>
  <si>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</si>
  <si>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</si>
  <si>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</si>
  <si>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</si>
  <si>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</si>
  <si>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</si>
  <si>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</si>
  <si>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</si>
  <si>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</si>
  <si>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</si>
  <si>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</si>
  <si>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</si>
  <si>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</si>
  <si>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</si>
  <si>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</si>
  <si>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</si>
  <si>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</si>
  <si>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</si>
  <si>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</si>
  <si>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</si>
  <si>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</si>
  <si>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</si>
  <si>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</si>
  <si>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</si>
  <si>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</si>
  <si>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</si>
  <si>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</si>
  <si>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</si>
  <si>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</si>
  <si>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</si>
  <si>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</si>
  <si>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</si>
  <si>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</si>
  <si>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</si>
  <si>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</si>
  <si>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</si>
  <si>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</si>
  <si>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</si>
  <si>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</si>
  <si>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</si>
  <si>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</si>
  <si>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</si>
  <si>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</si>
  <si>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</si>
  <si>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</si>
  <si>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</si>
  <si>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</si>
  <si>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</si>
  <si>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</si>
  <si>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</si>
  <si>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</si>
  <si>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</si>
  <si>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</si>
  <si>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</si>
  <si>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</si>
  <si>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</si>
  <si>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</si>
  <si>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</si>
  <si>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</si>
  <si>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</si>
  <si>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</si>
  <si>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</si>
  <si>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</si>
  <si>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</si>
  <si>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</si>
  <si>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</si>
  <si>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</si>
  <si>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</si>
  <si>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</si>
  <si>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</si>
  <si>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</si>
  <si>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</si>
  <si>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</si>
  <si>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</si>
  <si>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</si>
  <si>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</si>
  <si>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</si>
  <si>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</si>
  <si>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</si>
  <si>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</si>
  <si>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</si>
  <si>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</si>
  <si>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</si>
  <si>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</si>
  <si>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</si>
  <si>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</si>
  <si>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</si>
  <si>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</si>
  <si>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</si>
  <si>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</si>
  <si>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</si>
  <si>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</si>
  <si>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</si>
  <si>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</si>
  <si>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</si>
  <si>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</si>
  <si>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</si>
  <si>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</si>
  <si>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</si>
  <si>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</si>
  <si>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</si>
  <si>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</si>
  <si>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</si>
  <si>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</si>
  <si>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</si>
  <si>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</si>
  <si>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</si>
  <si>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</si>
  <si>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</si>
  <si>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</si>
  <si>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</si>
  <si>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</si>
  <si>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</si>
  <si>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</si>
  <si>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</si>
  <si>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</si>
  <si>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</si>
  <si>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</si>
  <si>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</si>
  <si>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</si>
  <si>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</si>
  <si>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</si>
  <si>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</si>
  <si>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</si>
  <si>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</si>
  <si>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</si>
  <si>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</si>
  <si>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</si>
  <si>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</si>
  <si>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</si>
  <si>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</si>
  <si>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</si>
  <si>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</si>
  <si>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</si>
  <si>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</si>
  <si>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</si>
  <si>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</si>
  <si>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</si>
  <si>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</si>
  <si>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</si>
  <si>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</si>
  <si>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</si>
  <si>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</si>
  <si>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</si>
  <si>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</si>
  <si>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</si>
  <si>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</si>
  <si>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</si>
  <si>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</si>
  <si>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</si>
  <si>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</si>
  <si>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</si>
  <si>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</si>
  <si>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</si>
  <si>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</si>
  <si>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</si>
  <si>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</si>
  <si>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</si>
  <si>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</si>
  <si>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</si>
  <si>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</si>
  <si>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</si>
  <si>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</si>
  <si>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</si>
  <si>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</si>
  <si>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</si>
  <si>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</si>
  <si>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</si>
  <si>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</si>
  <si>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</si>
  <si>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</si>
  <si>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</si>
  <si>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</si>
  <si>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</si>
  <si>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</si>
  <si>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</si>
  <si>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</si>
  <si>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</si>
  <si>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</si>
  <si>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</si>
  <si>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</si>
  <si>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</si>
  <si>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</si>
  <si>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</si>
  <si>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</si>
  <si>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</si>
  <si>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</si>
  <si>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</si>
  <si>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</si>
  <si>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</si>
  <si>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</si>
  <si>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</si>
  <si>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</si>
  <si>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</si>
  <si>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</si>
  <si>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</si>
  <si>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</si>
  <si>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</si>
  <si>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</si>
  <si>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</si>
  <si>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</si>
  <si>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</si>
  <si>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</si>
  <si>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</si>
  <si>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</si>
  <si>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</si>
  <si>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</si>
  <si>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</si>
  <si>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</si>
  <si>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</si>
  <si>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</si>
  <si>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</si>
  <si>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</si>
  <si>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</si>
  <si>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</si>
  <si>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</si>
  <si>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</si>
  <si>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</si>
  <si>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</si>
  <si>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</si>
  <si>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</si>
  <si>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</si>
  <si>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</si>
  <si>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</si>
  <si>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</si>
  <si>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</si>
  <si>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</si>
  <si>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</si>
  <si>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</si>
  <si>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</si>
  <si>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</si>
  <si>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</si>
  <si>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</si>
  <si>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</si>
  <si>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</si>
  <si>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</si>
  <si>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</si>
  <si>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</si>
  <si>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</si>
  <si>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</si>
  <si>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</si>
  <si>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</si>
  <si>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</si>
  <si>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</si>
  <si>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</si>
  <si>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</si>
  <si>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</si>
  <si>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</si>
  <si>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</si>
  <si>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</si>
  <si>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</si>
  <si>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</si>
  <si>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</si>
  <si>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</si>
  <si>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</si>
  <si>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</si>
  <si>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</si>
  <si>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</si>
  <si>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</si>
  <si>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</si>
  <si>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</si>
  <si>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</si>
  <si>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</si>
  <si>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</si>
  <si>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</si>
  <si>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</si>
  <si>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</si>
  <si>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</si>
  <si>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</si>
  <si>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</si>
  <si>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</si>
  <si>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</si>
  <si>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</si>
  <si>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</si>
  <si>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</si>
  <si>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</si>
  <si>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</si>
  <si>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</si>
  <si>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</si>
  <si>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</si>
  <si>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</si>
  <si>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</si>
  <si>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</si>
  <si>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</si>
  <si>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</si>
  <si>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</si>
  <si>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</si>
  <si>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</si>
  <si>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</si>
  <si>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</si>
  <si>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</si>
  <si>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</si>
  <si>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</si>
  <si>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</si>
  <si>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</si>
  <si>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</si>
  <si>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</si>
  <si>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</si>
  <si>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</si>
  <si>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</si>
  <si>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</si>
  <si>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</si>
  <si>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</si>
  <si>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</si>
  <si>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</si>
  <si>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</si>
  <si>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</si>
  <si>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</si>
  <si>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</si>
  <si>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</si>
  <si>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</si>
  <si>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</si>
  <si>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</si>
  <si>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</si>
  <si>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</si>
  <si>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</si>
  <si>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</si>
  <si>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</si>
  <si>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</si>
  <si>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</si>
  <si>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</si>
  <si>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</si>
  <si>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</si>
  <si>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</si>
  <si>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</si>
  <si>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</si>
  <si>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</si>
  <si>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</si>
  <si>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</si>
  <si>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</si>
  <si>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</si>
  <si>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</si>
  <si>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</si>
  <si>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</si>
  <si>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</si>
  <si>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</si>
  <si>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</si>
  <si>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</si>
  <si>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</si>
  <si>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</si>
  <si>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</si>
  <si>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</si>
  <si>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</si>
  <si>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</si>
  <si>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</si>
  <si>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</si>
  <si>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</si>
  <si>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</si>
  <si>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</si>
  <si>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</si>
  <si>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</si>
  <si>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</si>
  <si>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</si>
  <si>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</si>
  <si>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</si>
  <si>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</si>
  <si>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</si>
  <si>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</si>
  <si>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</si>
  <si>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</si>
  <si>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</si>
  <si>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</si>
  <si>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</si>
  <si>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</si>
  <si>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</si>
  <si>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</si>
  <si>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</si>
  <si>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</si>
  <si>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</si>
  <si>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</si>
  <si>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</si>
  <si>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</si>
  <si>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</si>
  <si>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</si>
  <si>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</si>
  <si>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</si>
  <si>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</si>
  <si>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</si>
  <si>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</si>
  <si>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</si>
  <si>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</si>
  <si>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</si>
  <si>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</si>
  <si>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</si>
  <si>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</si>
  <si>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</si>
  <si>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</si>
  <si>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</si>
  <si>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</si>
  <si>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</si>
  <si>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</si>
  <si>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</si>
  <si>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</si>
  <si>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</si>
  <si>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</si>
  <si>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</si>
  <si>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</si>
  <si>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</si>
  <si>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</si>
  <si>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</si>
  <si>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</si>
  <si>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</si>
  <si>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</si>
  <si>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</si>
  <si>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</si>
  <si>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</si>
  <si>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</si>
  <si>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</si>
  <si>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</si>
  <si>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</si>
  <si>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</si>
  <si>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</si>
  <si>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</si>
  <si>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</si>
  <si>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</si>
  <si>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</si>
  <si>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</si>
  <si>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</si>
  <si>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</si>
  <si>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</si>
  <si>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</si>
  <si>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</si>
  <si>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</si>
  <si>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</si>
  <si>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</si>
  <si>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</si>
  <si>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</si>
  <si>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</si>
  <si>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</si>
  <si>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</si>
  <si>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</si>
  <si>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</si>
  <si>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</si>
  <si>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</si>
  <si>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</si>
  <si>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</si>
  <si>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</si>
  <si>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</si>
  <si>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</si>
  <si>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</si>
  <si>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</si>
  <si>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</si>
  <si>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</si>
  <si>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</si>
  <si>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</si>
  <si>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</si>
  <si>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</si>
  <si>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</si>
  <si>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</si>
  <si>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</si>
  <si>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</si>
  <si>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</si>
  <si>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</si>
  <si>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</si>
  <si>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</si>
  <si>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</si>
  <si>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</si>
  <si>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</si>
  <si>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</si>
  <si>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</si>
  <si>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</si>
  <si>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</si>
  <si>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</si>
  <si>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</si>
  <si>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</si>
  <si>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</si>
  <si>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</si>
  <si>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</si>
  <si>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</si>
  <si>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</si>
  <si>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</si>
  <si>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</si>
  <si>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</si>
  <si>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</si>
  <si>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</si>
  <si>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</si>
  <si>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</si>
  <si>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</si>
  <si>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</si>
  <si>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</si>
  <si>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</si>
  <si>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</si>
  <si>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</si>
  <si>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</si>
  <si>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</si>
  <si>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</si>
  <si>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</si>
  <si>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</si>
  <si>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</si>
  <si>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</si>
  <si>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</si>
  <si>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</si>
  <si>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</si>
  <si>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</si>
  <si>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</si>
  <si>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</si>
  <si>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</si>
  <si>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</si>
  <si>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</si>
  <si>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</si>
  <si>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</si>
  <si>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</si>
  <si>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</si>
  <si>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</si>
  <si>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</si>
  <si>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</si>
  <si>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</si>
  <si>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</si>
  <si>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</si>
  <si>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</si>
  <si>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</si>
  <si>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</si>
  <si>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</si>
  <si>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</si>
  <si>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</si>
  <si>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</si>
  <si>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</si>
  <si>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</si>
  <si>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</si>
  <si>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</si>
  <si>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</si>
  <si>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</si>
  <si>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</si>
  <si>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</si>
  <si>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</si>
  <si>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</si>
  <si>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</si>
  <si>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</si>
  <si>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</si>
  <si>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</si>
  <si>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</si>
  <si>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</si>
  <si>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</si>
  <si>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</si>
  <si>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</si>
  <si>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</si>
  <si>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</si>
  <si>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</si>
  <si>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</si>
  <si>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</si>
  <si>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</si>
  <si>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</si>
  <si>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</si>
  <si>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</si>
  <si>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</si>
  <si>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</si>
  <si>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</si>
  <si>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</si>
  <si>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</si>
  <si>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</si>
  <si>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</si>
  <si>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</si>
  <si>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</si>
  <si>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</si>
  <si>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</si>
  <si>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</si>
  <si>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</si>
  <si>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</si>
  <si>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</si>
  <si>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</si>
  <si>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</si>
  <si>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</si>
  <si>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</si>
  <si>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</si>
  <si>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</si>
  <si>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</si>
  <si>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</si>
  <si>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</si>
  <si>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</si>
  <si>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</si>
  <si>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</si>
  <si>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</si>
  <si>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</si>
  <si>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</si>
  <si>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</si>
  <si>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</si>
  <si>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</si>
  <si>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</si>
  <si>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</si>
  <si>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</si>
  <si>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</si>
  <si>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</si>
  <si>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</si>
  <si>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</si>
  <si>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</si>
  <si>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</si>
  <si>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</si>
  <si>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</si>
  <si>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</si>
  <si>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</si>
  <si>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</si>
  <si>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</si>
  <si>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</si>
  <si>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</si>
  <si>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</si>
  <si>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</si>
  <si>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</si>
  <si>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</si>
  <si>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</si>
  <si>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</si>
  <si>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</si>
  <si>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</si>
  <si>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</si>
  <si>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</si>
  <si>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</si>
  <si>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</si>
  <si>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</si>
  <si>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</si>
  <si>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</si>
  <si>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</si>
  <si>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</si>
  <si>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</si>
  <si>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</si>
  <si>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</si>
  <si>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</si>
  <si>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</si>
  <si>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</si>
  <si>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</si>
  <si>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</si>
  <si>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</si>
  <si>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</si>
  <si>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</si>
  <si>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</si>
  <si>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</si>
  <si>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</si>
  <si>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</si>
  <si>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</si>
  <si>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</si>
  <si>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</si>
  <si>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</si>
  <si>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</si>
  <si>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</si>
  <si>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</si>
  <si>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</si>
  <si>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</si>
  <si>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</si>
  <si>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</si>
  <si>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</si>
  <si>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</si>
  <si>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</si>
  <si>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</si>
  <si>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</si>
  <si>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</si>
  <si>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</si>
  <si>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</si>
  <si>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</si>
  <si>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</si>
  <si>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</si>
  <si>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</si>
  <si>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</si>
  <si>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</si>
  <si>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</si>
  <si>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</si>
  <si>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</si>
  <si>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</si>
  <si>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</si>
  <si>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</si>
  <si>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</si>
  <si>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</si>
  <si>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</si>
  <si>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</si>
  <si>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</si>
  <si>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</si>
  <si>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</si>
  <si>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</si>
  <si>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</si>
  <si>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</si>
  <si>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</si>
  <si>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</si>
  <si>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</si>
  <si>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</si>
  <si>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</si>
  <si>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</si>
  <si>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</si>
  <si>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</si>
  <si>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</si>
  <si>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</si>
  <si>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</si>
  <si>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</si>
  <si>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</si>
  <si>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</si>
  <si>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</si>
  <si>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</si>
  <si>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</si>
  <si>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</si>
  <si>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</si>
  <si>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</si>
  <si>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</si>
  <si>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</si>
  <si>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</si>
  <si>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</si>
  <si>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</si>
  <si>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</si>
  <si>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</si>
  <si>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</si>
  <si>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</si>
  <si>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</si>
  <si>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</si>
  <si>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</si>
  <si>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</si>
  <si>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</si>
  <si>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</si>
  <si>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</si>
  <si>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</si>
  <si>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</si>
  <si>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</si>
  <si>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</si>
  <si>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</si>
  <si>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</si>
  <si>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</si>
  <si>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</si>
  <si>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</si>
  <si>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</si>
  <si>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</si>
  <si>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</si>
  <si>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</si>
  <si>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</si>
  <si>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</si>
  <si>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</si>
  <si>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</si>
  <si>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</si>
  <si>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</si>
  <si>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</si>
  <si>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</si>
  <si>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</si>
  <si>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</si>
  <si>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</si>
  <si>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</si>
  <si>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</si>
  <si>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</si>
  <si>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</si>
  <si>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</si>
  <si>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</si>
  <si>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</si>
  <si>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</si>
  <si>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</si>
  <si>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</si>
  <si>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</si>
  <si>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</si>
  <si>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</si>
  <si>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</si>
  <si>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</si>
  <si>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</si>
  <si>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</si>
  <si>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</si>
  <si>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</si>
  <si>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</si>
  <si>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</si>
  <si>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</si>
  <si>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</si>
  <si>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</si>
  <si>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</si>
  <si>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</si>
  <si>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</si>
  <si>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</si>
  <si>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</si>
  <si>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</si>
  <si>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</si>
  <si>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</si>
  <si>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</si>
  <si>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</si>
  <si>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</si>
  <si>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</si>
  <si>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</si>
  <si>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</si>
  <si>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</si>
  <si>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</si>
  <si>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</si>
  <si>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</si>
  <si>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</si>
  <si>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</si>
  <si>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</si>
  <si>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</si>
  <si>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</si>
  <si>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</si>
  <si>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</si>
  <si>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</si>
  <si>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</si>
  <si>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</si>
  <si>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</si>
  <si>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</si>
  <si>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</si>
  <si>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</si>
  <si>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</si>
  <si>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</si>
  <si>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</si>
  <si>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</si>
  <si>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</si>
  <si>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</si>
  <si>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</si>
  <si>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</si>
  <si>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</si>
  <si>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</si>
  <si>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</si>
  <si>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</si>
  <si>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</si>
  <si>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</si>
  <si>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</si>
  <si>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</si>
  <si>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</si>
  <si>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</si>
  <si>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</si>
  <si>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</si>
  <si>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</si>
  <si>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</si>
  <si>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</si>
  <si>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</si>
  <si>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</si>
  <si>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</si>
  <si>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</si>
  <si>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</si>
  <si>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</si>
  <si>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</si>
  <si>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</si>
  <si>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</si>
  <si>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</si>
  <si>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</si>
  <si>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</si>
  <si>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</si>
  <si>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</si>
  <si>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</si>
  <si>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</si>
  <si>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</si>
  <si>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</si>
  <si>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</si>
  <si>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</si>
  <si>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</si>
  <si>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</si>
  <si>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</si>
  <si>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</si>
  <si>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</si>
  <si>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</si>
  <si>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</si>
  <si>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</si>
  <si>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</si>
  <si>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</si>
  <si>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</si>
  <si>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</si>
  <si>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</si>
  <si>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</si>
  <si>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</si>
  <si>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</si>
  <si>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</si>
  <si>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</si>
  <si>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</si>
  <si>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</si>
  <si>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</si>
  <si>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</si>
  <si>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</si>
  <si>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</si>
  <si>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</si>
  <si>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</si>
  <si>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</si>
  <si>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</si>
  <si>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</si>
  <si>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</si>
  <si>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</si>
  <si>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</si>
  <si>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</si>
  <si>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</si>
  <si>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</si>
  <si>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</si>
  <si>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</si>
  <si>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</si>
  <si>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</si>
  <si>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</si>
  <si>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</si>
  <si>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</si>
  <si>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</si>
  <si>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</si>
  <si>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</si>
  <si>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</si>
  <si>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</si>
  <si>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</si>
  <si>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</si>
  <si>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</si>
  <si>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</si>
  <si>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</si>
  <si>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</si>
  <si>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</si>
  <si>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</si>
  <si>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</si>
  <si>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</si>
  <si>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</si>
  <si>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</si>
  <si>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</si>
  <si>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</si>
  <si>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</si>
  <si>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</si>
  <si>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</si>
  <si>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</si>
  <si>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</si>
  <si>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</si>
  <si>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</si>
  <si>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</si>
  <si>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</si>
  <si>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</si>
  <si>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</si>
  <si>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</si>
  <si>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</si>
  <si>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</si>
  <si>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</si>
  <si>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</si>
  <si>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</si>
  <si>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</si>
  <si>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</si>
  <si>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</si>
  <si>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</si>
  <si>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</si>
  <si>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</si>
  <si>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</si>
  <si>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</si>
  <si>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</si>
  <si>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</si>
  <si>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</si>
  <si>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</si>
  <si>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</si>
  <si>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</si>
  <si>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</si>
  <si>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</si>
  <si>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</si>
  <si>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</si>
  <si>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</si>
  <si>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</si>
  <si>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</si>
  <si>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</si>
  <si>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</si>
  <si>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</si>
  <si>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</si>
  <si>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</si>
  <si>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</si>
  <si>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</si>
  <si>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</si>
  <si>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</si>
  <si>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</si>
  <si>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</si>
  <si>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</si>
  <si>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</si>
  <si>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</si>
  <si>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</si>
  <si>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</si>
  <si>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</si>
  <si>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</si>
  <si>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</si>
  <si>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</si>
  <si>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</si>
  <si>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</si>
  <si>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</si>
  <si>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</si>
  <si>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</si>
  <si>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</si>
  <si>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</si>
  <si>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</si>
  <si>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</si>
  <si>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</si>
  <si>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</si>
  <si>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</si>
  <si>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</si>
  <si>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</si>
  <si>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</si>
  <si>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</si>
  <si>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</si>
  <si>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</si>
  <si>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</si>
  <si>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</si>
  <si>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</si>
  <si>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</si>
  <si>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</si>
  <si>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</si>
  <si>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</si>
  <si>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</si>
  <si>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</si>
  <si>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</si>
  <si>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</si>
  <si>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</si>
  <si>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</si>
  <si>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</si>
  <si>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</si>
  <si>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</si>
  <si>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</si>
  <si>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</si>
  <si>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</si>
  <si>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</si>
  <si>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</si>
  <si>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</si>
  <si>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</si>
  <si>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</si>
  <si>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</si>
  <si>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</si>
  <si>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</si>
  <si>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</si>
  <si>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</si>
  <si>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</si>
  <si>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</si>
  <si>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</si>
  <si>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</si>
  <si>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</si>
  <si>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</si>
  <si>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</si>
  <si>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</si>
  <si>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</si>
  <si>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</si>
  <si>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</si>
  <si>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</si>
  <si>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</si>
  <si>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</si>
  <si>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</si>
  <si>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</si>
  <si>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</si>
  <si>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</si>
  <si>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</si>
  <si>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</si>
  <si>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</si>
  <si>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</si>
  <si>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</si>
  <si>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</si>
  <si>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</si>
  <si>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</si>
  <si>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</si>
  <si>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</si>
  <si>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</si>
  <si>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</si>
  <si>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</si>
  <si>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</si>
  <si>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</si>
  <si>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</si>
  <si>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</si>
  <si>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</si>
  <si>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</si>
  <si>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</si>
  <si>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</si>
  <si>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</si>
  <si>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</si>
  <si>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</si>
  <si>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</si>
  <si>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</si>
  <si>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</si>
  <si>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</si>
  <si>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</si>
  <si>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</si>
  <si>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</si>
  <si>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</si>
  <si>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</si>
  <si>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</si>
  <si>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</si>
  <si>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</si>
  <si>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</si>
  <si>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</si>
  <si>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</si>
  <si>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</si>
  <si>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</si>
  <si>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</si>
  <si>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</si>
  <si>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</si>
  <si>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</si>
  <si>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</si>
  <si>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</si>
  <si>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</si>
  <si>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</si>
  <si>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</si>
  <si>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</si>
  <si>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</si>
  <si>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</si>
  <si>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</si>
  <si>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</si>
  <si>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</si>
  <si>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</si>
  <si>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</si>
  <si>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</si>
  <si>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</si>
  <si>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</si>
  <si>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</si>
  <si>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</si>
  <si>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</si>
  <si>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</si>
  <si>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</si>
  <si>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</si>
  <si>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</si>
  <si>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</si>
  <si>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</si>
  <si>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</si>
  <si>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</si>
  <si>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</si>
  <si>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</si>
  <si>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</si>
  <si>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</si>
  <si>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</si>
  <si>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</si>
  <si>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</si>
  <si>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</si>
  <si>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</si>
  <si>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</si>
  <si>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</si>
  <si>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</si>
  <si>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</si>
  <si>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</si>
  <si>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</si>
  <si>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</si>
  <si>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</si>
  <si>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</si>
  <si>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</si>
  <si>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</si>
  <si>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</si>
  <si>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</si>
  <si>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</si>
  <si>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</si>
  <si>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</si>
  <si>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</si>
  <si>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</si>
  <si>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</si>
  <si>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</si>
  <si>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</si>
  <si>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</si>
  <si>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</si>
  <si>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</si>
  <si>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</si>
  <si>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</si>
  <si>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</si>
  <si>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</si>
  <si>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</si>
  <si>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</si>
  <si>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</si>
  <si>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</si>
  <si>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</si>
  <si>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</si>
  <si>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</si>
  <si>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</si>
  <si>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</si>
  <si>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</si>
  <si>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</si>
  <si>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</si>
  <si>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</si>
  <si>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</si>
  <si>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</si>
  <si>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</si>
  <si>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</si>
  <si>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</si>
  <si>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</si>
  <si>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</si>
  <si>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</si>
  <si>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</si>
  <si>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</si>
  <si>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</si>
  <si>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</si>
  <si>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</si>
  <si>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</si>
  <si>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</si>
  <si>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</si>
  <si>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</si>
  <si>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</si>
  <si>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</si>
  <si>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</si>
  <si>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</si>
  <si>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</si>
  <si>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</si>
  <si>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</si>
  <si>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</si>
  <si>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</si>
  <si>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</si>
  <si>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</si>
  <si>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</si>
  <si>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</si>
  <si>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</si>
  <si>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</si>
  <si>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</si>
  <si>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</si>
  <si>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</si>
  <si>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</si>
  <si>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</si>
  <si>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</si>
  <si>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</si>
  <si>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</si>
  <si>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</si>
  <si>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</si>
  <si>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</si>
  <si>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</si>
  <si>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</si>
  <si>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</si>
  <si>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</si>
  <si>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</si>
  <si>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</si>
  <si>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</si>
  <si>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</si>
  <si>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</si>
  <si>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</si>
  <si>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</si>
  <si>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</si>
  <si>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</si>
  <si>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</si>
  <si>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</si>
  <si>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</si>
  <si>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</si>
  <si>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</si>
  <si>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</si>
  <si>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</si>
  <si>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</si>
  <si>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</si>
  <si>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</si>
  <si>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</si>
  <si>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</si>
  <si>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</si>
  <si>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</si>
  <si>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</si>
  <si>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</si>
  <si>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</si>
  <si>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</si>
  <si>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</si>
  <si>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</si>
  <si>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</si>
  <si>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</si>
  <si>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</si>
  <si>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</si>
  <si>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</si>
  <si>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</si>
  <si>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</si>
  <si>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</si>
  <si>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</si>
  <si>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</si>
  <si>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</si>
  <si>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</si>
  <si>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</si>
  <si>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</si>
  <si>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</si>
  <si>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</si>
  <si>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</si>
  <si>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</si>
  <si>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</si>
  <si>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</si>
  <si>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</si>
  <si>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</si>
  <si>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</si>
  <si>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</si>
  <si>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</si>
  <si>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</si>
  <si>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</si>
  <si>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</si>
  <si>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</si>
  <si>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</si>
  <si>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</si>
  <si>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</si>
  <si>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</si>
  <si>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</si>
  <si>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</si>
  <si>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</si>
  <si>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</si>
  <si>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</si>
  <si>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</si>
  <si>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</si>
  <si>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</si>
  <si>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</si>
  <si>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</si>
  <si>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</si>
  <si>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</si>
  <si>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</si>
  <si>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</si>
  <si>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</si>
  <si>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</si>
  <si>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</si>
  <si>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</si>
  <si>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</si>
  <si>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</si>
  <si>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</si>
  <si>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</si>
  <si>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</si>
  <si>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</si>
  <si>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</si>
  <si>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</si>
  <si>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</si>
  <si>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</si>
  <si>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</si>
  <si>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</si>
  <si>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</si>
  <si>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</si>
  <si>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</si>
  <si>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</si>
  <si>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</si>
  <si>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</si>
  <si>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</si>
  <si>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</si>
  <si>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</si>
  <si>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</si>
  <si>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</si>
  <si>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</si>
  <si>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</si>
  <si>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</si>
  <si>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</si>
  <si>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</si>
  <si>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</si>
  <si>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</si>
  <si>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</si>
  <si>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</si>
  <si>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</si>
  <si>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</si>
  <si>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</si>
  <si>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</si>
  <si>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</si>
  <si>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</si>
  <si>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</si>
  <si>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</si>
  <si>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</si>
  <si>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</si>
  <si>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</si>
  <si>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</si>
  <si>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</si>
  <si>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</si>
  <si>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</si>
  <si>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</si>
  <si>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</si>
  <si>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</si>
  <si>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</si>
  <si>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</si>
  <si>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</si>
  <si>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</si>
  <si>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</si>
  <si>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</si>
  <si>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</si>
  <si>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</si>
  <si>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</si>
  <si>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</si>
  <si>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</si>
  <si>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</si>
  <si>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</si>
  <si>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</si>
  <si>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</si>
  <si>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</si>
  <si>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</si>
  <si>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</si>
  <si>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</si>
  <si>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</si>
  <si>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</si>
  <si>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</si>
  <si>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</si>
  <si>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</si>
  <si>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</si>
  <si>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</si>
  <si>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</si>
  <si>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</si>
  <si>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</si>
  <si>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</si>
  <si>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</si>
  <si>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</si>
  <si>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</si>
  <si>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</si>
  <si>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</si>
  <si>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</si>
  <si>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</si>
  <si>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</si>
  <si>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</si>
  <si>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</si>
  <si>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</si>
  <si>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</si>
  <si>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</si>
  <si>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</si>
  <si>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</si>
  <si>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</si>
  <si>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</si>
  <si>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</si>
  <si>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</si>
  <si>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</si>
  <si>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</si>
  <si>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</si>
  <si>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</si>
  <si>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</si>
  <si>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</si>
  <si>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</si>
  <si>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</si>
  <si>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</si>
  <si>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</si>
  <si>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</si>
  <si>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</si>
  <si>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</si>
  <si>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</si>
  <si>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</si>
  <si>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</si>
  <si>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</si>
  <si>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</si>
  <si>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</si>
  <si>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</si>
  <si>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</si>
  <si>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</si>
  <si>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</si>
  <si>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</si>
  <si>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</si>
  <si>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</si>
  <si>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</si>
  <si>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</si>
  <si>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</si>
  <si>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</si>
  <si>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</si>
  <si>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</si>
  <si>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</si>
  <si>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</si>
  <si>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</si>
  <si>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</si>
  <si>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</si>
  <si>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</si>
  <si>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</si>
  <si>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</si>
  <si>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</si>
  <si>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</si>
  <si>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</si>
  <si>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</si>
  <si>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</si>
  <si>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</si>
  <si>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</si>
  <si>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</si>
  <si>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</si>
  <si>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</si>
  <si>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</si>
  <si>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</si>
  <si>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</si>
  <si>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</si>
  <si>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</si>
  <si>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</si>
  <si>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</si>
  <si>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</si>
  <si>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</si>
  <si>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</si>
  <si>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</si>
  <si>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</si>
  <si>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</si>
  <si>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</si>
  <si>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</si>
  <si>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</si>
  <si>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</si>
  <si>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</si>
  <si>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</si>
  <si>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</si>
  <si>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</si>
  <si>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</si>
  <si>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</si>
  <si>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</si>
  <si>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</si>
  <si>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</si>
  <si>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</si>
  <si>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</si>
  <si>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</si>
  <si>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</si>
  <si>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</si>
  <si>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</si>
  <si>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</si>
  <si>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</si>
  <si>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</si>
  <si>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</si>
  <si>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</si>
  <si>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</si>
  <si>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</si>
  <si>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</si>
  <si>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</si>
  <si>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</si>
  <si>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</si>
  <si>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</si>
  <si>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</si>
  <si>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</si>
  <si>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</si>
  <si>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</si>
  <si>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</si>
  <si>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</si>
  <si>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</si>
  <si>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</si>
  <si>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</si>
  <si>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</si>
  <si>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</si>
  <si>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</si>
  <si>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</si>
  <si>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</si>
  <si>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</si>
  <si>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</si>
  <si>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</si>
  <si>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</si>
  <si>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</si>
  <si>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</si>
  <si>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</si>
  <si>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</si>
  <si>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</si>
  <si>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</si>
  <si>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</si>
  <si>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</si>
  <si>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</si>
  <si>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</si>
  <si>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</si>
  <si>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</si>
  <si>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</si>
  <si>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</si>
  <si>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</si>
  <si>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</si>
  <si>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</si>
  <si>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</si>
  <si>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</si>
  <si>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</si>
  <si>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</si>
  <si>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</si>
  <si>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</si>
  <si>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</si>
  <si>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</si>
  <si>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</si>
  <si>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</si>
  <si>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</si>
  <si>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</si>
  <si>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</si>
  <si>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</si>
  <si>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</si>
  <si>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</si>
  <si>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</si>
  <si>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</si>
  <si>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</si>
  <si>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</si>
  <si>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</si>
  <si>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</si>
  <si>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</si>
  <si>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</si>
  <si>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</si>
  <si>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</si>
  <si>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</si>
  <si>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</si>
  <si>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</si>
  <si>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</si>
  <si>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</si>
  <si>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</si>
  <si>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</si>
  <si>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</si>
  <si>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</si>
  <si>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</si>
  <si>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</si>
  <si>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</si>
  <si>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</si>
  <si>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</si>
  <si>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</si>
  <si>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</si>
  <si>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</si>
  <si>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</si>
  <si>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</si>
  <si>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</si>
  <si>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</si>
  <si>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</si>
  <si>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</si>
  <si>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</si>
  <si>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</si>
  <si>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</si>
  <si>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</si>
  <si>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</si>
  <si>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</si>
  <si>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</si>
  <si>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</si>
  <si>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</si>
  <si>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</si>
  <si>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</si>
  <si>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</si>
  <si>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</si>
  <si>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</si>
  <si>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</si>
  <si>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</si>
  <si>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</si>
  <si>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</si>
  <si>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</si>
  <si>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</si>
  <si>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</si>
  <si>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</si>
  <si>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</si>
  <si>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</si>
  <si>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</si>
  <si>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</si>
  <si>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</si>
  <si>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</si>
  <si>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</si>
  <si>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</si>
  <si>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</si>
  <si>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</si>
  <si>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</si>
  <si>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</si>
  <si>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</si>
  <si>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</si>
  <si>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</si>
  <si>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</si>
  <si>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</si>
  <si>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</si>
  <si>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</si>
  <si>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</si>
  <si>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</si>
  <si>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</si>
  <si>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</si>
  <si>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</si>
  <si>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</si>
  <si>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</si>
  <si>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</si>
  <si>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</si>
  <si>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</si>
  <si>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</si>
  <si>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</si>
  <si>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</si>
  <si>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</si>
  <si>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</si>
  <si>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</si>
  <si>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</si>
  <si>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</si>
  <si>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</si>
  <si>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</si>
  <si>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</si>
  <si>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</si>
  <si>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</si>
  <si>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</si>
  <si>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</si>
  <si>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</si>
  <si>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</si>
  <si>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</si>
  <si>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</si>
  <si>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</si>
  <si>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</si>
  <si>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</si>
  <si>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</si>
  <si>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</si>
  <si>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</si>
  <si>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</si>
  <si>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</si>
  <si>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</si>
  <si>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</si>
  <si>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</si>
  <si>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</si>
  <si>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</si>
  <si>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</si>
  <si>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</si>
  <si>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</si>
  <si>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</si>
  <si>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</si>
  <si>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</si>
  <si>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</si>
  <si>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</si>
  <si>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</si>
  <si>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</si>
  <si>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</si>
  <si>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</si>
  <si>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</si>
  <si>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</si>
  <si>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</si>
  <si>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</si>
  <si>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</si>
  <si>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</si>
  <si>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</si>
  <si>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</si>
  <si>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</si>
  <si>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</si>
  <si>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</si>
  <si>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</si>
  <si>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</si>
  <si>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</si>
  <si>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</si>
  <si>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</si>
  <si>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</si>
  <si>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</si>
  <si>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</si>
  <si>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</si>
  <si>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</si>
  <si>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</si>
  <si>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</si>
  <si>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</si>
  <si>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</si>
  <si>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</si>
  <si>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</si>
  <si>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</si>
  <si>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</si>
  <si>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</si>
  <si>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</si>
  <si>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</si>
  <si>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</si>
  <si>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</si>
  <si>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</si>
  <si>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</si>
  <si>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</si>
  <si>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</si>
  <si>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</si>
  <si>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</si>
  <si>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</si>
  <si>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</si>
  <si>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</si>
  <si>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</si>
  <si>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</si>
  <si>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</si>
  <si>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</si>
  <si>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</si>
  <si>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</si>
  <si>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</si>
  <si>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</si>
  <si>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</si>
  <si>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</si>
  <si>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</si>
  <si>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</si>
  <si>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</si>
  <si>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</si>
  <si>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</si>
  <si>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</si>
  <si>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</si>
  <si>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</si>
  <si>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</si>
  <si>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</si>
  <si>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</si>
  <si>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</si>
  <si>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</si>
  <si>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</si>
  <si>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</si>
  <si>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</si>
  <si>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</si>
  <si>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</si>
  <si>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</si>
  <si>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</si>
  <si>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</si>
  <si>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</si>
  <si>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</si>
  <si>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</si>
  <si>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</si>
  <si>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</si>
  <si>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</si>
  <si>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</si>
  <si>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</si>
  <si>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</si>
  <si>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</si>
  <si>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</si>
  <si>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</si>
  <si>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</si>
  <si>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</si>
  <si>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</si>
  <si>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</si>
  <si>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</si>
  <si>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</si>
  <si>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</si>
  <si>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</si>
  <si>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</si>
  <si>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</si>
  <si>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</si>
  <si>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</si>
  <si>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</si>
  <si>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</si>
  <si>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</si>
  <si>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</si>
  <si>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</si>
  <si>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</si>
  <si>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</si>
  <si>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</si>
  <si>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</si>
  <si>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</si>
  <si>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</si>
  <si>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</si>
  <si>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</si>
  <si>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</si>
  <si>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</si>
  <si>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</si>
  <si>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</si>
  <si>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</si>
  <si>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</si>
  <si>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</si>
  <si>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</si>
  <si>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</si>
  <si>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</si>
  <si>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</si>
  <si>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</si>
  <si>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</si>
  <si>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</si>
  <si>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</si>
  <si>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</si>
  <si>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</si>
  <si>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</si>
  <si>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</si>
  <si>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</si>
  <si>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</si>
  <si>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</si>
  <si>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</si>
  <si>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</si>
  <si>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</si>
  <si>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</si>
  <si>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</si>
  <si>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</si>
  <si>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</si>
  <si>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</si>
  <si>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</si>
  <si>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</si>
  <si>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</si>
  <si>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</si>
  <si>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</si>
  <si>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</si>
  <si>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</si>
  <si>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</si>
  <si>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</si>
  <si>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</si>
  <si>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</si>
  <si>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</si>
  <si>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</si>
  <si>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</si>
  <si>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</si>
  <si>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</si>
  <si>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</si>
  <si>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</si>
  <si>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</si>
  <si>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</si>
  <si>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</si>
  <si>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</si>
  <si>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</si>
  <si>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</si>
  <si>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</si>
  <si>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</si>
  <si>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</si>
  <si>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</si>
  <si>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</si>
  <si>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</si>
  <si>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</si>
  <si>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</si>
  <si>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</si>
  <si>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</si>
  <si>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</si>
  <si>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</si>
  <si>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</si>
  <si>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</si>
  <si>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</si>
  <si>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</si>
  <si>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</si>
  <si>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</si>
  <si>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</si>
  <si>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</si>
  <si>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</si>
  <si>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</si>
  <si>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</si>
  <si>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</si>
  <si>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</si>
  <si>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</si>
  <si>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</si>
  <si>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</si>
  <si>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</si>
  <si>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</si>
  <si>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</si>
  <si>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</si>
  <si>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</si>
  <si>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</si>
  <si>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</si>
  <si>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</si>
  <si>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</si>
  <si>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</si>
  <si>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</si>
  <si>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</si>
  <si>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</si>
  <si>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</si>
  <si>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</si>
  <si>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</si>
  <si>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</si>
  <si>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</si>
  <si>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</si>
  <si>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</si>
  <si>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</si>
  <si>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</si>
  <si>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</si>
  <si>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</si>
  <si>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</si>
  <si>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</si>
  <si>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</si>
  <si>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</si>
  <si>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</si>
  <si>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</si>
  <si>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</si>
  <si>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</si>
  <si>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</si>
  <si>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</si>
  <si>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</si>
  <si>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</si>
  <si>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</si>
  <si>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</si>
  <si>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</si>
  <si>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</si>
  <si>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</si>
  <si>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</si>
  <si>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</si>
  <si>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</si>
  <si>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</si>
  <si>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</si>
  <si>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</si>
  <si>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</si>
  <si>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</si>
  <si>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</si>
  <si>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</si>
  <si>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</si>
  <si>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</si>
  <si>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</si>
  <si>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</si>
  <si>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</si>
  <si>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</si>
  <si>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</si>
  <si>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</si>
  <si>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</si>
  <si>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</si>
  <si>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</si>
  <si>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</si>
  <si>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</si>
  <si>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</si>
  <si>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</si>
  <si>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</si>
  <si>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</si>
  <si>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</si>
  <si>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</si>
  <si>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</si>
  <si>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</si>
  <si>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</si>
  <si>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</si>
  <si>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</si>
  <si>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</si>
  <si>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</si>
  <si>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</si>
  <si>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</si>
  <si>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</si>
  <si>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</si>
  <si>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</si>
  <si>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</si>
  <si>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</si>
  <si>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</si>
  <si>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</si>
  <si>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</si>
  <si>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</si>
  <si>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</si>
  <si>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</si>
  <si>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</si>
  <si>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</si>
  <si>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</si>
  <si>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</si>
  <si>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</si>
  <si>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</si>
  <si>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</si>
  <si>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</si>
  <si>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</si>
  <si>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</si>
  <si>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</si>
  <si>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</si>
  <si>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</si>
  <si>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</si>
  <si>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</si>
  <si>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</si>
  <si>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</si>
  <si>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</si>
  <si>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</si>
  <si>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</si>
  <si>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</si>
  <si>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</si>
  <si>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</si>
  <si>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</si>
  <si>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</si>
  <si>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</si>
  <si>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</si>
  <si>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</si>
  <si>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</si>
  <si>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</si>
  <si>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</si>
  <si>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</si>
  <si>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</si>
  <si>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</si>
  <si>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</si>
  <si>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</si>
  <si>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</si>
  <si>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</si>
  <si>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</si>
  <si>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</si>
  <si>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</si>
  <si>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</si>
  <si>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</si>
  <si>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</si>
  <si>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</si>
  <si>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</si>
  <si>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</si>
  <si>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</si>
  <si>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</si>
  <si>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</si>
  <si>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</si>
  <si>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</si>
  <si>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</si>
  <si>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</si>
  <si>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</si>
  <si>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</si>
  <si>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</si>
  <si>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</si>
  <si>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</si>
  <si>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</si>
  <si>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</si>
  <si>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</si>
  <si>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</si>
  <si>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</si>
  <si>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</si>
  <si>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</si>
  <si>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</si>
  <si>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</si>
  <si>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</si>
  <si>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</si>
  <si>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</si>
  <si>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</si>
  <si>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</si>
  <si>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</si>
  <si>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</si>
  <si>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</si>
  <si>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</si>
  <si>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</si>
  <si>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</si>
  <si>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</si>
  <si>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</si>
  <si>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</si>
  <si>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</si>
  <si>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</si>
  <si>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</si>
  <si>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</si>
  <si>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</si>
  <si>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</si>
  <si>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</si>
  <si>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</si>
  <si>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</si>
  <si>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</si>
  <si>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</si>
  <si>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</si>
  <si>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</si>
  <si>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</si>
  <si>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</si>
  <si>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</si>
  <si>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</si>
  <si>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</si>
  <si>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</si>
  <si>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</si>
  <si>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</si>
  <si>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</si>
  <si>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</si>
  <si>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</si>
  <si>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</si>
  <si>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</si>
  <si>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</si>
  <si>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</si>
  <si>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</si>
  <si>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</si>
  <si>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</si>
  <si>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</si>
  <si>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</si>
  <si>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</si>
  <si>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</si>
  <si>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</si>
  <si>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</si>
  <si>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</si>
  <si>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</si>
  <si>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</si>
  <si>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</si>
  <si>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</si>
  <si>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</si>
  <si>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</si>
  <si>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</si>
  <si>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</si>
  <si>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</si>
  <si>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</si>
  <si>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</si>
  <si>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</si>
  <si>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</si>
  <si>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</si>
  <si>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</si>
  <si>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</si>
  <si>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</si>
  <si>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</si>
  <si>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</si>
  <si>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</si>
  <si>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</si>
  <si>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</si>
  <si>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</si>
  <si>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</si>
  <si>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</si>
  <si>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</si>
  <si>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</si>
  <si>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</si>
  <si>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</si>
  <si>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</si>
  <si>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</si>
  <si>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</si>
  <si>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</si>
  <si>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</si>
  <si>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</si>
  <si>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</si>
  <si>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</si>
  <si>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</si>
  <si>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</si>
  <si>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</si>
  <si>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</si>
  <si>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</si>
  <si>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</si>
  <si>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</si>
  <si>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</si>
  <si>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</si>
  <si>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</si>
  <si>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</si>
  <si>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</si>
  <si>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</si>
  <si>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</si>
  <si>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</si>
  <si>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</si>
  <si>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</si>
  <si>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</si>
  <si>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</si>
  <si>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</si>
  <si>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</si>
  <si>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</si>
  <si>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</si>
  <si>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</si>
  <si>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</si>
  <si>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</si>
  <si>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</si>
  <si>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</si>
  <si>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</si>
  <si>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</si>
  <si>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</si>
  <si>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</si>
  <si>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</si>
  <si>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</si>
  <si>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</si>
  <si>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</si>
  <si>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</si>
  <si>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</si>
  <si>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</si>
  <si>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</si>
  <si>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</si>
  <si>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</si>
  <si>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</si>
  <si>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</si>
  <si>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</si>
  <si>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</si>
  <si>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</si>
  <si>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</si>
  <si>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</si>
  <si>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</si>
  <si>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</si>
  <si>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</si>
  <si>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</si>
  <si>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</si>
  <si>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</si>
  <si>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</si>
  <si>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</si>
  <si>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</si>
  <si>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</si>
  <si>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</si>
  <si>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</si>
  <si>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</si>
  <si>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</si>
  <si>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</si>
  <si>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</si>
  <si>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</si>
  <si>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</si>
  <si>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</si>
  <si>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</si>
  <si>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</si>
  <si>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</si>
  <si>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</si>
  <si>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</si>
  <si>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</si>
  <si>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</si>
  <si>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</si>
  <si>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</si>
  <si>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</si>
  <si>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</si>
  <si>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</si>
  <si>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</si>
  <si>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</si>
  <si>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</si>
  <si>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</si>
  <si>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</si>
  <si>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</si>
  <si>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</si>
  <si>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</si>
  <si>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</si>
  <si>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</si>
  <si>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</si>
  <si>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</si>
  <si>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</si>
  <si>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</si>
  <si>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</si>
  <si>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</si>
  <si>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</si>
  <si>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</si>
  <si>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</si>
  <si>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</si>
  <si>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</si>
  <si>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</si>
  <si>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</si>
  <si>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</si>
  <si>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</si>
  <si>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</si>
  <si>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</si>
  <si>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</si>
  <si>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</si>
  <si>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</si>
  <si>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</si>
  <si>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</si>
  <si>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</si>
  <si>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</si>
  <si>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</si>
  <si>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</si>
  <si>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</si>
  <si>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</si>
  <si>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</si>
  <si>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</si>
  <si>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</si>
  <si>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</si>
  <si>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</si>
  <si>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</si>
  <si>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</si>
  <si>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</si>
  <si>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</si>
  <si>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</si>
  <si>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</si>
  <si>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</si>
  <si>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</si>
  <si>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</si>
  <si>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</si>
  <si>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</si>
  <si>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</si>
  <si>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</si>
  <si>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</si>
  <si>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</si>
  <si>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</si>
  <si>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</si>
  <si>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</si>
  <si>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</si>
  <si>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</si>
  <si>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</si>
  <si>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</si>
  <si>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</si>
  <si>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</si>
  <si>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</si>
  <si>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</si>
  <si>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</si>
  <si>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</si>
  <si>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</si>
  <si>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</si>
  <si>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</si>
  <si>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</si>
  <si>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</si>
  <si>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</si>
  <si>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</si>
  <si>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</si>
  <si>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</si>
  <si>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</si>
  <si>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</si>
  <si>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</si>
  <si>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</si>
  <si>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</si>
  <si>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</si>
  <si>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</si>
  <si>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</si>
  <si>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</si>
  <si>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</si>
  <si>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</si>
  <si>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</si>
  <si>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</si>
  <si>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</si>
  <si>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</si>
  <si>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</si>
  <si>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</si>
  <si>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</si>
  <si>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</si>
  <si>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</si>
  <si>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</si>
  <si>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</si>
  <si>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</si>
  <si>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</si>
  <si>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</si>
  <si>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</si>
  <si>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</si>
  <si>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</si>
  <si>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</si>
  <si>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</si>
  <si>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</si>
  <si>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</si>
  <si>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</si>
  <si>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</si>
  <si>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</si>
  <si>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</si>
  <si>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</si>
  <si>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</si>
  <si>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</si>
  <si>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</si>
  <si>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</si>
  <si>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</si>
  <si>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</si>
  <si>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</si>
  <si>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</si>
  <si>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</si>
  <si>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</si>
  <si>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</si>
  <si>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</si>
  <si>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</si>
  <si>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</si>
  <si>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</si>
  <si>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</si>
  <si>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</si>
  <si>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</si>
  <si>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</si>
  <si>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</si>
  <si>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</si>
  <si>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</si>
  <si>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</si>
  <si>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</si>
  <si>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</si>
  <si>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</si>
  <si>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</si>
  <si>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</si>
  <si>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</si>
  <si>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</si>
  <si>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</si>
  <si>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</si>
  <si>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</si>
  <si>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</si>
  <si>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</si>
  <si>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</si>
  <si>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</si>
  <si>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</si>
  <si>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</si>
  <si>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</si>
  <si>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</si>
  <si>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</si>
  <si>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</si>
  <si>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</si>
  <si>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</si>
  <si>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</si>
  <si>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</si>
  <si>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</si>
  <si>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</si>
  <si>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</si>
  <si>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</si>
  <si>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</si>
  <si>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</si>
  <si>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</si>
  <si>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</si>
  <si>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</si>
  <si>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</si>
  <si>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</si>
  <si>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</si>
  <si>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</si>
  <si>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</si>
  <si>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</si>
  <si>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</si>
  <si>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</si>
  <si>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</si>
  <si>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</si>
  <si>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</si>
  <si>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</si>
  <si>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</si>
  <si>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</si>
  <si>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</si>
  <si>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</si>
  <si>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</si>
  <si>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</si>
  <si>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</si>
  <si>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</si>
  <si>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</si>
  <si>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</si>
  <si>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</si>
  <si>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</si>
  <si>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</si>
  <si>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</si>
  <si>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</si>
  <si>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</si>
  <si>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</si>
  <si>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</si>
  <si>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</si>
  <si>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</si>
  <si>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</si>
  <si>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</si>
  <si>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</si>
  <si>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</si>
  <si>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</si>
  <si>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</si>
  <si>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</si>
  <si>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</si>
  <si>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</si>
  <si>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</si>
  <si>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</si>
  <si>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</si>
  <si>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</si>
  <si>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</si>
  <si>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</si>
  <si>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</si>
  <si>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</si>
  <si>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</si>
  <si>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</si>
  <si>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</si>
  <si>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</si>
  <si>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</si>
  <si>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</si>
  <si>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</si>
  <si>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</si>
  <si>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</si>
  <si>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</si>
  <si>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</si>
  <si>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</si>
  <si>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</si>
  <si>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</si>
  <si>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</si>
  <si>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</si>
  <si>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</si>
  <si>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</si>
  <si>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</si>
  <si>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</si>
  <si>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</si>
  <si>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</si>
  <si>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</si>
  <si>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</si>
  <si>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</si>
  <si>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</si>
  <si>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</si>
  <si>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</si>
  <si>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</si>
  <si>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</si>
  <si>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</si>
  <si>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</si>
  <si>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</si>
  <si>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</si>
  <si>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</si>
  <si>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</si>
  <si>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</si>
  <si>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</si>
  <si>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</si>
  <si>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</si>
  <si>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</si>
  <si>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</si>
  <si>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</si>
  <si>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</si>
  <si>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</si>
  <si>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</si>
  <si>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</si>
  <si>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</si>
  <si>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</si>
  <si>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</si>
  <si>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</si>
  <si>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</si>
  <si>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</si>
  <si>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</si>
  <si>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</si>
  <si>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</si>
  <si>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</si>
  <si>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</si>
  <si>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</si>
  <si>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</si>
  <si>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</si>
  <si>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</si>
  <si>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</si>
  <si>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</si>
  <si>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</si>
  <si>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</si>
  <si>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</si>
  <si>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</si>
  <si>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</si>
  <si>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</si>
  <si>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</si>
  <si>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</si>
  <si>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</si>
  <si>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</si>
  <si>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</si>
  <si>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</si>
  <si>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</si>
  <si>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</si>
  <si>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</si>
  <si>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</si>
  <si>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</si>
  <si>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</si>
  <si>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</si>
  <si>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</si>
  <si>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</si>
  <si>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</si>
  <si>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</si>
  <si>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</si>
  <si>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</si>
  <si>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</si>
  <si>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</si>
  <si>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</si>
  <si>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</si>
  <si>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</si>
  <si>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</si>
  <si>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</si>
  <si>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</si>
  <si>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</si>
  <si>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</si>
  <si>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</si>
  <si>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</si>
  <si>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</si>
  <si>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</si>
  <si>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</si>
  <si>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</si>
  <si>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</si>
  <si>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</si>
  <si>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</si>
  <si>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</si>
  <si>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</si>
  <si>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</si>
  <si>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</si>
  <si>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</si>
  <si>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</si>
  <si>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</si>
  <si>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</si>
  <si>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</si>
  <si>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</si>
  <si>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</si>
  <si>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</si>
  <si>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</si>
  <si>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</si>
  <si>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</si>
  <si>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</si>
  <si>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</si>
  <si>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</si>
  <si>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</si>
  <si>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</si>
  <si>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</si>
  <si>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</si>
  <si>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</si>
  <si>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</si>
  <si>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</si>
  <si>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</si>
  <si>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</si>
  <si>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</si>
  <si>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</si>
  <si>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</si>
  <si>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</si>
  <si>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</si>
  <si>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</si>
  <si>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</si>
  <si>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</si>
  <si>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</si>
  <si>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</si>
  <si>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</si>
  <si>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</si>
  <si>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</si>
  <si>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</si>
  <si>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</si>
  <si>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</si>
  <si>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</si>
  <si>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</si>
  <si>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</si>
  <si>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</si>
  <si>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</si>
  <si>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</si>
  <si>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</si>
  <si>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</si>
  <si>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</si>
  <si>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</si>
  <si>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</si>
  <si>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</si>
  <si>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</si>
  <si>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</si>
  <si>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</si>
  <si>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</si>
  <si>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</si>
  <si>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</si>
  <si>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</si>
  <si>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</si>
  <si>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</si>
  <si>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</si>
  <si>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</si>
  <si>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</si>
  <si>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</si>
  <si>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</si>
  <si>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</si>
  <si>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</si>
  <si>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</si>
  <si>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</si>
  <si>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</si>
  <si>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</si>
  <si>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</si>
  <si>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</si>
  <si>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</si>
  <si>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</si>
  <si>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</si>
  <si>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</si>
  <si>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</si>
  <si>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</si>
  <si>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</si>
  <si>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</si>
  <si>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</si>
  <si>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</si>
  <si>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</si>
  <si>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</si>
  <si>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</si>
  <si>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</si>
  <si>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</si>
  <si>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</si>
  <si>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</si>
  <si>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</si>
  <si>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</si>
  <si>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</si>
  <si>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</si>
  <si>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</si>
  <si>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</si>
  <si>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</si>
  <si>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</si>
  <si>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</si>
  <si>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</si>
  <si>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</si>
  <si>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</si>
  <si>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</si>
  <si>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</si>
  <si>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</si>
  <si>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</si>
  <si>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</si>
  <si>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</si>
  <si>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</si>
  <si>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</si>
  <si>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</si>
  <si>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</si>
  <si>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</si>
  <si>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</si>
  <si>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</si>
  <si>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</si>
  <si>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</si>
  <si>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</si>
  <si>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</si>
  <si>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</si>
  <si>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</si>
  <si>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</si>
  <si>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</si>
  <si>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</si>
  <si>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</si>
  <si>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</si>
  <si>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</si>
  <si>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</si>
  <si>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</si>
  <si>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</si>
  <si>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</si>
  <si>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</si>
  <si>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</si>
  <si>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</si>
  <si>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</si>
  <si>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</si>
  <si>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</si>
  <si>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</si>
  <si>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</si>
  <si>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</si>
  <si>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</si>
  <si>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</si>
  <si>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</si>
  <si>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</si>
  <si>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</si>
  <si>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</si>
  <si>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</si>
  <si>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</si>
  <si>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</si>
  <si>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</si>
  <si>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</si>
  <si>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</si>
  <si>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</si>
  <si>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</si>
  <si>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</si>
  <si>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</si>
  <si>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</si>
  <si>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</si>
  <si>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</si>
  <si>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</si>
  <si>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</si>
  <si>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</si>
  <si>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</si>
  <si>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</si>
  <si>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</si>
  <si>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</si>
  <si>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</si>
  <si>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</si>
  <si>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</si>
  <si>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</si>
  <si>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</si>
  <si>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</si>
  <si>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</si>
  <si>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</si>
  <si>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</si>
  <si>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</si>
  <si>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</si>
  <si>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</si>
  <si>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</si>
  <si>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</si>
  <si>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</si>
  <si>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</si>
  <si>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</si>
  <si>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</si>
  <si>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</si>
  <si>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</si>
  <si>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</si>
  <si>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</si>
  <si>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</si>
  <si>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</si>
  <si>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</si>
  <si>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</si>
  <si>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</si>
  <si>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</si>
  <si>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</si>
  <si>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</si>
  <si>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</si>
  <si>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</si>
  <si>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</si>
  <si>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</si>
  <si>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</si>
  <si>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</si>
  <si>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</si>
  <si>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</si>
  <si>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</si>
  <si>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</si>
  <si>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</si>
  <si>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</si>
  <si>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</si>
  <si>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</si>
  <si>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</si>
  <si>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</si>
  <si>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</si>
  <si>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</si>
  <si>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</si>
  <si>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</si>
  <si>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</si>
  <si>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</si>
  <si>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</si>
  <si>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</si>
  <si>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</si>
  <si>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</si>
  <si>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</si>
  <si>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</si>
  <si>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</si>
  <si>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</si>
  <si>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</si>
  <si>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</si>
  <si>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</si>
  <si>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</si>
  <si>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</si>
  <si>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</si>
  <si>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</si>
  <si>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</si>
  <si>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</si>
  <si>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</si>
  <si>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</si>
  <si>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</si>
  <si>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</si>
  <si>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</si>
  <si>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</si>
  <si>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</si>
  <si>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</si>
  <si>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</si>
  <si>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</si>
  <si>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</si>
  <si>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</si>
  <si>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</si>
  <si>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</si>
  <si>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</si>
  <si>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</si>
  <si>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</si>
  <si>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</si>
  <si>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</si>
  <si>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</si>
  <si>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</si>
  <si>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</si>
  <si>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</si>
  <si>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</si>
  <si>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</si>
  <si>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</si>
  <si>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</si>
  <si>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</si>
  <si>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</si>
  <si>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</si>
  <si>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</si>
  <si>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</si>
  <si>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</si>
  <si>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</si>
  <si>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</si>
  <si>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</si>
  <si>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</si>
  <si>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</si>
  <si>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</si>
  <si>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</si>
  <si>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</si>
  <si>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</si>
  <si>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</si>
  <si>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</si>
  <si>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</si>
  <si>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</si>
  <si>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</si>
  <si>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</si>
  <si>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</si>
  <si>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</si>
  <si>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</si>
  <si>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</si>
  <si>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</si>
  <si>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</si>
  <si>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</si>
  <si>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</si>
  <si>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</si>
  <si>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</si>
  <si>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</si>
  <si>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</si>
  <si>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</si>
  <si>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</si>
  <si>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</si>
  <si>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</si>
  <si>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</si>
  <si>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</si>
  <si>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</si>
  <si>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</si>
  <si>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</si>
  <si>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</si>
  <si>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</si>
  <si>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</si>
  <si>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</si>
  <si>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</si>
  <si>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</si>
  <si>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</si>
  <si>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</si>
  <si>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</si>
  <si>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</si>
  <si>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</si>
  <si>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</si>
  <si>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</si>
  <si>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</si>
  <si>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</si>
  <si>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</si>
  <si>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</si>
  <si>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</si>
  <si>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</si>
  <si>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</si>
  <si>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</si>
  <si>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</si>
  <si>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</si>
  <si>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</si>
  <si>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</si>
  <si>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</si>
  <si>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</si>
  <si>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</si>
  <si>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</si>
  <si>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</si>
  <si>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</si>
  <si>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</si>
  <si>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</si>
  <si>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</si>
  <si>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</si>
  <si>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</si>
  <si>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</si>
  <si>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</si>
  <si>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</si>
  <si>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</si>
  <si>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</si>
  <si>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</si>
  <si>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</si>
  <si>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</si>
  <si>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</si>
  <si>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</si>
  <si>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</si>
  <si>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</si>
  <si>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</si>
  <si>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</si>
  <si>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</si>
  <si>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</si>
  <si>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</si>
  <si>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</si>
  <si>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</si>
  <si>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</si>
  <si>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</si>
  <si>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</si>
  <si>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</si>
  <si>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</si>
  <si>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</si>
  <si>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</si>
  <si>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</si>
  <si>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</si>
  <si>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</si>
  <si>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</si>
  <si>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</si>
  <si>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</si>
  <si>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</si>
  <si>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</si>
  <si>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</si>
  <si>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</si>
  <si>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</si>
  <si>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</si>
  <si>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</si>
  <si>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</si>
  <si>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</si>
  <si>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</si>
  <si>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</si>
  <si>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</si>
  <si>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</si>
  <si>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</si>
  <si>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</si>
  <si>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</si>
  <si>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</si>
  <si>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</si>
  <si>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</si>
  <si>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</si>
  <si>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</si>
  <si>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</si>
  <si>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</si>
  <si>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</si>
  <si>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</si>
  <si>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</si>
  <si>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</si>
  <si>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</si>
  <si>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</si>
  <si>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</si>
  <si>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</si>
  <si>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</si>
  <si>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</si>
  <si>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</si>
  <si>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</si>
  <si>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</si>
  <si>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</si>
  <si>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</si>
  <si>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</si>
  <si>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</si>
  <si>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</si>
  <si>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</si>
  <si>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</si>
  <si>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</si>
  <si>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</si>
  <si>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</si>
  <si>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</si>
  <si>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</si>
  <si>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</si>
  <si>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</si>
  <si>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</si>
  <si>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</si>
  <si>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</si>
  <si>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</si>
  <si>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</si>
  <si>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</si>
  <si>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</si>
  <si>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</si>
  <si>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</si>
  <si>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</si>
  <si>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</si>
  <si>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</si>
  <si>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</si>
  <si>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</si>
  <si>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</si>
  <si>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</si>
  <si>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</si>
  <si>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</si>
  <si>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</si>
  <si>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</si>
  <si>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</si>
  <si>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</si>
  <si>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</si>
  <si>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</si>
  <si>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</si>
  <si>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</si>
  <si>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</si>
  <si>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</si>
  <si>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</si>
  <si>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</si>
  <si>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</si>
  <si>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</si>
  <si>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</si>
  <si>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</si>
  <si>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</si>
  <si>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</si>
  <si>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</si>
  <si>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</si>
  <si>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</si>
  <si>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</si>
  <si>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</si>
  <si>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</si>
  <si>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</si>
  <si>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</si>
  <si>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</si>
  <si>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</si>
  <si>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</si>
  <si>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</si>
  <si>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</si>
  <si>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</si>
  <si>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</si>
  <si>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</si>
  <si>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</si>
  <si>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</si>
  <si>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</si>
  <si>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</si>
  <si>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</si>
  <si>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</si>
  <si>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</si>
  <si>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</si>
  <si>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</si>
  <si>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</si>
  <si>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</si>
  <si>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</si>
  <si>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</si>
  <si>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</si>
  <si>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</si>
  <si>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</si>
  <si>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</si>
  <si>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</si>
  <si>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</si>
  <si>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</si>
  <si>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</si>
  <si>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</si>
  <si>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</si>
  <si>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</si>
  <si>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</si>
  <si>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</si>
  <si>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</si>
  <si>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</si>
  <si>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</si>
  <si>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</si>
  <si>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</si>
  <si>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</si>
  <si>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</si>
  <si>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</si>
  <si>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</si>
  <si>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</si>
  <si>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</si>
  <si>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</si>
  <si>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</si>
  <si>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</si>
  <si>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</si>
  <si>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</si>
  <si>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</si>
  <si>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</si>
  <si>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</si>
  <si>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</si>
  <si>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</si>
  <si>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</si>
  <si>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</si>
  <si>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</si>
  <si>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</si>
  <si>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</si>
  <si>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</si>
  <si>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</si>
  <si>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</si>
  <si>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</si>
  <si>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</si>
  <si>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</si>
  <si>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</si>
  <si>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</si>
  <si>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</si>
  <si>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</si>
  <si>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</si>
  <si>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</si>
  <si>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</si>
  <si>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</si>
  <si>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</si>
  <si>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</si>
  <si>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</si>
  <si>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</si>
  <si>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</si>
  <si>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</si>
  <si>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</si>
  <si>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</si>
  <si>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</si>
  <si>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</si>
  <si>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</si>
  <si>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</si>
  <si>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</si>
  <si>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</si>
  <si>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</si>
  <si>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</si>
  <si>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</si>
  <si>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</si>
  <si>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</si>
  <si>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</si>
  <si>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</si>
  <si>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</si>
  <si>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</si>
  <si>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</si>
  <si>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</si>
  <si>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</si>
  <si>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</si>
  <si>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</si>
  <si>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</si>
  <si>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</si>
  <si>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</si>
  <si>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</si>
  <si>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</si>
  <si>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</si>
  <si>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</si>
  <si>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</si>
  <si>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</si>
  <si>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</si>
  <si>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</si>
  <si>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</si>
  <si>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</si>
  <si>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</si>
  <si>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</si>
  <si>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</si>
  <si>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</si>
  <si>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</si>
  <si>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</si>
  <si>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</si>
  <si>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</si>
  <si>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</si>
  <si>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</si>
  <si>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</si>
  <si>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</si>
  <si>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</si>
  <si>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</si>
  <si>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</si>
  <si>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</si>
  <si>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</si>
  <si>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</si>
  <si>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</si>
  <si>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</si>
  <si>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</si>
  <si>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</si>
  <si>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</si>
  <si>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</si>
  <si>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</si>
  <si>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</si>
  <si>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</si>
  <si>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</si>
  <si>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</si>
  <si>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</si>
  <si>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</si>
  <si>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</si>
  <si>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</si>
  <si>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</si>
  <si>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</si>
  <si>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</si>
  <si>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</si>
  <si>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</si>
  <si>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</si>
  <si>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</si>
  <si>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</si>
  <si>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</si>
  <si>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</si>
  <si>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</si>
  <si>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</si>
  <si>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</si>
  <si>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</si>
  <si>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</si>
  <si>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</si>
  <si>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</si>
  <si>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</si>
  <si>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</si>
  <si>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</si>
  <si>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</si>
  <si>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</si>
  <si>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</si>
  <si>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</si>
  <si>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</si>
  <si>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</si>
  <si>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</si>
  <si>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</si>
  <si>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</si>
  <si>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</si>
  <si>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</si>
  <si>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</si>
  <si>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</si>
  <si>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</si>
  <si>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</si>
  <si>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</si>
  <si>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</si>
  <si>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</si>
  <si>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</si>
  <si>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</si>
  <si>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</si>
  <si>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</si>
  <si>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</si>
  <si>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</si>
  <si>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</si>
  <si>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</si>
  <si>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</si>
  <si>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</si>
  <si>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</si>
  <si>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</si>
  <si>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</si>
  <si>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</si>
  <si>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</si>
  <si>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</si>
  <si>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</si>
  <si>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</si>
  <si>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</si>
  <si>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</si>
  <si>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</si>
  <si>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</si>
  <si>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</si>
  <si>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</si>
  <si>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</si>
  <si>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</si>
  <si>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</si>
  <si>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</si>
  <si>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</si>
  <si>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</si>
  <si>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</si>
  <si>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</si>
  <si>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</si>
  <si>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</si>
  <si>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</si>
  <si>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</si>
  <si>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</si>
  <si>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</si>
  <si>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</si>
  <si>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</si>
  <si>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</si>
  <si>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</si>
  <si>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</si>
  <si>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</si>
  <si>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</si>
  <si>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</si>
  <si>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</si>
  <si>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</si>
  <si>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</si>
  <si>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</si>
  <si>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</si>
  <si>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</si>
  <si>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</si>
  <si>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</si>
  <si>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</si>
  <si>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</si>
  <si>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</si>
  <si>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</si>
  <si>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</si>
  <si>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</si>
  <si>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</si>
  <si>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</si>
  <si>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</si>
  <si>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</si>
  <si>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</si>
  <si>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</si>
  <si>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</si>
  <si>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</si>
  <si>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</si>
  <si>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</si>
  <si>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</si>
  <si>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</si>
  <si>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</si>
  <si>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</si>
  <si>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</si>
  <si>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</si>
  <si>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</si>
  <si>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</si>
  <si>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</si>
  <si>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</si>
  <si>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</si>
  <si>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</si>
  <si>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</si>
  <si>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</si>
  <si>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</si>
  <si>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</si>
  <si>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</si>
  <si>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</si>
  <si>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</si>
  <si>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</si>
  <si>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</si>
  <si>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</si>
  <si>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</si>
  <si>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</si>
  <si>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</si>
  <si>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</si>
  <si>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</si>
  <si>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</si>
  <si>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</si>
  <si>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</si>
  <si>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</si>
  <si>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</si>
  <si>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</si>
  <si>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</si>
  <si>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</si>
  <si>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</si>
  <si>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</si>
  <si>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</si>
  <si>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</si>
  <si>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</si>
  <si>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</si>
  <si>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</si>
  <si>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</si>
  <si>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</si>
  <si>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</si>
  <si>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</si>
  <si>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</si>
  <si>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</si>
  <si>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</si>
  <si>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</si>
  <si>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</si>
  <si>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</si>
  <si>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</si>
  <si>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</si>
  <si>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</si>
  <si>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</si>
  <si>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</si>
  <si>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</si>
  <si>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</si>
  <si>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</si>
  <si>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</si>
  <si>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</si>
  <si>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</si>
  <si>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</si>
  <si>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</si>
  <si>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</si>
  <si>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</si>
  <si>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</si>
  <si>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</si>
  <si>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</si>
  <si>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</si>
  <si>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</si>
  <si>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</si>
  <si>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</si>
  <si>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</si>
  <si>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</si>
  <si>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</si>
  <si>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</si>
  <si>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</si>
  <si>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</si>
  <si>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</si>
  <si>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</si>
  <si>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</si>
  <si>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</si>
  <si>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</si>
  <si>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</si>
  <si>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</si>
  <si>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</si>
  <si>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</si>
  <si>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</si>
  <si>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</si>
  <si>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</si>
  <si>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</si>
  <si>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</si>
  <si>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</si>
  <si>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</si>
  <si>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</si>
  <si>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</si>
  <si>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</si>
  <si>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</si>
  <si>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</si>
  <si>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</si>
  <si>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</si>
  <si>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</si>
  <si>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</si>
  <si>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</si>
  <si>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</si>
  <si>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</si>
  <si>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</si>
  <si>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</si>
  <si>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</si>
  <si>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</si>
  <si>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</si>
  <si>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</si>
  <si>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</si>
  <si>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</si>
  <si>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</si>
  <si>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</si>
  <si>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</si>
  <si>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</si>
  <si>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</si>
  <si>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</si>
  <si>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</si>
  <si>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</si>
  <si>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</si>
  <si>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</si>
  <si>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</si>
  <si>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</si>
  <si>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</si>
  <si>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</si>
  <si>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</si>
  <si>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</si>
  <si>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</si>
  <si>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</si>
  <si>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</si>
  <si>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</si>
  <si>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</si>
  <si>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</si>
  <si>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</si>
  <si>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</si>
  <si>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</si>
  <si>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</si>
  <si>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</si>
  <si>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</si>
  <si>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</si>
  <si>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</si>
  <si>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</si>
  <si>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</si>
  <si>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</si>
  <si>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</si>
  <si>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</si>
  <si>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</si>
  <si>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</si>
  <si>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</si>
  <si>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</si>
  <si>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</si>
  <si>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</si>
  <si>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</si>
  <si>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</si>
  <si>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</si>
  <si>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</si>
  <si>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</si>
  <si>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</si>
  <si>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</si>
  <si>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</si>
  <si>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</si>
  <si>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</si>
  <si>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</si>
  <si>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</si>
  <si>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</si>
  <si>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</si>
  <si>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</si>
  <si>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</si>
  <si>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</si>
  <si>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</si>
  <si>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</si>
  <si>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</si>
  <si>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</si>
  <si>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</si>
  <si>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</si>
  <si>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</si>
  <si>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</si>
  <si>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</si>
  <si>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</si>
  <si>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</si>
  <si>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</si>
  <si>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</si>
  <si>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</si>
  <si>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</si>
  <si>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</si>
  <si>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</si>
  <si>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</si>
  <si>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</si>
  <si>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</si>
  <si>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</si>
  <si>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</si>
  <si>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</si>
  <si>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</si>
  <si>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</si>
  <si>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</si>
  <si>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</si>
  <si>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</si>
  <si>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</si>
  <si>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</si>
  <si>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</si>
  <si>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</si>
  <si>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</si>
  <si>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</si>
  <si>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</si>
  <si>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</si>
  <si>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</si>
  <si>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</si>
  <si>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</si>
  <si>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</si>
  <si>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</si>
  <si>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</si>
  <si>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</si>
  <si>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</si>
  <si>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</si>
  <si>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</si>
  <si>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</si>
  <si>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</si>
  <si>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</si>
  <si>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</si>
  <si>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</si>
  <si>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</si>
  <si>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</si>
  <si>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</si>
  <si>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</si>
  <si>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</si>
  <si>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</si>
  <si>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</si>
  <si>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</si>
  <si>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</si>
  <si>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</si>
  <si>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</si>
  <si>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</si>
  <si>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</si>
  <si>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</si>
  <si>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</si>
  <si>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</si>
  <si>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</si>
  <si>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</si>
  <si>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</si>
  <si>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</si>
  <si>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</si>
  <si>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</si>
  <si>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</si>
  <si>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</si>
  <si>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</si>
  <si>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</si>
  <si>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</si>
  <si>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</si>
  <si>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</si>
  <si>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</si>
  <si>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</si>
  <si>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</si>
  <si>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</si>
  <si>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</si>
  <si>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</si>
  <si>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</si>
  <si>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</si>
  <si>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</si>
  <si>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</si>
  <si>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</si>
  <si>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</si>
  <si>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</si>
  <si>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</si>
  <si>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</si>
  <si>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</si>
  <si>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</si>
  <si>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</si>
  <si>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</si>
  <si>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</si>
  <si>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</si>
  <si>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</si>
  <si>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</si>
  <si>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</si>
  <si>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</si>
  <si>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</si>
  <si>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</si>
  <si>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</si>
  <si>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</si>
  <si>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</si>
  <si>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</si>
  <si>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</si>
  <si>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</si>
  <si>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</si>
  <si>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</si>
  <si>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</si>
  <si>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</si>
  <si>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</si>
  <si>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</si>
  <si>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</si>
  <si>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</si>
  <si>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</si>
  <si>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</si>
  <si>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</si>
  <si>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</si>
  <si>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</si>
  <si>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</si>
  <si>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</si>
  <si>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</si>
  <si>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</si>
  <si>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</si>
  <si>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</si>
  <si>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</si>
  <si>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</si>
  <si>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</si>
  <si>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</si>
  <si>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</si>
  <si>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</si>
  <si>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</si>
  <si>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</si>
  <si>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</si>
  <si>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</si>
  <si>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</si>
  <si>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</si>
  <si>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</si>
  <si>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</si>
  <si>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</si>
  <si>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</si>
  <si>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</si>
  <si>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</si>
  <si>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</si>
  <si>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</si>
  <si>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</si>
  <si>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</si>
  <si>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</si>
  <si>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</si>
  <si>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</si>
  <si>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</si>
  <si>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</si>
  <si>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</si>
  <si>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</si>
  <si>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</si>
  <si>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</si>
  <si>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</si>
  <si>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</si>
  <si>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</si>
  <si>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</si>
  <si>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</si>
  <si>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</si>
  <si>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</si>
  <si>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</si>
  <si>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</si>
  <si>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</si>
  <si>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</si>
  <si>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</si>
  <si>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</si>
  <si>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</si>
  <si>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</si>
  <si>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</si>
  <si>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</si>
  <si>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</si>
  <si>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</si>
  <si>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</si>
  <si>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</si>
  <si>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</si>
  <si>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</si>
  <si>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</si>
  <si>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</si>
  <si>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</si>
  <si>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</si>
  <si>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</si>
  <si>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</si>
  <si>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</si>
  <si>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</si>
  <si>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</si>
  <si>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</si>
  <si>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</si>
  <si>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</si>
  <si>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</si>
  <si>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</si>
  <si>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</si>
  <si>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</si>
  <si>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</si>
  <si>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</si>
  <si>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</si>
  <si>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</si>
  <si>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</si>
  <si>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</si>
  <si>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</si>
  <si>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</si>
  <si>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</si>
  <si>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</si>
  <si>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</si>
  <si>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</si>
  <si>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</si>
  <si>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</si>
  <si>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</si>
  <si>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</si>
  <si>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</si>
  <si>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</si>
  <si>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</si>
  <si>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</si>
  <si>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</si>
  <si>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</si>
  <si>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</si>
  <si>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</si>
  <si>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</si>
  <si>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</si>
  <si>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</si>
  <si>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</si>
  <si>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</si>
  <si>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</si>
  <si>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</si>
  <si>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</si>
  <si>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</si>
  <si>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</si>
  <si>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</si>
  <si>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</si>
  <si>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</si>
  <si>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</si>
  <si>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</si>
  <si>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</si>
  <si>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</si>
  <si>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</si>
  <si>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</si>
  <si>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</si>
  <si>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</si>
  <si>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</si>
  <si>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</si>
  <si>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</si>
  <si>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</si>
  <si>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</si>
  <si>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</si>
  <si>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</si>
  <si>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</si>
  <si>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</si>
  <si>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</si>
  <si>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</si>
  <si>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</si>
  <si>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</si>
  <si>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</si>
  <si>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</si>
  <si>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</si>
  <si>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</si>
  <si>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</si>
  <si>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</si>
  <si>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</si>
  <si>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</si>
  <si>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</si>
  <si>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</si>
  <si>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</si>
  <si>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</si>
  <si>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</si>
  <si>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</si>
  <si>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</si>
  <si>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</si>
  <si>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</si>
  <si>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</si>
  <si>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</si>
  <si>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</si>
  <si>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</si>
  <si>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</si>
  <si>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</si>
  <si>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</si>
  <si>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</si>
  <si>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</si>
  <si>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</si>
  <si>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</si>
  <si>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</si>
  <si>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</si>
  <si>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</si>
  <si>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</si>
  <si>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</si>
  <si>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</si>
  <si>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</si>
  <si>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</si>
  <si>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</si>
  <si>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</si>
  <si>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</si>
  <si>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</si>
  <si>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</si>
  <si>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</si>
  <si>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</si>
  <si>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</si>
  <si>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</si>
  <si>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</si>
  <si>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</si>
  <si>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</si>
  <si>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</si>
  <si>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</si>
  <si>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</si>
  <si>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</si>
  <si>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</si>
  <si>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</si>
  <si>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</si>
  <si>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</si>
  <si>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</si>
  <si>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</si>
  <si>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</si>
  <si>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</si>
  <si>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</si>
  <si>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</si>
  <si>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</si>
  <si>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</si>
  <si>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</si>
  <si>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</si>
  <si>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</si>
  <si>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</si>
  <si>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</si>
  <si>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</si>
  <si>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</si>
  <si>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</si>
  <si>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</si>
  <si>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</si>
  <si>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</si>
  <si>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</si>
  <si>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</si>
  <si>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</si>
  <si>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</si>
  <si>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</si>
  <si>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</si>
  <si>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</si>
  <si>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</si>
  <si>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</si>
  <si>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</si>
  <si>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</si>
  <si>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</si>
  <si>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</si>
  <si>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</si>
  <si>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</si>
  <si>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</si>
  <si>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</si>
  <si>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</si>
  <si>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</si>
  <si>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</si>
  <si>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</si>
  <si>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</si>
  <si>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</si>
  <si>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</si>
  <si>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</si>
  <si>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</si>
  <si>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</si>
  <si>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</si>
  <si>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</si>
  <si>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</si>
  <si>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</si>
  <si>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</si>
  <si>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</si>
  <si>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</si>
  <si>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</si>
  <si>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</si>
  <si>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</si>
  <si>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</si>
  <si>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</si>
  <si>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</si>
  <si>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</si>
  <si>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</si>
  <si>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</si>
  <si>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</si>
  <si>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</si>
  <si>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</si>
  <si>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</si>
  <si>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</si>
  <si>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</si>
  <si>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</si>
  <si>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</si>
  <si>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</si>
  <si>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</si>
  <si>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</si>
  <si>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</si>
  <si>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</si>
  <si>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</si>
  <si>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</si>
  <si>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</si>
  <si>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</si>
  <si>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</si>
  <si>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</si>
  <si>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</si>
  <si>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</si>
  <si>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</si>
  <si>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</si>
  <si>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</si>
  <si>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</si>
  <si>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</si>
  <si>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</si>
  <si>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</si>
  <si>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</si>
  <si>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</si>
  <si>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</si>
  <si>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</si>
  <si>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</si>
  <si>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</si>
  <si>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</si>
  <si>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</si>
  <si>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</si>
  <si>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</si>
  <si>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</si>
  <si>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</si>
  <si>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</si>
  <si>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</si>
  <si>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</si>
  <si>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</si>
  <si>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</si>
  <si>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</si>
  <si>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</si>
  <si>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</si>
  <si>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</si>
  <si>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</si>
  <si>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</si>
  <si>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</si>
  <si>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</si>
  <si>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</si>
  <si>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</si>
  <si>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</si>
  <si>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</si>
  <si>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</si>
  <si>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</si>
  <si>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</si>
  <si>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</si>
  <si>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</si>
  <si>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</si>
  <si>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</si>
  <si>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</si>
  <si>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</si>
  <si>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</si>
  <si>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</si>
  <si>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</si>
  <si>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</si>
  <si>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</si>
  <si>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</si>
  <si>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</si>
  <si>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</si>
  <si>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</si>
  <si>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</si>
  <si>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</si>
  <si>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</si>
  <si>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</si>
  <si>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</si>
  <si>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</si>
  <si>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</si>
  <si>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</si>
  <si>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</si>
  <si>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</si>
  <si>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</si>
  <si>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</si>
  <si>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</si>
  <si>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</si>
  <si>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</si>
  <si>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</si>
  <si>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</si>
  <si>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</si>
  <si>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</si>
  <si>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</si>
  <si>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</si>
  <si>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</si>
  <si>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</si>
  <si>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</si>
  <si>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</si>
  <si>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</si>
  <si>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</si>
  <si>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</si>
  <si>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</si>
  <si>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</si>
  <si>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</si>
  <si>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</si>
  <si>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</si>
  <si>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</si>
  <si>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</si>
  <si>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</si>
  <si>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</si>
  <si>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</si>
  <si>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</si>
  <si>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</si>
  <si>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</si>
  <si>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</si>
  <si>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</si>
  <si>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</si>
  <si>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</si>
  <si>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</si>
  <si>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</si>
  <si>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</si>
  <si>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</si>
  <si>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</si>
  <si>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</si>
  <si>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</si>
  <si>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</si>
  <si>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</si>
  <si>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</si>
  <si>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</si>
  <si>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</si>
  <si>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</si>
  <si>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</si>
  <si>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</si>
  <si>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</si>
  <si>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</si>
  <si>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</si>
  <si>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</si>
  <si>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</si>
  <si>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</si>
  <si>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</si>
  <si>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</si>
  <si>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</si>
  <si>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</si>
  <si>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</si>
  <si>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</si>
  <si>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</si>
  <si>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</si>
  <si>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</si>
  <si>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</si>
  <si>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</si>
  <si>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</si>
  <si>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</si>
  <si>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</si>
  <si>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</si>
  <si>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</si>
  <si>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</si>
  <si>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</si>
  <si>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</si>
  <si>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</si>
  <si>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</si>
  <si>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</si>
  <si>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</si>
  <si>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</si>
  <si>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</si>
  <si>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</si>
  <si>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</si>
  <si>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</si>
  <si>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</si>
  <si>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</si>
  <si>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</si>
  <si>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</si>
  <si>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</si>
  <si>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</si>
  <si>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</si>
  <si>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</si>
  <si>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</si>
  <si>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</si>
  <si>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</si>
  <si>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</si>
  <si>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</si>
  <si>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</si>
  <si>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</si>
  <si>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</si>
  <si>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</si>
  <si>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</si>
  <si>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</si>
  <si>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</si>
  <si>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</si>
  <si>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</si>
  <si>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</si>
  <si>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</si>
  <si>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</si>
  <si>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</si>
  <si>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</si>
  <si>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</si>
  <si>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</si>
  <si>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</si>
  <si>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</si>
  <si>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</si>
  <si>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</si>
  <si>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</si>
  <si>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</si>
  <si>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</si>
  <si>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</si>
  <si>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</si>
  <si>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</si>
  <si>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</si>
  <si>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</si>
  <si>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</si>
  <si>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</si>
  <si>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</si>
  <si>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</si>
  <si>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</si>
  <si>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</si>
  <si>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</si>
  <si>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</si>
  <si>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</si>
  <si>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</si>
  <si>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</si>
  <si>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</si>
  <si>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</si>
  <si>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</si>
  <si>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</si>
  <si>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</si>
  <si>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</si>
  <si>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</si>
  <si>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</si>
  <si>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</si>
  <si>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</si>
  <si>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</si>
  <si>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</si>
  <si>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</si>
  <si>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</si>
  <si>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</si>
  <si>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</si>
  <si>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</si>
  <si>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</si>
  <si>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</si>
  <si>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</si>
  <si>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</si>
  <si>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</si>
  <si>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</si>
  <si>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</si>
  <si>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</si>
  <si>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</si>
  <si>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</si>
  <si>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</si>
  <si>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</si>
  <si>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</si>
  <si>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</si>
  <si>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</si>
  <si>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</si>
  <si>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</si>
  <si>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</si>
  <si>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</si>
  <si>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</si>
  <si>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</si>
  <si>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</si>
  <si>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</si>
  <si>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</si>
  <si>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</si>
  <si>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</si>
  <si>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</si>
  <si>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</si>
  <si>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</si>
  <si>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</si>
  <si>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</si>
  <si>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</si>
  <si>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</si>
  <si>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</si>
  <si>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</si>
  <si>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</si>
  <si>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</si>
  <si>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</si>
  <si>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</si>
  <si>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</si>
  <si>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</si>
  <si>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</si>
  <si>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</si>
  <si>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</si>
  <si>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</si>
  <si>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</si>
  <si>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</si>
  <si>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</si>
  <si>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</si>
  <si>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</si>
  <si>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</si>
  <si>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</si>
  <si>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</si>
  <si>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</si>
  <si>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</si>
  <si>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</si>
  <si>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</si>
  <si>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</si>
  <si>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</si>
  <si>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</si>
  <si>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</si>
  <si>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</si>
  <si>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</si>
  <si>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</si>
  <si>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</si>
  <si>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</si>
  <si>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</si>
  <si>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</si>
  <si>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</si>
  <si>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</si>
  <si>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</si>
  <si>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</si>
  <si>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</si>
  <si>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</si>
  <si>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</si>
  <si>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</si>
  <si>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</si>
  <si>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</si>
  <si>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</si>
  <si>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</si>
  <si>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</si>
  <si>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</si>
  <si>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</si>
  <si>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</si>
  <si>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</si>
  <si>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</si>
  <si>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</si>
  <si>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</si>
  <si>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</si>
  <si>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</si>
  <si>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</si>
  <si>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</si>
  <si>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</si>
  <si>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</si>
  <si>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</si>
  <si>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</si>
  <si>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</si>
  <si>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</si>
  <si>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</si>
  <si>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</si>
  <si>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</si>
  <si>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</si>
  <si>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</si>
  <si>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</si>
  <si>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</si>
  <si>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</si>
  <si>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</si>
  <si>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</si>
  <si>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</si>
  <si>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</si>
  <si>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</si>
  <si>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</si>
  <si>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</si>
  <si>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</si>
  <si>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</si>
  <si>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</si>
  <si>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</si>
  <si>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</si>
  <si>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</si>
  <si>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</si>
  <si>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</si>
  <si>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</si>
  <si>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</si>
  <si>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</si>
  <si>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</si>
  <si>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</si>
  <si>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</si>
  <si>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</si>
  <si>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</si>
  <si>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</si>
  <si>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</si>
  <si>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</si>
  <si>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</si>
  <si>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</si>
  <si>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</si>
  <si>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</si>
  <si>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</si>
  <si>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</si>
  <si>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</si>
  <si>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</si>
  <si>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</si>
  <si>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</si>
  <si>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</si>
  <si>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</si>
  <si>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</si>
  <si>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</si>
  <si>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</si>
  <si>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</si>
  <si>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</si>
  <si>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</si>
  <si>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</si>
  <si>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</si>
  <si>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</si>
  <si>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</si>
  <si>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</si>
  <si>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</si>
  <si>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</si>
  <si>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</si>
  <si>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</si>
  <si>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</si>
  <si>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</si>
  <si>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</si>
  <si>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</si>
  <si>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</si>
  <si>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</si>
  <si>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</si>
  <si>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</si>
  <si>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</si>
  <si>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</si>
  <si>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</si>
  <si>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</si>
  <si>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</si>
  <si>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</si>
  <si>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</si>
  <si>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</si>
  <si>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</si>
  <si>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</si>
  <si>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</si>
  <si>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</si>
  <si>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</si>
  <si>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</si>
  <si>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</si>
  <si>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</si>
  <si>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</si>
  <si>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</si>
  <si>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</si>
  <si>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</si>
  <si>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</si>
  <si>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</si>
  <si>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</si>
  <si>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</si>
  <si>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</si>
  <si>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</si>
  <si>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</si>
  <si>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</si>
  <si>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</si>
  <si>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</si>
  <si>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</si>
  <si>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</si>
  <si>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</si>
  <si>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</si>
  <si>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</si>
  <si>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</si>
  <si>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</si>
  <si>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</si>
  <si>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</si>
  <si>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</si>
  <si>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</si>
  <si>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</si>
  <si>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</si>
  <si>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</si>
  <si>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</si>
  <si>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</si>
  <si>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</si>
  <si>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</si>
  <si>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</si>
  <si>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</si>
  <si>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</si>
  <si>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</si>
  <si>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</si>
  <si>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</si>
  <si>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</si>
  <si>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</si>
  <si>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</si>
  <si>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</si>
  <si>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</si>
  <si>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</si>
  <si>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</si>
  <si>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</si>
  <si>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</si>
  <si>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</si>
  <si>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</si>
  <si>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</si>
  <si>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</si>
  <si>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</si>
  <si>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</si>
  <si>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</si>
  <si>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</si>
  <si>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</si>
  <si>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</si>
  <si>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</si>
  <si>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</si>
  <si>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</si>
  <si>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</si>
  <si>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</si>
  <si>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</si>
  <si>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</si>
  <si>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</si>
  <si>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</si>
  <si>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</si>
  <si>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</si>
  <si>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</si>
  <si>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</si>
  <si>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</si>
  <si>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</si>
  <si>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</si>
  <si>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</si>
  <si>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</si>
  <si>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</si>
  <si>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</si>
  <si>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</si>
  <si>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</si>
  <si>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</si>
  <si>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</si>
  <si>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</si>
  <si>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</si>
  <si>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</si>
  <si>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</si>
  <si>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</si>
  <si>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</si>
  <si>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</si>
  <si>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</si>
  <si>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</si>
  <si>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</si>
  <si>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</si>
  <si>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</si>
  <si>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</si>
  <si>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</si>
  <si>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</si>
  <si>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</si>
  <si>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</si>
  <si>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</si>
  <si>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</si>
  <si>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</si>
  <si>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</si>
  <si>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</si>
  <si>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</si>
  <si>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</si>
  <si>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</si>
  <si>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</si>
  <si>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</si>
  <si>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</si>
  <si>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</si>
  <si>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</si>
  <si>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</si>
  <si>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</si>
  <si>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</si>
  <si>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</si>
  <si>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</si>
  <si>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</si>
  <si>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</si>
  <si>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</si>
  <si>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</si>
  <si>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</si>
  <si>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</si>
  <si>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</si>
  <si>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</si>
  <si>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</si>
  <si>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</si>
  <si>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</si>
  <si>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</si>
  <si>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</si>
  <si>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</si>
  <si>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</si>
  <si>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</si>
  <si>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</si>
  <si>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</si>
  <si>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</si>
  <si>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</si>
  <si>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</si>
  <si>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</si>
  <si>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</si>
  <si>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</si>
  <si>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</si>
  <si>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</si>
  <si>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</si>
  <si>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</si>
  <si>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</si>
  <si>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</si>
  <si>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</si>
  <si>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</si>
  <si>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</si>
  <si>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</si>
  <si>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</si>
  <si>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</si>
  <si>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</si>
  <si>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</si>
  <si>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</si>
  <si>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</si>
  <si>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</si>
  <si>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</si>
  <si>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</si>
  <si>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</si>
  <si>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</si>
  <si>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</si>
  <si>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</si>
  <si>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</si>
  <si>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</si>
  <si>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</si>
  <si>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</si>
  <si>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</si>
  <si>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</si>
  <si>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</si>
  <si>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</si>
  <si>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</si>
  <si>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</si>
  <si>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</si>
  <si>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</si>
  <si>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</si>
  <si>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</si>
  <si>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</si>
  <si>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</si>
  <si>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</si>
  <si>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</si>
  <si>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</si>
  <si>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</si>
  <si>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</si>
  <si>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</si>
  <si>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</si>
  <si>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</si>
  <si>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</si>
  <si>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</si>
  <si>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</si>
  <si>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</si>
  <si>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</si>
  <si>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</si>
  <si>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</si>
  <si>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</si>
  <si>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</si>
  <si>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</si>
  <si>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</si>
  <si>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</si>
  <si>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</si>
  <si>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</si>
  <si>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</si>
  <si>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</si>
  <si>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</si>
  <si>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</si>
  <si>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</si>
  <si>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</si>
  <si>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</si>
  <si>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</si>
  <si>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</si>
  <si>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</si>
  <si>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</si>
  <si>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</si>
  <si>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</si>
  <si>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</si>
  <si>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</si>
  <si>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</si>
  <si>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</si>
  <si>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</si>
  <si>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</si>
  <si>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</si>
  <si>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</si>
  <si>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</si>
  <si>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</si>
  <si>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</si>
  <si>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</si>
  <si>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</si>
  <si>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</si>
  <si>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</si>
  <si>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</si>
  <si>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</si>
  <si>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</si>
  <si>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</si>
  <si>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</si>
  <si>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</si>
  <si>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</si>
  <si>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</si>
  <si>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</si>
  <si>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</si>
  <si>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</si>
  <si>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</si>
  <si>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</si>
  <si>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</si>
  <si>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</si>
  <si>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</si>
  <si>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</si>
  <si>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</si>
  <si>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</si>
  <si>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</si>
  <si>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</si>
  <si>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</si>
  <si>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</si>
  <si>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</si>
  <si>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</si>
  <si>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</si>
  <si>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</si>
  <si>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</si>
  <si>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</si>
  <si>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</si>
  <si>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</si>
  <si>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</si>
  <si>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</si>
  <si>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</si>
  <si>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</si>
  <si>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</si>
  <si>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</si>
  <si>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</si>
  <si>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</si>
  <si>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</si>
  <si>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</si>
  <si>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</si>
  <si>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</si>
  <si>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</si>
  <si>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</si>
  <si>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</si>
  <si>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</si>
  <si>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</si>
  <si>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</si>
  <si>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</si>
  <si>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</si>
  <si>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</si>
  <si>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</si>
  <si>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</si>
  <si>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</si>
  <si>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</si>
  <si>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</si>
  <si>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</si>
  <si>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</si>
  <si>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</si>
  <si>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</si>
  <si>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</si>
  <si>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</si>
  <si>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</si>
  <si>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</si>
  <si>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</si>
  <si>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</si>
  <si>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</si>
  <si>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</si>
  <si>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</si>
  <si>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</si>
  <si>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</si>
  <si>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</si>
  <si>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</si>
  <si>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</si>
  <si>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</si>
  <si>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</si>
  <si>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</si>
  <si>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</si>
  <si>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</si>
  <si>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</si>
  <si>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</si>
  <si>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</si>
  <si>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</si>
  <si>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</si>
  <si>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</si>
  <si>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</si>
  <si>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</si>
  <si>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</si>
  <si>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</si>
  <si>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</si>
  <si>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</si>
  <si>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</si>
  <si>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</si>
  <si>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</si>
  <si>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</si>
  <si>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</si>
  <si>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</si>
  <si>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</si>
  <si>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</si>
  <si>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</si>
  <si>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</si>
  <si>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</si>
  <si>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</si>
  <si>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</si>
  <si>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</si>
  <si>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</si>
  <si>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</si>
  <si>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</si>
  <si>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</si>
  <si>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</si>
  <si>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</si>
  <si>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</si>
  <si>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</si>
  <si>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</si>
  <si>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</si>
  <si>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</si>
  <si>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</si>
  <si>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</si>
  <si>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</si>
  <si>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</si>
  <si>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</si>
  <si>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</si>
  <si>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</si>
  <si>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</si>
  <si>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</si>
  <si>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</si>
  <si>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</si>
  <si>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</si>
  <si>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</si>
  <si>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</si>
  <si>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</si>
  <si>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</si>
  <si>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</si>
  <si>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</si>
  <si>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</si>
  <si>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</si>
  <si>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</si>
  <si>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</si>
  <si>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</si>
  <si>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</si>
  <si>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</si>
  <si>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</si>
  <si>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</si>
  <si>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</si>
  <si>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</si>
  <si>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</si>
  <si>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</si>
  <si>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</si>
  <si>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</si>
  <si>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</si>
  <si>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</si>
  <si>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</si>
  <si>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</si>
  <si>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</si>
  <si>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</si>
  <si>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</si>
  <si>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</si>
  <si>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</si>
  <si>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</si>
  <si>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</si>
  <si>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</si>
  <si>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</si>
  <si>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</si>
  <si>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</si>
  <si>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</si>
  <si>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</si>
  <si>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</si>
  <si>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</si>
  <si>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</si>
  <si>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</si>
  <si>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</si>
  <si>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</si>
  <si>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</si>
  <si>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</si>
  <si>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</si>
  <si>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</si>
  <si>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</si>
  <si>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</si>
  <si>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</si>
  <si>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</si>
  <si>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</si>
  <si>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</si>
  <si>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</si>
  <si>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</si>
  <si>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</si>
  <si>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</si>
  <si>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</si>
  <si>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</si>
  <si>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</si>
  <si>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</si>
  <si>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</si>
  <si>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</si>
  <si>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</si>
  <si>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</si>
  <si>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</si>
  <si>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</si>
  <si>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</si>
  <si>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</si>
  <si>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</si>
  <si>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</si>
  <si>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</si>
  <si>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</si>
  <si>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</si>
  <si>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</si>
  <si>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</si>
  <si>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</si>
  <si>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</si>
  <si>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</si>
  <si>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</si>
  <si>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</si>
  <si>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</si>
  <si>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</si>
  <si>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</si>
  <si>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</si>
  <si>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</si>
  <si>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</si>
  <si>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</si>
  <si>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</si>
  <si>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</si>
  <si>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</si>
  <si>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</si>
  <si>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</si>
  <si>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</si>
  <si>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</si>
  <si>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</si>
  <si>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</si>
  <si>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</si>
  <si>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</si>
  <si>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</si>
  <si>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</si>
  <si>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</si>
  <si>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</si>
  <si>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</si>
  <si>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</si>
  <si>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</si>
  <si>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</si>
  <si>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</si>
  <si>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</si>
  <si>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</si>
  <si>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</si>
  <si>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</si>
  <si>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</si>
  <si>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</si>
  <si>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</si>
  <si>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</si>
  <si>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</si>
  <si>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</si>
  <si>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</si>
  <si>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</si>
  <si>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</si>
  <si>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</si>
  <si>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</si>
  <si>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</si>
  <si>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</si>
  <si>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</si>
  <si>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</si>
  <si>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</si>
  <si>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</si>
  <si>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</si>
  <si>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</si>
  <si>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</si>
  <si>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</si>
  <si>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</si>
  <si>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</si>
  <si>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</si>
  <si>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</si>
  <si>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</si>
  <si>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</si>
  <si>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</si>
  <si>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</si>
  <si>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</si>
  <si>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</si>
  <si>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</si>
  <si>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</si>
  <si>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</si>
  <si>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</si>
  <si>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</si>
  <si>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</si>
  <si>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</si>
  <si>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</si>
  <si>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</si>
  <si>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</si>
  <si>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</si>
  <si>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</si>
  <si>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</si>
  <si>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</si>
  <si>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</si>
  <si>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</si>
  <si>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</si>
  <si>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</si>
  <si>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</si>
  <si>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</si>
  <si>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</si>
  <si>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</si>
  <si>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</si>
  <si>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</si>
  <si>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</si>
  <si>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</si>
  <si>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</si>
  <si>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</si>
  <si>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</si>
  <si>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</si>
  <si>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</si>
  <si>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</si>
  <si>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</si>
  <si>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</si>
  <si>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</si>
  <si>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</si>
  <si>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</si>
  <si>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</si>
  <si>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</si>
  <si>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</si>
  <si>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</si>
  <si>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</si>
  <si>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</si>
  <si>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</si>
  <si>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</si>
  <si>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</si>
  <si>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</si>
  <si>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</si>
  <si>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</si>
  <si>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</si>
  <si>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</si>
  <si>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</si>
  <si>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</si>
  <si>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</si>
  <si>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</si>
  <si>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</si>
  <si>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</si>
  <si>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</si>
  <si>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</si>
  <si>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</si>
  <si>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</si>
  <si>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</si>
  <si>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</si>
  <si>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</si>
  <si>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</si>
  <si>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</si>
  <si>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</si>
  <si>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</si>
  <si>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</si>
  <si>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</si>
  <si>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</si>
  <si>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</si>
  <si>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</si>
  <si>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</si>
  <si>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</si>
  <si>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</si>
  <si>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</si>
  <si>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</si>
  <si>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</si>
  <si>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</si>
  <si>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</si>
  <si>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</si>
  <si>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</si>
  <si>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</si>
  <si>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</si>
  <si>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</si>
  <si>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</si>
  <si>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</si>
  <si>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</si>
  <si>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</si>
  <si>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</si>
  <si>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</si>
  <si>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</si>
  <si>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</si>
  <si>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</si>
  <si>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</si>
  <si>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</si>
  <si>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</si>
  <si>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</si>
  <si>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</si>
  <si>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</si>
  <si>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</si>
  <si>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</si>
  <si>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</si>
  <si>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</si>
  <si>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</si>
  <si>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</si>
  <si>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</si>
  <si>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</si>
  <si>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</si>
  <si>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</si>
  <si>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</si>
  <si>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</si>
  <si>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</si>
  <si>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</si>
  <si>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</si>
  <si>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</si>
  <si>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</si>
  <si>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</si>
  <si>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</si>
  <si>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</si>
  <si>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</si>
  <si>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</si>
  <si>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</si>
  <si>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</si>
  <si>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</si>
  <si>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</si>
  <si>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</si>
  <si>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</si>
  <si>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</si>
  <si>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</si>
  <si>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</si>
  <si>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</si>
  <si>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</si>
  <si>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</si>
  <si>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</si>
  <si>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</si>
  <si>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</si>
  <si>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</si>
  <si>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</si>
  <si>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</si>
  <si>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</si>
  <si>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</si>
  <si>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</si>
  <si>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</si>
  <si>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</si>
  <si>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</si>
  <si>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</si>
  <si>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</si>
  <si>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</si>
  <si>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</si>
  <si>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</si>
  <si>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</si>
  <si>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</si>
  <si>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</si>
  <si>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</si>
  <si>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</si>
  <si>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</si>
  <si>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</si>
  <si>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</si>
  <si>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</si>
  <si>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</si>
  <si>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</si>
  <si>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</si>
  <si>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</si>
  <si>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</si>
  <si>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</si>
  <si>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</si>
  <si>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</si>
  <si>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</si>
  <si>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</si>
  <si>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</si>
  <si>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</si>
  <si>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</si>
  <si>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</si>
  <si>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</si>
  <si>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</si>
  <si>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</si>
  <si>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</si>
  <si>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</si>
  <si>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</si>
  <si>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</si>
  <si>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</si>
  <si>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</si>
  <si>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</si>
  <si>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</si>
  <si>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</si>
  <si>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</si>
  <si>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</si>
  <si>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</si>
  <si>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</si>
  <si>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</si>
  <si>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</si>
  <si>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</si>
  <si>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</si>
  <si>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</si>
  <si>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</si>
  <si>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</si>
  <si>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</si>
  <si>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</si>
  <si>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</si>
  <si>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</si>
  <si>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</si>
  <si>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</si>
  <si>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</si>
  <si>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</si>
  <si>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</si>
  <si>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</si>
  <si>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</si>
  <si>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</si>
  <si>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</si>
  <si>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</si>
  <si>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</si>
  <si>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</si>
  <si>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</si>
  <si>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</si>
  <si>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</si>
  <si>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</si>
  <si>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</si>
  <si>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</si>
  <si>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</si>
  <si>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</si>
  <si>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</si>
  <si>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</si>
  <si>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</si>
  <si>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</si>
  <si>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</si>
  <si>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</si>
  <si>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</si>
  <si>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</si>
  <si>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</si>
  <si>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</si>
  <si>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</si>
  <si>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</si>
  <si>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</si>
  <si>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</si>
  <si>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</si>
  <si>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</si>
  <si>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</si>
  <si>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</si>
  <si>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</si>
  <si>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</si>
  <si>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</si>
  <si>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</si>
  <si>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</si>
  <si>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</si>
  <si>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</si>
  <si>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</si>
  <si>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</si>
  <si>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</si>
  <si>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</si>
  <si>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</si>
  <si>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</si>
  <si>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</si>
  <si>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</si>
  <si>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</si>
  <si>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</si>
  <si>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</si>
  <si>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</si>
  <si>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</si>
  <si>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</si>
  <si>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</si>
  <si>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</si>
  <si>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</si>
  <si>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</si>
  <si>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</si>
  <si>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</si>
  <si>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</si>
  <si>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</si>
  <si>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</si>
  <si>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</si>
  <si>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</si>
  <si>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</si>
  <si>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</si>
  <si>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</si>
  <si>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</si>
  <si>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</si>
  <si>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</si>
  <si>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</si>
  <si>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</si>
  <si>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</si>
  <si>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</si>
  <si>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</si>
  <si>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</si>
  <si>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</si>
  <si>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</si>
  <si>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</si>
  <si>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</si>
  <si>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</si>
  <si>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</si>
  <si>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</si>
  <si>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</si>
  <si>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</si>
  <si>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</si>
  <si>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</si>
  <si>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</si>
  <si>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</si>
  <si>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</si>
  <si>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</si>
  <si>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</si>
  <si>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</si>
  <si>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</si>
  <si>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</si>
  <si>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</si>
  <si>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</si>
  <si>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</si>
  <si>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</si>
  <si>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</si>
  <si>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</si>
  <si>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</si>
  <si>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</si>
  <si>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</si>
  <si>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</si>
  <si>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</si>
  <si>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</si>
  <si>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</si>
  <si>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</si>
  <si>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</si>
  <si>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</si>
  <si>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</si>
  <si>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</si>
  <si>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</si>
  <si>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</si>
  <si>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</si>
  <si>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</si>
  <si>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</si>
  <si>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</si>
  <si>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</si>
  <si>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</si>
  <si>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</si>
  <si>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</si>
  <si>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</si>
  <si>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</si>
  <si>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</si>
  <si>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</si>
  <si>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</si>
  <si>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</si>
  <si>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</si>
  <si>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</si>
  <si>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</si>
  <si>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</si>
  <si>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</si>
  <si>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</si>
  <si>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</si>
  <si>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</si>
  <si>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</si>
  <si>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</si>
  <si>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</si>
  <si>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</si>
  <si>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</si>
  <si>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</si>
  <si>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</si>
  <si>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</si>
  <si>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</si>
  <si>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</si>
  <si>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</si>
  <si>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</si>
  <si>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</si>
  <si>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</si>
  <si>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</si>
  <si>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</si>
  <si>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</si>
  <si>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</si>
  <si>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</si>
  <si>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</si>
  <si>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</si>
  <si>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</si>
  <si>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</si>
  <si>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</si>
  <si>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</si>
  <si>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</si>
  <si>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</si>
  <si>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</si>
  <si>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</si>
  <si>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</si>
  <si>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</si>
  <si>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</si>
  <si>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</si>
  <si>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</si>
  <si>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</si>
  <si>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</si>
  <si>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</si>
  <si>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</si>
  <si>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</si>
  <si>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</si>
  <si>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</si>
  <si>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</si>
  <si>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</si>
  <si>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</si>
  <si>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</si>
  <si>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</si>
  <si>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</si>
  <si>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</si>
  <si>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</si>
  <si>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</si>
  <si>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</si>
  <si>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</si>
  <si>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</si>
  <si>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</si>
  <si>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</si>
  <si>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</si>
  <si>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</si>
  <si>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</si>
  <si>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</si>
  <si>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</si>
  <si>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</si>
  <si>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</si>
  <si>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</si>
  <si>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</si>
  <si>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</si>
  <si>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</si>
  <si>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</si>
  <si>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</si>
  <si>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</si>
  <si>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</si>
  <si>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</si>
  <si>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</si>
  <si>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</si>
  <si>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</si>
  <si>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</si>
  <si>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</si>
  <si>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</si>
  <si>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</si>
  <si>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</si>
  <si>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</si>
  <si>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</si>
  <si>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</si>
  <si>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</si>
  <si>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</si>
  <si>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</si>
  <si>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</si>
  <si>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</si>
  <si>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</si>
  <si>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</si>
  <si>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</si>
  <si>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</si>
  <si>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</si>
  <si>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</si>
  <si>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</si>
  <si>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</si>
  <si>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</si>
  <si>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</si>
  <si>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</si>
  <si>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</si>
  <si>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</si>
  <si>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</si>
  <si>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</si>
  <si>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</si>
  <si>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</si>
  <si>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</si>
  <si>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</si>
  <si>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</si>
  <si>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</si>
  <si>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</si>
  <si>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</si>
  <si>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</si>
  <si>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</si>
  <si>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</si>
  <si>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</si>
  <si>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</si>
  <si>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</si>
  <si>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</si>
  <si>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</si>
  <si>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</si>
  <si>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</si>
  <si>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</si>
  <si>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</si>
  <si>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</si>
  <si>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</si>
  <si>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</si>
  <si>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</si>
  <si>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</si>
  <si>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</si>
  <si>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</si>
  <si>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</si>
  <si>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</si>
  <si>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</si>
  <si>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</si>
  <si>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</si>
  <si>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</si>
  <si>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</si>
  <si>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</si>
  <si>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</si>
  <si>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</si>
  <si>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</si>
  <si>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</si>
  <si>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</si>
  <si>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</si>
  <si>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</si>
  <si>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</si>
  <si>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</si>
  <si>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</si>
  <si>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</si>
  <si>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</si>
  <si>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</si>
  <si>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</si>
  <si>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</si>
  <si>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</si>
  <si>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</si>
  <si>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</si>
  <si>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</si>
  <si>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</si>
  <si>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</si>
  <si>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</si>
  <si>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</si>
  <si>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</si>
  <si>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</si>
  <si>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</si>
  <si>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</si>
  <si>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</si>
  <si>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</si>
  <si>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</si>
  <si>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</si>
  <si>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</si>
  <si>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</si>
  <si>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</si>
  <si>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</si>
  <si>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</si>
  <si>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</si>
  <si>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</si>
  <si>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</si>
  <si>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</si>
  <si>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</si>
  <si>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</si>
  <si>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</si>
  <si>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</si>
  <si>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</si>
  <si>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</si>
  <si>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</si>
  <si>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</si>
  <si>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</si>
  <si>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</si>
  <si>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</si>
  <si>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</si>
  <si>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</si>
  <si>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</si>
  <si>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</si>
  <si>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</si>
  <si>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</si>
  <si>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</si>
  <si>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</si>
  <si>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</si>
  <si>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</si>
  <si>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</si>
  <si>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</si>
  <si>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</si>
  <si>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</si>
  <si>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</si>
  <si>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</si>
  <si>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</si>
  <si>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</si>
  <si>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</si>
  <si>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</si>
  <si>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</si>
  <si>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</si>
  <si>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</si>
  <si>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</si>
  <si>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</si>
  <si>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</si>
  <si>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</si>
  <si>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</si>
  <si>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</si>
  <si>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</si>
  <si>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</si>
  <si>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</si>
  <si>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</si>
  <si>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</si>
  <si>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</si>
  <si>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</si>
  <si>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</si>
  <si>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</si>
  <si>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</si>
  <si>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</si>
  <si>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</si>
  <si>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</si>
  <si>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</si>
  <si>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</si>
  <si>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</si>
  <si>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</si>
  <si>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</si>
  <si>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</si>
  <si>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</si>
  <si>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</si>
  <si>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</si>
  <si>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</si>
  <si>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</si>
  <si>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</si>
  <si>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</si>
  <si>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</si>
  <si>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</si>
  <si>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</si>
  <si>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</si>
  <si>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</si>
  <si>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</si>
  <si>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</si>
  <si>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</si>
  <si>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</si>
  <si>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</si>
  <si>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</si>
  <si>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</si>
  <si>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</si>
  <si>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</si>
  <si>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</si>
  <si>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</si>
  <si>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</si>
  <si>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</si>
  <si>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</si>
  <si>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</si>
  <si>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</si>
  <si>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</si>
  <si>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</si>
  <si>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</si>
  <si>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</si>
  <si>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</si>
  <si>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</si>
  <si>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</si>
  <si>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</si>
  <si>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</si>
  <si>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</si>
  <si>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</si>
  <si>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</si>
  <si>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</si>
  <si>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</si>
  <si>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</si>
  <si>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</si>
  <si>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</si>
  <si>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</si>
  <si>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</si>
  <si>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</si>
  <si>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</si>
  <si>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</si>
  <si>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</si>
  <si>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</si>
  <si>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</si>
  <si>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</si>
  <si>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</si>
  <si>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</si>
  <si>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</si>
  <si>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</si>
  <si>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</si>
  <si>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</si>
  <si>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</si>
  <si>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</si>
  <si>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</si>
  <si>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</si>
  <si>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</si>
  <si>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</si>
  <si>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</si>
  <si>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</si>
  <si>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</si>
  <si>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</si>
  <si>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</si>
  <si>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</si>
  <si>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</si>
  <si>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</si>
  <si>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</si>
  <si>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</si>
  <si>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</si>
  <si>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</si>
  <si>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</si>
  <si>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</si>
  <si>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</si>
  <si>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</si>
  <si>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</si>
  <si>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</si>
  <si>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</si>
  <si>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</si>
  <si>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</si>
  <si>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</si>
  <si>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</si>
  <si>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</si>
  <si>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</si>
  <si>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</si>
  <si>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</si>
  <si>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</si>
  <si>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</si>
  <si>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</si>
  <si>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</si>
  <si>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</si>
  <si>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</si>
  <si>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</si>
  <si>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</si>
  <si>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</si>
  <si>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</si>
  <si>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</si>
  <si>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</si>
  <si>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</si>
  <si>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</si>
  <si>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</si>
  <si>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</si>
  <si>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</si>
  <si>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</si>
  <si>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</si>
  <si>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</si>
  <si>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</si>
  <si>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</si>
  <si>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</si>
  <si>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</si>
  <si>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</si>
  <si>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</si>
  <si>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</si>
  <si>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</si>
  <si>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</si>
  <si>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</si>
  <si>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</si>
  <si>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</si>
  <si>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</si>
  <si>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</si>
  <si>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</si>
  <si>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</si>
  <si>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</si>
  <si>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</si>
  <si>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</si>
  <si>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</si>
  <si>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</si>
  <si>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</si>
  <si>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</si>
  <si>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</si>
  <si>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</si>
  <si>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</si>
  <si>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</si>
  <si>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</si>
  <si>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</si>
  <si>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</si>
  <si>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</si>
  <si>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</si>
  <si>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</si>
  <si>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</si>
  <si>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</si>
  <si>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</si>
  <si>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</si>
  <si>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</si>
  <si>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</si>
  <si>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</si>
  <si>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</si>
  <si>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</si>
  <si>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</si>
  <si>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</si>
  <si>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</si>
  <si>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</si>
  <si>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</si>
  <si>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</si>
  <si>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</si>
  <si>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</si>
  <si>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</si>
  <si>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</si>
  <si>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</si>
  <si>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</si>
  <si>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</si>
  <si>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</si>
  <si>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</si>
  <si>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</si>
  <si>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</si>
  <si>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</si>
  <si>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</si>
  <si>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</si>
  <si>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</si>
  <si>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</si>
  <si>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</si>
  <si>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</si>
  <si>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</si>
  <si>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</si>
  <si>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</si>
  <si>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</si>
  <si>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</si>
  <si>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</si>
  <si>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</si>
  <si>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</si>
  <si>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</si>
  <si>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</si>
  <si>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</si>
  <si>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</si>
  <si>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</si>
  <si>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</si>
  <si>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</si>
  <si>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</si>
  <si>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</si>
  <si>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</si>
  <si>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</si>
  <si>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</si>
  <si>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</si>
  <si>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</si>
  <si>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</si>
  <si>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</si>
  <si>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</si>
  <si>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</si>
  <si>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</si>
  <si>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</si>
  <si>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</si>
  <si>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</si>
  <si>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</si>
  <si>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</si>
  <si>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</si>
  <si>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</si>
  <si>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</si>
  <si>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</si>
  <si>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</si>
  <si>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</si>
  <si>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</si>
  <si>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</si>
  <si>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</si>
  <si>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</si>
  <si>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</si>
  <si>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</si>
  <si>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</si>
  <si>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</si>
  <si>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</si>
  <si>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</si>
  <si>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</si>
  <si>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</si>
  <si>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</si>
  <si>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</si>
  <si>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</si>
  <si>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</si>
  <si>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</si>
  <si>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</si>
  <si>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</si>
  <si>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</si>
  <si>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</si>
  <si>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</si>
  <si>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</si>
  <si>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</si>
  <si>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</si>
  <si>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</si>
  <si>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</si>
  <si>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</si>
  <si>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</si>
  <si>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</si>
  <si>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</si>
  <si>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</si>
  <si>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</si>
  <si>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</si>
  <si>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</si>
  <si>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</si>
  <si>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</si>
  <si>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</si>
  <si>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</si>
  <si>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</si>
  <si>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</si>
  <si>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</si>
  <si>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</si>
  <si>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</si>
  <si>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</si>
  <si>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</si>
  <si>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</si>
  <si>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</si>
  <si>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</si>
  <si>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</si>
  <si>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</si>
  <si>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</si>
  <si>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</si>
  <si>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</si>
  <si>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</si>
  <si>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</si>
  <si>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</si>
  <si>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</si>
  <si>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</si>
  <si>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</si>
  <si>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</si>
  <si>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</si>
  <si>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</si>
  <si>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</si>
  <si>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</si>
  <si>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</si>
  <si>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</si>
  <si>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</si>
  <si>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</si>
  <si>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</si>
  <si>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</si>
  <si>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</si>
  <si>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</si>
  <si>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</si>
  <si>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</si>
  <si>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</si>
  <si>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</si>
  <si>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</si>
  <si>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</si>
  <si>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</si>
  <si>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</si>
  <si>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</si>
  <si>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</si>
  <si>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</si>
  <si>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</si>
  <si>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</si>
  <si>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</si>
  <si>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</si>
  <si>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</si>
  <si>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</si>
  <si>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</si>
  <si>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</si>
  <si>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</si>
  <si>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</si>
  <si>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</si>
  <si>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</si>
  <si>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</si>
  <si>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</si>
  <si>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</si>
  <si>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</si>
  <si>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</si>
  <si>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</si>
  <si>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</si>
  <si>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</si>
  <si>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</si>
  <si>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</si>
  <si>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</si>
  <si>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</si>
  <si>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</si>
  <si>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</si>
  <si>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</si>
  <si>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</si>
  <si>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</si>
  <si>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</si>
  <si>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</si>
  <si>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</si>
  <si>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</si>
  <si>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</si>
  <si>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</si>
  <si>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</si>
  <si>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</si>
  <si>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</si>
  <si>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</si>
  <si>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</si>
  <si>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</si>
  <si>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</si>
  <si>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</si>
  <si>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</si>
  <si>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</si>
  <si>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</si>
  <si>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</si>
  <si>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</si>
  <si>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</si>
  <si>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</si>
  <si>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</si>
  <si>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</si>
  <si>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</si>
  <si>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</si>
  <si>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</si>
  <si>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</si>
  <si>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</si>
  <si>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</si>
  <si>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</si>
  <si>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</si>
  <si>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</si>
  <si>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</si>
  <si>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</si>
  <si>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</si>
  <si>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</si>
  <si>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</si>
  <si>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</si>
  <si>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</si>
  <si>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</si>
  <si>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</si>
  <si>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</si>
  <si>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</si>
  <si>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</si>
  <si>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</si>
  <si>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</si>
  <si>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</si>
  <si>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</si>
  <si>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</si>
  <si>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</si>
  <si>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</si>
  <si>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</si>
  <si>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</si>
  <si>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</si>
  <si>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</si>
  <si>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</si>
  <si>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</si>
  <si>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</si>
  <si>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</si>
  <si>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</si>
  <si>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</si>
  <si>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</si>
  <si>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</si>
  <si>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</si>
  <si>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</si>
  <si>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</si>
  <si>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</si>
  <si>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</si>
  <si>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</si>
  <si>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</si>
  <si>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</si>
  <si>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</si>
  <si>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</si>
  <si>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</si>
  <si>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</si>
  <si>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</si>
  <si>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</si>
  <si>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</si>
  <si>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</si>
  <si>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</si>
  <si>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</si>
  <si>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</si>
  <si>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</si>
  <si>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</si>
  <si>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</si>
  <si>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</si>
  <si>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</si>
  <si>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</si>
  <si>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</si>
  <si>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</si>
  <si>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</si>
  <si>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</si>
  <si>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</si>
  <si>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</si>
  <si>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</si>
  <si>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</si>
  <si>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</si>
  <si>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</si>
  <si>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</si>
  <si>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</si>
  <si>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</si>
  <si>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</si>
  <si>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</si>
  <si>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</si>
  <si>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</si>
  <si>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</si>
  <si>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</si>
  <si>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</si>
  <si>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</si>
  <si>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</si>
  <si>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</si>
  <si>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</si>
  <si>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</si>
  <si>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</si>
  <si>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</si>
  <si>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</si>
  <si>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</si>
  <si>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</si>
  <si>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</si>
  <si>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</si>
  <si>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</si>
  <si>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</si>
  <si>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</si>
  <si>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</si>
  <si>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</si>
  <si>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</si>
  <si>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</si>
  <si>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</si>
  <si>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</si>
  <si>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</si>
  <si>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</si>
  <si>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</si>
  <si>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</si>
  <si>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</si>
  <si>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</si>
  <si>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</si>
  <si>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</si>
  <si>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</si>
  <si>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</si>
  <si>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</si>
  <si>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</si>
  <si>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</si>
  <si>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</si>
  <si>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</si>
  <si>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</si>
  <si>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</si>
  <si>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</si>
  <si>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</si>
  <si>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</si>
  <si>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</si>
  <si>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</si>
  <si>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</si>
  <si>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</si>
  <si>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</si>
  <si>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</si>
  <si>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</si>
  <si>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</si>
  <si>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</si>
  <si>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</si>
  <si>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</si>
  <si>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</si>
  <si>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</si>
  <si>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</si>
  <si>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</si>
  <si>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</si>
  <si>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</si>
  <si>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</si>
  <si>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</si>
  <si>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</si>
  <si>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</si>
  <si>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</si>
  <si>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</si>
  <si>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</si>
  <si>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</si>
  <si>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</si>
  <si>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</si>
  <si>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</si>
  <si>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</si>
  <si>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</si>
  <si>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</si>
  <si>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</si>
  <si>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</si>
  <si>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</si>
  <si>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</si>
  <si>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</si>
  <si>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</si>
  <si>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</si>
  <si>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</si>
  <si>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</si>
  <si>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</si>
  <si>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</si>
  <si>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</si>
  <si>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</si>
  <si>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</si>
  <si>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</si>
  <si>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</si>
  <si>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</si>
  <si>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</si>
  <si>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</si>
  <si>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</si>
  <si>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</si>
  <si>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</si>
  <si>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</si>
  <si>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</si>
  <si>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</si>
  <si>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</si>
  <si>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</si>
  <si>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</si>
  <si>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</si>
  <si>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</si>
  <si>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</si>
  <si>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</si>
  <si>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</si>
  <si>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</si>
  <si>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</si>
  <si>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</si>
  <si>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</si>
  <si>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</si>
  <si>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</si>
  <si>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</si>
  <si>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</si>
  <si>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</si>
  <si>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</si>
  <si>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</si>
  <si>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</si>
  <si>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</si>
  <si>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</si>
  <si>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</si>
  <si>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</si>
  <si>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</si>
  <si>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</si>
  <si>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</si>
  <si>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</si>
  <si>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</si>
  <si>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</si>
  <si>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</si>
  <si>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</si>
  <si>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</si>
  <si>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</si>
  <si>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</si>
  <si>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</si>
  <si>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</si>
  <si>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</si>
  <si>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</si>
  <si>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</si>
  <si>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</si>
  <si>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</si>
  <si>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</si>
  <si>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</si>
  <si>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</si>
  <si>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</si>
  <si>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</si>
  <si>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</si>
  <si>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</si>
  <si>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</si>
  <si>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</si>
  <si>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</si>
  <si>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</si>
  <si>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</si>
  <si>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</si>
  <si>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</si>
  <si>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</si>
  <si>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</si>
  <si>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</si>
  <si>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</si>
  <si>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</si>
  <si>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</si>
  <si>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</si>
  <si>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</si>
  <si>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</si>
  <si>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</si>
  <si>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</si>
  <si>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</si>
  <si>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</si>
  <si>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</si>
  <si>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</si>
  <si>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</si>
  <si>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</si>
  <si>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</si>
  <si>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</si>
  <si>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</si>
  <si>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</si>
  <si>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</si>
  <si>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</si>
  <si>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</si>
  <si>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</si>
  <si>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</si>
  <si>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</si>
  <si>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</si>
  <si>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</si>
  <si>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</si>
  <si>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</si>
  <si>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</si>
  <si>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</si>
  <si>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</si>
  <si>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</si>
  <si>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</si>
  <si>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</si>
  <si>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</si>
  <si>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</si>
  <si>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</si>
  <si>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</si>
  <si>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</si>
  <si>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</si>
  <si>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</si>
  <si>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</si>
  <si>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</si>
  <si>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</si>
  <si>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</si>
  <si>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</si>
  <si>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</si>
  <si>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</si>
  <si>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</si>
  <si>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</si>
  <si>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</si>
  <si>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</si>
  <si>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</si>
  <si>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</si>
  <si>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</si>
  <si>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</si>
  <si>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</si>
  <si>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</si>
  <si>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</si>
  <si>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</si>
  <si>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</si>
  <si>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</si>
  <si>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</si>
  <si>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</si>
  <si>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</si>
  <si>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</si>
  <si>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</si>
  <si>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</si>
  <si>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</si>
  <si>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</si>
  <si>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</si>
  <si>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</si>
  <si>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</si>
  <si>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</si>
  <si>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</si>
  <si>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</si>
  <si>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</si>
  <si>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</si>
  <si>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</si>
  <si>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</si>
  <si>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</si>
  <si>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</si>
  <si>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</si>
  <si>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</si>
  <si>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</si>
  <si>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</si>
  <si>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</si>
  <si>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</si>
  <si>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</si>
  <si>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</si>
  <si>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</si>
  <si>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</si>
  <si>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</si>
  <si>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</si>
  <si>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</si>
  <si>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</si>
  <si>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</si>
  <si>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</si>
  <si>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</si>
  <si>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</si>
  <si>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</si>
  <si>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</si>
  <si>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</si>
  <si>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</si>
  <si>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</si>
  <si>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</si>
  <si>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</si>
  <si>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</si>
  <si>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</si>
  <si>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</si>
  <si>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</si>
  <si>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</si>
  <si>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</si>
  <si>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</si>
  <si>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</si>
  <si>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</si>
  <si>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</si>
  <si>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</si>
  <si>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</si>
  <si>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</si>
  <si>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</si>
  <si>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</si>
  <si>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</si>
  <si>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</si>
  <si>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</si>
  <si>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</si>
  <si>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</si>
  <si>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</si>
  <si>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</si>
  <si>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</si>
  <si>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</si>
  <si>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</si>
  <si>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</si>
  <si>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</si>
  <si>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</si>
  <si>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</si>
  <si>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</si>
  <si>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</si>
  <si>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</si>
  <si>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</si>
  <si>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</si>
  <si>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</si>
  <si>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</si>
  <si>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</si>
  <si>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</si>
  <si>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</si>
  <si>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</si>
  <si>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</si>
  <si>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</si>
  <si>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</si>
  <si>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</si>
  <si>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</si>
  <si>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</si>
  <si>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</si>
  <si>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</si>
  <si>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</si>
  <si>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</si>
  <si>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</si>
  <si>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</si>
  <si>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</si>
  <si>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</si>
  <si>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</si>
  <si>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</si>
  <si>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</si>
  <si>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</si>
  <si>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</si>
  <si>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</si>
  <si>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</si>
  <si>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</si>
  <si>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</si>
  <si>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</si>
  <si>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</si>
  <si>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</si>
  <si>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</si>
  <si>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</si>
  <si>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</si>
  <si>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</si>
  <si>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</si>
  <si>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</si>
  <si>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</si>
  <si>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</si>
  <si>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</si>
  <si>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</si>
  <si>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</si>
  <si>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</si>
  <si>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</si>
  <si>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</si>
  <si>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</si>
  <si>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</si>
  <si>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</si>
  <si>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</si>
  <si>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</si>
  <si>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</si>
  <si>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</si>
  <si>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</si>
  <si>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</si>
  <si>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</si>
  <si>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</si>
  <si>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</si>
  <si>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</si>
  <si>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</si>
  <si>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</si>
  <si>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</si>
  <si>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</si>
  <si>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</si>
  <si>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</si>
  <si>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</si>
  <si>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</si>
  <si>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</si>
  <si>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</si>
  <si>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</si>
  <si>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</si>
  <si>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</si>
  <si>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</si>
  <si>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</si>
  <si>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</si>
  <si>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</si>
  <si>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</si>
  <si>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</si>
  <si>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</si>
  <si>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</si>
  <si>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</si>
  <si>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</si>
  <si>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</si>
  <si>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</si>
  <si>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</si>
  <si>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</si>
  <si>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</si>
  <si>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</si>
  <si>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</si>
  <si>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</si>
  <si>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</si>
  <si>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</si>
  <si>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</si>
  <si>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</si>
  <si>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</si>
  <si>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</si>
  <si>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</si>
  <si>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</si>
  <si>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</si>
  <si>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</si>
  <si>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</si>
  <si>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</si>
  <si>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</si>
  <si>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</si>
  <si>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</si>
  <si>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</si>
  <si>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</si>
  <si>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</si>
  <si>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</si>
  <si>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</si>
  <si>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</si>
  <si>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</si>
  <si>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</si>
  <si>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</si>
  <si>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</si>
  <si>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</si>
  <si>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</si>
  <si>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</si>
  <si>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</si>
  <si>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</si>
  <si>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</si>
  <si>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</si>
  <si>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</si>
  <si>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</si>
  <si>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</si>
  <si>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</si>
  <si>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</si>
  <si>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</si>
  <si>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</si>
  <si>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</si>
  <si>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</si>
  <si>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</si>
  <si>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</si>
  <si>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</si>
  <si>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</si>
  <si>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</si>
  <si>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</si>
  <si>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</si>
  <si>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</si>
  <si>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</si>
  <si>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</si>
  <si>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</si>
  <si>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</si>
  <si>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</si>
  <si>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</si>
  <si>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</si>
  <si>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</si>
  <si>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</si>
  <si>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</si>
  <si>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</si>
  <si>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</si>
  <si>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</si>
  <si>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</si>
  <si>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</si>
  <si>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</si>
  <si>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</si>
  <si>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</si>
  <si>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</si>
  <si>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</si>
  <si>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</si>
  <si>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</si>
  <si>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</si>
  <si>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</si>
  <si>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</si>
  <si>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</si>
  <si>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</si>
  <si>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</si>
  <si>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</si>
  <si>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</si>
  <si>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</si>
  <si>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</si>
  <si>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</si>
  <si>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</si>
  <si>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</si>
  <si>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</si>
  <si>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</si>
  <si>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</si>
  <si>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</si>
  <si>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</si>
  <si>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</si>
  <si>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</si>
  <si>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</si>
  <si>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</si>
  <si>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</si>
  <si>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</si>
  <si>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</si>
  <si>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</si>
  <si>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</si>
  <si>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</si>
  <si>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</si>
  <si>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</si>
  <si>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</si>
  <si>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</si>
  <si>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</si>
  <si>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</si>
  <si>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</si>
  <si>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</si>
  <si>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</si>
  <si>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</si>
  <si>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</si>
  <si>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</si>
  <si>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</si>
  <si>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</si>
  <si>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</si>
  <si>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</si>
  <si>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</si>
  <si>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</si>
  <si>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</si>
  <si>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</si>
  <si>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</si>
  <si>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</si>
  <si>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</si>
  <si>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</si>
  <si>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</si>
  <si>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</si>
  <si>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</si>
  <si>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</si>
  <si>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</si>
  <si>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</si>
  <si>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</si>
  <si>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</si>
  <si>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</si>
  <si>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</si>
  <si>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</si>
  <si>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</si>
  <si>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</si>
  <si>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</si>
  <si>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</si>
  <si>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</si>
  <si>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</si>
  <si>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</si>
  <si>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</si>
  <si>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</si>
  <si>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</si>
  <si>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</si>
  <si>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</si>
  <si>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</si>
  <si>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</si>
  <si>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</si>
  <si>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</si>
  <si>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</si>
  <si>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</si>
  <si>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</si>
  <si>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</si>
  <si>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</si>
  <si>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</si>
  <si>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</si>
  <si>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</si>
  <si>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</si>
  <si>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</si>
  <si>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</si>
  <si>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</si>
  <si>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</si>
  <si>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</si>
  <si>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</si>
  <si>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</si>
  <si>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</si>
  <si>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</si>
  <si>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</si>
  <si>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</si>
  <si>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</si>
  <si>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</si>
  <si>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</si>
  <si>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</si>
  <si>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</si>
  <si>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</si>
  <si>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</si>
  <si>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</si>
  <si>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</si>
  <si>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</si>
  <si>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</si>
  <si>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</si>
  <si>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</si>
  <si>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</si>
  <si>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</si>
  <si>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</si>
  <si>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</si>
  <si>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</si>
  <si>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</si>
  <si>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</si>
  <si>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</si>
  <si>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</si>
  <si>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</si>
  <si>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</si>
  <si>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</si>
  <si>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</si>
  <si>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</si>
  <si>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</si>
  <si>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</si>
  <si>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</si>
  <si>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</si>
  <si>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</si>
  <si>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</si>
  <si>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</si>
  <si>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</si>
  <si>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</si>
  <si>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</si>
  <si>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</si>
  <si>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</si>
  <si>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</si>
  <si>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</si>
  <si>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</si>
  <si>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</si>
  <si>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</si>
  <si>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</si>
  <si>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</si>
  <si>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</si>
  <si>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</si>
  <si>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</si>
  <si>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</si>
  <si>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</si>
  <si>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</si>
  <si>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</si>
  <si>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</si>
  <si>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</si>
  <si>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</si>
  <si>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</si>
  <si>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</si>
  <si>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</si>
  <si>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</si>
  <si>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</si>
  <si>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</si>
  <si>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</si>
  <si>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</si>
  <si>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</si>
  <si>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</si>
  <si>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</si>
  <si>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</si>
  <si>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</si>
  <si>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</si>
  <si>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</si>
  <si>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</si>
  <si>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</si>
  <si>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</si>
  <si>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</si>
  <si>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</si>
  <si>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</si>
  <si>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</si>
  <si>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</si>
  <si>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</si>
  <si>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</si>
  <si>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</si>
  <si>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</si>
  <si>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</si>
  <si>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</si>
  <si>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</si>
  <si>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</si>
  <si>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</si>
  <si>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</si>
  <si>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</si>
  <si>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</si>
  <si>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</si>
  <si>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</si>
  <si>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</si>
  <si>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</si>
  <si>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</si>
  <si>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</si>
  <si>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</si>
  <si>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</si>
  <si>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</si>
  <si>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</si>
  <si>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</si>
  <si>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</si>
  <si>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</si>
  <si>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</si>
  <si>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</si>
  <si>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</si>
  <si>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</si>
  <si>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</si>
  <si>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</si>
  <si>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</si>
  <si>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</si>
  <si>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</si>
  <si>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</si>
  <si>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</si>
  <si>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</si>
  <si>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</si>
  <si>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</si>
  <si>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</si>
  <si>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</si>
  <si>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</si>
  <si>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</si>
  <si>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</si>
  <si>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</si>
  <si>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</si>
  <si>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</si>
  <si>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</si>
  <si>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</si>
  <si>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</si>
  <si>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</si>
  <si>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</si>
  <si>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</si>
  <si>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</si>
  <si>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</si>
  <si>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</si>
  <si>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</si>
  <si>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</si>
  <si>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</si>
  <si>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</si>
  <si>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</si>
  <si>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</si>
  <si>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</si>
  <si>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</si>
  <si>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</si>
  <si>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</si>
  <si>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</si>
  <si>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</si>
  <si>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</si>
  <si>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</si>
  <si>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</si>
  <si>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</si>
  <si>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</si>
  <si>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</si>
  <si>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</si>
  <si>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</si>
  <si>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</si>
  <si>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</si>
  <si>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</si>
  <si>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</si>
  <si>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</si>
  <si>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</si>
  <si>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</si>
  <si>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</si>
  <si>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</si>
  <si>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</si>
  <si>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</si>
  <si>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</si>
  <si>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</si>
  <si>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</si>
  <si>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</si>
  <si>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</si>
  <si>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</si>
  <si>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</si>
  <si>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</si>
  <si>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</si>
  <si>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</si>
  <si>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</si>
  <si>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</si>
  <si>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</si>
  <si>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</si>
  <si>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</si>
  <si>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</si>
  <si>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</si>
  <si>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</si>
  <si>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</si>
  <si>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</si>
  <si>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</si>
  <si>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</si>
  <si>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</si>
  <si>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</si>
  <si>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</si>
  <si>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</si>
  <si>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</si>
  <si>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</si>
  <si>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</si>
  <si>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</si>
  <si>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</si>
  <si>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</si>
  <si>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</si>
  <si>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</si>
  <si>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</si>
  <si>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</si>
  <si>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</si>
  <si>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</si>
  <si>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</si>
  <si>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</si>
  <si>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</si>
  <si>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</si>
  <si>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</si>
  <si>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</si>
  <si>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</si>
  <si>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</si>
  <si>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</si>
  <si>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</si>
  <si>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</si>
  <si>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</si>
  <si>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</si>
  <si>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</si>
  <si>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</si>
  <si>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</si>
  <si>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</si>
  <si>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</si>
  <si>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</si>
  <si>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</si>
  <si>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</si>
  <si>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</si>
  <si>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</si>
  <si>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</si>
  <si>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</si>
  <si>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</si>
  <si>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</si>
  <si>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</si>
  <si>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</si>
  <si>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</si>
  <si>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</si>
  <si>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</si>
  <si>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</si>
  <si>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</si>
  <si>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</si>
  <si>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</si>
  <si>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</si>
  <si>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</si>
  <si>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</si>
  <si>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</si>
  <si>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</si>
  <si>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</si>
  <si>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</si>
  <si>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</si>
  <si>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</si>
  <si>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</si>
  <si>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</si>
  <si>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</si>
  <si>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</si>
  <si>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</si>
  <si>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</si>
  <si>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</si>
  <si>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</si>
  <si>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</si>
  <si>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</si>
  <si>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</si>
  <si>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</si>
  <si>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</si>
  <si>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</si>
  <si>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</si>
  <si>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</si>
  <si>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</si>
  <si>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</si>
  <si>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</si>
  <si>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</si>
  <si>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</si>
  <si>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</si>
  <si>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</si>
  <si>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</si>
  <si>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</si>
  <si>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</si>
  <si>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</si>
  <si>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</si>
  <si>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</si>
  <si>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</si>
  <si>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</si>
  <si>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</si>
  <si>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</si>
  <si>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</si>
  <si>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</si>
  <si>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</si>
  <si>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</si>
  <si>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</si>
  <si>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</si>
  <si>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</si>
  <si>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</si>
  <si>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</si>
  <si>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</si>
  <si>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</si>
  <si>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</si>
  <si>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</si>
  <si>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</si>
  <si>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</si>
  <si>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</si>
  <si>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</si>
  <si>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</si>
  <si>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</si>
  <si>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</si>
  <si>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</si>
  <si>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</si>
  <si>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</si>
  <si>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</si>
  <si>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</si>
  <si>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</si>
  <si>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</si>
  <si>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</si>
  <si>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</si>
  <si>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</si>
  <si>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</si>
  <si>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</si>
  <si>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</si>
  <si>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</si>
  <si>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</si>
  <si>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</si>
  <si>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</si>
  <si>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</si>
  <si>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</si>
  <si>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</si>
  <si>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</si>
  <si>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</si>
  <si>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</si>
  <si>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</si>
  <si>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</si>
  <si>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</si>
  <si>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</si>
  <si>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</si>
  <si>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</si>
  <si>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</si>
  <si>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</si>
  <si>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</si>
  <si>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</si>
  <si>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</si>
  <si>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</si>
  <si>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</si>
  <si>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</si>
  <si>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</si>
  <si>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</si>
  <si>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</si>
  <si>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</si>
  <si>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</si>
  <si>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</si>
  <si>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</si>
  <si>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</si>
  <si>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</si>
  <si>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</si>
  <si>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</si>
  <si>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</si>
  <si>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</si>
  <si>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</si>
  <si>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</si>
  <si>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</si>
  <si>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</si>
  <si>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</si>
  <si>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</si>
  <si>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</si>
  <si>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</si>
  <si>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</si>
  <si>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</si>
  <si>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</si>
  <si>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</si>
  <si>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</si>
  <si>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</si>
  <si>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</si>
  <si>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</si>
  <si>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</si>
  <si>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</si>
  <si>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</si>
  <si>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</si>
  <si>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</si>
  <si>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</si>
  <si>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</si>
  <si>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</si>
  <si>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</si>
  <si>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</si>
  <si>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</si>
  <si>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</si>
  <si>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</si>
  <si>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</si>
  <si>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</si>
  <si>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</si>
  <si>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</si>
  <si>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</si>
  <si>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</si>
  <si>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</si>
  <si>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</si>
  <si>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</si>
  <si>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</si>
  <si>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</si>
  <si>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</si>
  <si>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</si>
  <si>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</si>
  <si>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</si>
  <si>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</si>
  <si>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</si>
  <si>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</si>
  <si>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</si>
  <si>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</si>
  <si>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</si>
  <si>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</si>
  <si>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</si>
  <si>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</si>
  <si>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</si>
  <si>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</si>
  <si>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</si>
  <si>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</si>
  <si>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</si>
  <si>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</si>
  <si>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</si>
  <si>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</si>
  <si>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</si>
  <si>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</si>
  <si>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</si>
  <si>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</si>
  <si>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</si>
  <si>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</si>
  <si>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</si>
  <si>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</si>
  <si>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</si>
  <si>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</si>
  <si>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</si>
  <si>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</si>
  <si>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</si>
  <si>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</si>
  <si>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</si>
  <si>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</si>
  <si>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</si>
  <si>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</si>
  <si>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</si>
  <si>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</si>
  <si>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</si>
  <si>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</si>
  <si>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</si>
  <si>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</si>
  <si>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</si>
  <si>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</si>
  <si>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</si>
  <si>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</si>
  <si>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</si>
  <si>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</si>
  <si>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</si>
  <si>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</si>
  <si>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</si>
  <si>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</si>
  <si>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</si>
  <si>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</si>
  <si>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</si>
  <si>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</si>
  <si>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</si>
  <si>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</si>
  <si>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</si>
  <si>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</si>
  <si>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</si>
  <si>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</si>
  <si>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</si>
  <si>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</si>
  <si>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</si>
  <si>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</si>
  <si>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</si>
  <si>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</si>
  <si>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</si>
  <si>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</si>
  <si>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</si>
  <si>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</si>
  <si>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</si>
  <si>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</si>
  <si>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</si>
  <si>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</si>
  <si>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</si>
  <si>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</si>
  <si>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</si>
  <si>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</si>
  <si>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</si>
  <si>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</si>
  <si>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</si>
  <si>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</si>
  <si>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</si>
  <si>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</si>
  <si>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</si>
  <si>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</si>
  <si>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</si>
  <si>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</si>
  <si>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</si>
  <si>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</si>
  <si>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</si>
  <si>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</si>
  <si>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</si>
  <si>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</si>
  <si>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</si>
  <si>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</si>
  <si>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</si>
  <si>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</si>
  <si>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</si>
  <si>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</si>
  <si>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</si>
  <si>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</si>
  <si>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</si>
  <si>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</si>
  <si>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</si>
  <si>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</si>
  <si>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</si>
  <si>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</si>
  <si>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</si>
  <si>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</si>
  <si>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</si>
  <si>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</si>
  <si>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</si>
  <si>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</si>
  <si>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</si>
  <si>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</si>
  <si>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</si>
  <si>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</si>
  <si>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</si>
  <si>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</si>
  <si>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</si>
  <si>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</si>
  <si>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</si>
  <si>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</si>
  <si>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</si>
  <si>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</si>
  <si>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</si>
  <si>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</si>
  <si>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</si>
  <si>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</si>
  <si>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</si>
  <si>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</si>
  <si>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</si>
  <si>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</si>
  <si>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</si>
  <si>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</si>
  <si>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</si>
  <si>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</si>
  <si>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</si>
  <si>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</si>
  <si>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</si>
  <si>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</si>
  <si>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</si>
  <si>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</si>
  <si>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</si>
  <si>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</si>
  <si>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</si>
  <si>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</si>
  <si>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</si>
  <si>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</si>
  <si>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</si>
  <si>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</si>
  <si>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</si>
  <si>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</si>
  <si>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</si>
  <si>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</si>
  <si>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</si>
  <si>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</si>
  <si>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</si>
  <si>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</si>
  <si>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</si>
  <si>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</si>
  <si>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</si>
  <si>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</si>
  <si>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</si>
  <si>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</si>
  <si>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</si>
  <si>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</si>
  <si>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</si>
  <si>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</si>
  <si>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</si>
  <si>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</si>
  <si>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</si>
  <si>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</si>
  <si>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</si>
  <si>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</si>
  <si>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</si>
  <si>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</si>
  <si>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</si>
  <si>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</si>
  <si>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</si>
  <si>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</si>
  <si>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</si>
  <si>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</si>
  <si>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</si>
  <si>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</si>
  <si>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</si>
  <si>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</si>
  <si>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</si>
  <si>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</si>
  <si>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</si>
  <si>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</si>
  <si>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</si>
  <si>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</si>
  <si>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</si>
  <si>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</si>
  <si>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</si>
  <si>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</si>
  <si>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</si>
  <si>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</si>
  <si>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</si>
  <si>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</si>
  <si>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</si>
  <si>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</si>
  <si>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</si>
  <si>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</si>
  <si>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</si>
  <si>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</si>
  <si>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</si>
  <si>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</si>
  <si>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</si>
  <si>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</si>
  <si>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</si>
  <si>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</si>
  <si>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</si>
  <si>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</si>
  <si>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</si>
  <si>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</si>
  <si>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</si>
  <si>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</si>
  <si>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</si>
  <si>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</si>
  <si>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</si>
  <si>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</si>
  <si>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</si>
  <si>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</si>
  <si>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</si>
  <si>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</si>
  <si>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</si>
  <si>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</si>
  <si>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</si>
  <si>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</si>
  <si>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</si>
  <si>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</si>
  <si>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</si>
  <si>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</si>
  <si>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</si>
  <si>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</si>
  <si>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</si>
  <si>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</si>
  <si>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</si>
  <si>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</si>
  <si>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</si>
  <si>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</si>
  <si>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</si>
  <si>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</si>
  <si>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</si>
  <si>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</si>
  <si>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</si>
  <si>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</si>
  <si>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</si>
  <si>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</si>
  <si>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</si>
  <si>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</si>
  <si>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</si>
  <si>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</si>
  <si>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</si>
  <si>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</si>
  <si>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</si>
  <si>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</si>
  <si>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</si>
  <si>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</si>
  <si>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</si>
  <si>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</si>
  <si>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</si>
  <si>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</si>
  <si>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</si>
  <si>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</si>
  <si>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</si>
  <si>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</si>
  <si>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</si>
  <si>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</si>
  <si>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</si>
  <si>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</si>
  <si>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</si>
  <si>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</si>
  <si>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</si>
  <si>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</si>
  <si>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</si>
  <si>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</si>
  <si>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</si>
  <si>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</si>
  <si>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</si>
  <si>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</si>
  <si>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</si>
  <si>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</si>
  <si>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</si>
  <si>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</si>
  <si>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</si>
  <si>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</si>
  <si>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</si>
  <si>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</si>
  <si>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</si>
  <si>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</si>
  <si>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</si>
  <si>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</si>
  <si>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</si>
  <si>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</si>
  <si>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</si>
  <si>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</si>
  <si>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</si>
  <si>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</si>
  <si>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</si>
  <si>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</si>
  <si>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</si>
  <si>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</si>
  <si>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</si>
  <si>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</si>
  <si>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</si>
  <si>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</si>
  <si>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</si>
  <si>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</si>
  <si>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</si>
  <si>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</si>
  <si>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</si>
  <si>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</si>
  <si>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</si>
  <si>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</si>
  <si>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</si>
  <si>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</si>
  <si>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</si>
  <si>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</si>
  <si>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</si>
  <si>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</si>
  <si>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</si>
  <si>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</si>
  <si>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</si>
  <si>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</si>
  <si>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</si>
  <si>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</si>
  <si>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</si>
  <si>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</si>
  <si>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</si>
  <si>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</si>
  <si>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</si>
  <si>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</si>
  <si>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</si>
  <si>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</si>
  <si>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</si>
  <si>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</si>
  <si>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</si>
  <si>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</si>
  <si>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</si>
  <si>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</si>
  <si>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</si>
  <si>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</si>
  <si>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</si>
  <si>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</si>
  <si>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</si>
  <si>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</si>
  <si>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</si>
  <si>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</si>
  <si>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</si>
  <si>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</si>
  <si>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</si>
  <si>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</si>
  <si>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</si>
  <si>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</si>
  <si>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</si>
  <si>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</si>
  <si>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</si>
  <si>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</si>
  <si>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</si>
  <si>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</si>
  <si>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</si>
  <si>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</si>
  <si>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</si>
  <si>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</si>
  <si>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</si>
  <si>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</si>
  <si>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</si>
  <si>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</si>
  <si>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</si>
  <si>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</si>
  <si>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</si>
  <si>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</si>
  <si>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</si>
  <si>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</si>
  <si>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</si>
  <si>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</si>
  <si>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</si>
  <si>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</si>
  <si>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</si>
  <si>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</si>
  <si>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</si>
  <si>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</si>
  <si>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</si>
  <si>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</si>
  <si>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</si>
  <si>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</si>
  <si>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</si>
  <si>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</si>
  <si>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</si>
  <si>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</si>
  <si>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</si>
  <si>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</si>
  <si>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</si>
  <si>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</si>
  <si>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</si>
  <si>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</si>
  <si>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</si>
  <si>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</si>
  <si>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</si>
  <si>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</si>
  <si>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</si>
  <si>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</si>
  <si>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</si>
  <si>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</si>
  <si>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</si>
  <si>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</si>
  <si>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</si>
  <si>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</si>
  <si>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</si>
  <si>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</si>
  <si>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</si>
  <si>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</si>
  <si>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</si>
  <si>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</si>
  <si>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</si>
  <si>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</si>
  <si>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</si>
  <si>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</si>
  <si>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</si>
  <si>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</si>
  <si>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</si>
  <si>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</si>
  <si>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</si>
  <si>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</si>
  <si>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</si>
  <si>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</si>
  <si>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</si>
  <si>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</si>
  <si>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</si>
  <si>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</si>
  <si>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</si>
  <si>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</si>
  <si>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</si>
  <si>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</si>
  <si>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</si>
  <si>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</si>
  <si>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</si>
  <si>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</si>
  <si>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</si>
  <si>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</si>
  <si>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</si>
  <si>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</si>
  <si>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</si>
  <si>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</si>
  <si>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</si>
  <si>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</si>
  <si>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</si>
  <si>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</si>
  <si>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</si>
  <si>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</si>
  <si>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</si>
  <si>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</si>
  <si>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</si>
  <si>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</si>
  <si>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</si>
  <si>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</si>
  <si>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</si>
  <si>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</si>
  <si>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</si>
  <si>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</si>
  <si>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</si>
  <si>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</si>
  <si>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</si>
  <si>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</si>
  <si>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</si>
  <si>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</si>
  <si>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</si>
  <si>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</si>
  <si>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</si>
  <si>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</si>
  <si>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</si>
  <si>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</si>
  <si>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</si>
  <si>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</si>
  <si>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</si>
  <si>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</si>
  <si>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</si>
  <si>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</si>
  <si>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</si>
  <si>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</si>
  <si>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</si>
  <si>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</si>
  <si>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</si>
  <si>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</si>
  <si>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</si>
  <si>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</si>
  <si>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</si>
  <si>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</si>
  <si>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</si>
  <si>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</si>
  <si>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</si>
  <si>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</si>
  <si>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</si>
  <si>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</si>
  <si>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</si>
  <si>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</si>
  <si>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</si>
  <si>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</si>
  <si>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</si>
  <si>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</si>
  <si>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</si>
  <si>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</si>
  <si>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</si>
  <si>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</si>
  <si>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</si>
  <si>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</si>
  <si>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</si>
  <si>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</si>
  <si>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</si>
  <si>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</si>
  <si>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</si>
  <si>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</si>
  <si>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</si>
  <si>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</si>
  <si>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</si>
  <si>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</si>
  <si>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</si>
  <si>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</si>
  <si>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</si>
  <si>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</si>
  <si>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</si>
  <si>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</si>
  <si>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</si>
  <si>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</si>
  <si>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</si>
  <si>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</si>
  <si>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</si>
  <si>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</si>
  <si>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</si>
  <si>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</si>
  <si>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</si>
  <si>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</si>
  <si>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</si>
  <si>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</si>
  <si>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</si>
  <si>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</si>
  <si>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</si>
  <si>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</si>
  <si>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</si>
  <si>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</si>
  <si>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</si>
  <si>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</si>
  <si>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</si>
  <si>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</si>
  <si>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</si>
  <si>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</si>
  <si>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</si>
  <si>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</si>
  <si>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</si>
  <si>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</si>
  <si>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</si>
  <si>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</si>
  <si>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</si>
  <si>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</si>
  <si>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</si>
  <si>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</si>
  <si>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</si>
  <si>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</si>
  <si>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</si>
  <si>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</si>
  <si>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</si>
  <si>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</si>
  <si>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</si>
  <si>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</si>
  <si>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</si>
  <si>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</si>
  <si>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</si>
  <si>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</si>
  <si>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</si>
  <si>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</si>
  <si>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</si>
  <si>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</si>
  <si>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</si>
  <si>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</si>
  <si>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</si>
  <si>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</si>
  <si>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</si>
  <si>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</si>
  <si>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</si>
  <si>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</si>
  <si>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</si>
  <si>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</si>
  <si>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</si>
  <si>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</si>
  <si>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</si>
  <si>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</si>
  <si>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</si>
  <si>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</si>
  <si>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</si>
  <si>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</si>
  <si>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</si>
  <si>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</si>
  <si>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</si>
  <si>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</si>
  <si>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</si>
  <si>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</si>
  <si>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</si>
  <si>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</si>
  <si>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</si>
  <si>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</si>
  <si>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</si>
  <si>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</si>
  <si>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</si>
  <si>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</si>
  <si>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</si>
  <si>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</si>
  <si>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</si>
  <si>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</si>
  <si>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</si>
  <si>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</si>
  <si>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</si>
  <si>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</si>
  <si>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</si>
  <si>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</si>
  <si>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</si>
  <si>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</si>
  <si>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</si>
  <si>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</si>
  <si>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</si>
  <si>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</si>
  <si>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</si>
  <si>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</si>
  <si>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</si>
  <si>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</si>
  <si>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</si>
  <si>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</si>
  <si>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</si>
  <si>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</si>
  <si>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</si>
  <si>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</si>
  <si>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</si>
  <si>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</si>
  <si>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</si>
  <si>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</si>
  <si>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</si>
  <si>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</si>
  <si>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</si>
  <si>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</si>
  <si>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</si>
  <si>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</si>
  <si>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</si>
  <si>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</si>
  <si>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</si>
  <si>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</si>
  <si>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</si>
  <si>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</si>
  <si>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</si>
  <si>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</si>
  <si>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</si>
  <si>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</si>
  <si>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</si>
  <si>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</si>
  <si>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</si>
  <si>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</si>
  <si>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</si>
  <si>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</si>
  <si>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</si>
  <si>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</si>
  <si>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</si>
  <si>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</si>
  <si>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</si>
  <si>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</si>
  <si>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</si>
  <si>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</si>
  <si>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</si>
  <si>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</si>
  <si>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</si>
  <si>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</si>
  <si>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</si>
  <si>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</si>
  <si>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</si>
  <si>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</si>
  <si>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</si>
  <si>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</si>
  <si>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</si>
  <si>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</si>
  <si>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</si>
  <si>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</si>
  <si>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</si>
  <si>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</si>
  <si>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</si>
  <si>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</si>
  <si>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</si>
  <si>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</si>
  <si>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</si>
  <si>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</si>
  <si>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</si>
  <si>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</si>
  <si>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</si>
  <si>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</si>
  <si>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</si>
  <si>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</si>
  <si>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</si>
  <si>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</si>
  <si>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</si>
  <si>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</si>
  <si>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</si>
  <si>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</si>
  <si>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</si>
  <si>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</si>
  <si>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</si>
  <si>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</si>
  <si>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</si>
  <si>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</si>
  <si>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</si>
  <si>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</si>
  <si>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</si>
  <si>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</si>
  <si>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</si>
  <si>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</si>
  <si>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</si>
  <si>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</si>
  <si>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</si>
  <si>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</si>
  <si>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</si>
  <si>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</si>
  <si>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</si>
  <si>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</si>
  <si>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</si>
  <si>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</si>
  <si>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</si>
  <si>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</si>
  <si>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</si>
  <si>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</si>
  <si>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</si>
  <si>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</si>
  <si>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</si>
  <si>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</si>
  <si>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</si>
  <si>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</si>
  <si>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</si>
  <si>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</si>
  <si>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</si>
  <si>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</si>
  <si>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</si>
  <si>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</si>
  <si>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</si>
  <si>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</si>
  <si>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</si>
  <si>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</si>
  <si>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</si>
  <si>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</si>
  <si>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</si>
  <si>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</si>
  <si>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</si>
  <si>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</si>
  <si>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</si>
  <si>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</si>
  <si>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</si>
  <si>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</si>
  <si>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</si>
  <si>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</si>
  <si>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</si>
  <si>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</si>
  <si>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</si>
  <si>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</si>
  <si>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</si>
  <si>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</si>
  <si>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</si>
  <si>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</si>
  <si>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</si>
  <si>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</si>
  <si>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</si>
  <si>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</si>
  <si>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</si>
  <si>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</si>
  <si>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</si>
  <si>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</si>
  <si>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</si>
  <si>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</si>
  <si>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</si>
  <si>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</si>
  <si>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</si>
  <si>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</si>
  <si>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</si>
  <si>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</si>
  <si>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</si>
  <si>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</si>
  <si>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</si>
  <si>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</si>
  <si>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</si>
  <si>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</si>
  <si>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</si>
  <si>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</si>
  <si>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</si>
  <si>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</si>
  <si>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</si>
  <si>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</si>
  <si>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</si>
  <si>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</si>
  <si>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</si>
  <si>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</si>
  <si>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</si>
  <si>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</si>
  <si>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</si>
  <si>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</si>
  <si>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</si>
  <si>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</si>
  <si>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</si>
  <si>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</si>
  <si>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</si>
  <si>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</si>
  <si>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</si>
  <si>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</si>
  <si>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</si>
  <si>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</si>
  <si>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</si>
  <si>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</si>
  <si>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</si>
  <si>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</si>
  <si>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</si>
  <si>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</si>
  <si>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</si>
  <si>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</si>
  <si>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</si>
  <si>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</si>
  <si>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</si>
  <si>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</si>
  <si>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</si>
  <si>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</si>
  <si>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</si>
  <si>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</si>
  <si>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</si>
  <si>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</si>
  <si>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</si>
  <si>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</si>
  <si>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</si>
  <si>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</si>
  <si>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</si>
  <si>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</si>
  <si>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</si>
  <si>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</si>
  <si>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</si>
  <si>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</si>
  <si>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</si>
  <si>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</si>
  <si>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</si>
  <si>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</si>
  <si>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</si>
  <si>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</si>
  <si>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</si>
  <si>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</si>
  <si>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</si>
  <si>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</si>
  <si>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</si>
  <si>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</si>
  <si>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</si>
  <si>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</si>
  <si>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</si>
  <si>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</si>
  <si>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</si>
  <si>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</si>
  <si>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</si>
  <si>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</si>
  <si>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</si>
  <si>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</si>
  <si>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</si>
  <si>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</si>
  <si>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</si>
  <si>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</si>
  <si>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</si>
  <si>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</si>
  <si>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</si>
  <si>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</si>
  <si>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</si>
  <si>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</si>
  <si>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</si>
  <si>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</si>
  <si>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</si>
  <si>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</si>
  <si>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</si>
  <si>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</si>
  <si>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</si>
  <si>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</si>
  <si>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</si>
  <si>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</si>
  <si>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</si>
  <si>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</si>
  <si>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</si>
  <si>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</si>
  <si>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</si>
  <si>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</si>
  <si>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</si>
  <si>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</si>
  <si>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</si>
  <si>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</si>
  <si>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</si>
  <si>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</si>
  <si>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</si>
  <si>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</si>
  <si>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</si>
  <si>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</si>
  <si>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</si>
  <si>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</si>
  <si>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</si>
  <si>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</si>
  <si>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</si>
  <si>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</si>
  <si>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</si>
  <si>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</si>
  <si>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</si>
  <si>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</si>
  <si>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</si>
  <si>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</si>
  <si>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</si>
  <si>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</si>
  <si>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</si>
  <si>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</si>
  <si>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</si>
  <si>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</si>
  <si>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</si>
  <si>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</si>
  <si>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</si>
  <si>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</si>
  <si>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</si>
  <si>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</si>
  <si>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</si>
  <si>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</si>
  <si>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</si>
  <si>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</si>
  <si>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</si>
  <si>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</si>
  <si>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</si>
  <si>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</si>
  <si>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</si>
  <si>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</si>
  <si>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</si>
  <si>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</si>
  <si>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</si>
  <si>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</si>
  <si>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</si>
  <si>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</si>
  <si>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</si>
  <si>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</si>
  <si>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</si>
  <si>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</si>
  <si>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</si>
  <si>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</si>
  <si>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</si>
  <si>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</si>
  <si>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</si>
  <si>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</si>
  <si>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</si>
  <si>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</si>
  <si>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</si>
  <si>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</si>
  <si>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</si>
  <si>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</si>
  <si>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</si>
  <si>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</si>
  <si>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</si>
  <si>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</si>
  <si>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</si>
  <si>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</si>
  <si>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</si>
  <si>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</si>
  <si>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</si>
  <si>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</si>
  <si>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</si>
  <si>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</si>
  <si>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</si>
  <si>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</si>
  <si>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</si>
  <si>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</si>
  <si>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</si>
  <si>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</si>
  <si>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</si>
  <si>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</si>
  <si>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</si>
  <si>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</si>
  <si>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</si>
  <si>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</si>
  <si>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</si>
  <si>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</si>
  <si>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</si>
  <si>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</si>
  <si>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</si>
  <si>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</si>
  <si>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</si>
  <si>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</si>
  <si>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</si>
  <si>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</si>
  <si>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</si>
  <si>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</si>
  <si>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</si>
  <si>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</si>
  <si>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</si>
  <si>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</si>
  <si>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</si>
  <si>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</si>
  <si>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</si>
  <si>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</si>
  <si>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</si>
  <si>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</si>
  <si>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</si>
  <si>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</si>
  <si>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</si>
  <si>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</si>
  <si>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</si>
  <si>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</si>
  <si>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</si>
  <si>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</si>
  <si>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</si>
  <si>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</si>
  <si>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</si>
  <si>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</si>
  <si>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</si>
  <si>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</si>
  <si>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</si>
  <si>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</si>
  <si>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</si>
  <si>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</si>
  <si>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</si>
  <si>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</si>
  <si>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</si>
  <si>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</si>
  <si>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</si>
  <si>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</si>
  <si>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</si>
  <si>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</si>
  <si>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</si>
  <si>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</si>
  <si>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</si>
  <si>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</si>
  <si>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</si>
  <si>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</si>
  <si>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</si>
  <si>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</si>
  <si>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</si>
  <si>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</si>
  <si>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</si>
  <si>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</si>
  <si>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</si>
  <si>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</si>
  <si>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</si>
  <si>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</si>
  <si>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</si>
  <si>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</si>
  <si>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</si>
  <si>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</si>
  <si>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</si>
  <si>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</si>
  <si>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</si>
  <si>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</si>
  <si>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</si>
  <si>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</si>
  <si>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</si>
  <si>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</si>
  <si>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</si>
  <si>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</si>
  <si>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</si>
  <si>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</si>
  <si>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</si>
  <si>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</si>
  <si>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</si>
  <si>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</si>
  <si>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</si>
  <si>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</si>
  <si>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</si>
  <si>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</si>
  <si>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</si>
  <si>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</si>
  <si>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</si>
  <si>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</si>
  <si>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</si>
  <si>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</si>
  <si>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</si>
  <si>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</si>
  <si>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</si>
  <si>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</si>
  <si>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</si>
  <si>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</si>
  <si>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</si>
  <si>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</si>
  <si>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</si>
  <si>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</si>
  <si>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</si>
  <si>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</si>
  <si>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</si>
  <si>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</si>
  <si>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</si>
  <si>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</si>
  <si>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</si>
  <si>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</si>
  <si>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</si>
  <si>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</si>
  <si>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</si>
  <si>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</si>
  <si>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</si>
  <si>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</si>
  <si>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</si>
  <si>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</si>
  <si>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</si>
  <si>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</si>
  <si>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</si>
  <si>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</si>
  <si>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</si>
  <si>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</si>
  <si>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</si>
  <si>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</si>
  <si>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</si>
  <si>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</si>
  <si>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</si>
  <si>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</si>
  <si>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</si>
  <si>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</si>
  <si>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</si>
  <si>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</si>
  <si>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</si>
  <si>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</si>
  <si>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</si>
  <si>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</si>
  <si>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</si>
  <si>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</si>
  <si>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</si>
  <si>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</si>
  <si>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</si>
  <si>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</si>
  <si>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</si>
  <si>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</si>
  <si>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</si>
  <si>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</si>
  <si>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</si>
  <si>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</si>
  <si>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</si>
  <si>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</si>
  <si>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</si>
  <si>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</si>
  <si>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</si>
  <si>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</si>
  <si>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</si>
  <si>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</si>
  <si>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</si>
  <si>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</si>
  <si>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</si>
  <si>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</si>
  <si>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</si>
  <si>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</si>
  <si>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</si>
  <si>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</si>
  <si>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</si>
  <si>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</si>
  <si>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</si>
  <si>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</si>
  <si>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</si>
  <si>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</si>
  <si>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</si>
  <si>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</si>
  <si>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</si>
  <si>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</si>
  <si>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</si>
  <si>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</si>
  <si>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</si>
  <si>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</si>
  <si>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</si>
  <si>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</si>
  <si>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</si>
  <si>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</si>
  <si>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</si>
  <si>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</si>
  <si>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</si>
  <si>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</si>
  <si>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</si>
  <si>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</si>
  <si>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</si>
  <si>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</si>
  <si>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</si>
  <si>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</si>
  <si>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</si>
  <si>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</si>
  <si>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</si>
  <si>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</si>
  <si>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</si>
  <si>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</si>
  <si>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</si>
  <si>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</si>
  <si>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</si>
  <si>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</si>
  <si>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</si>
  <si>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</si>
  <si>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</si>
  <si>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</si>
  <si>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</si>
  <si>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</si>
  <si>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</si>
  <si>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</si>
  <si>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</si>
  <si>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</si>
  <si>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</si>
  <si>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</si>
  <si>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</si>
  <si>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</si>
  <si>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</si>
  <si>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</si>
  <si>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</si>
  <si>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</si>
  <si>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</si>
  <si>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</si>
  <si>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</si>
  <si>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</si>
  <si>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</si>
  <si>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</si>
  <si>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</si>
  <si>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</si>
  <si>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</si>
  <si>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</si>
  <si>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</si>
  <si>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</si>
  <si>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</si>
  <si>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</si>
  <si>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</si>
  <si>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</si>
  <si>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</si>
  <si>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</si>
  <si>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</si>
  <si>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</si>
  <si>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</si>
  <si>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</si>
  <si>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</si>
  <si>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</si>
  <si>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</si>
  <si>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</si>
  <si>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</si>
  <si>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</si>
  <si>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</si>
  <si>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</si>
  <si>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</si>
  <si>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</si>
  <si>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</si>
  <si>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</si>
  <si>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</si>
  <si>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</si>
  <si>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</si>
  <si>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</si>
  <si>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</si>
  <si>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</si>
  <si>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</si>
  <si>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</si>
  <si>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</si>
  <si>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</si>
  <si>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</si>
  <si>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</si>
  <si>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</si>
  <si>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</si>
  <si>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</si>
  <si>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</si>
  <si>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</si>
  <si>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</si>
  <si>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</si>
  <si>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</si>
  <si>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</si>
  <si>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</si>
  <si>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</si>
  <si>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</si>
  <si>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</si>
  <si>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</si>
  <si>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</si>
  <si>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</si>
  <si>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</si>
  <si>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</si>
  <si>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</si>
  <si>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</si>
  <si>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</si>
  <si>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</si>
  <si>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</si>
  <si>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</si>
  <si>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</si>
  <si>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</si>
  <si>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</si>
  <si>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</si>
  <si>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</si>
  <si>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</si>
  <si>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</si>
  <si>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</si>
  <si>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</si>
  <si>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</si>
  <si>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</si>
  <si>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</si>
  <si>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</si>
  <si>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</si>
  <si>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</si>
  <si>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</si>
  <si>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</si>
  <si>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</si>
  <si>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</si>
  <si>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</si>
  <si>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</si>
  <si>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</si>
  <si>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</si>
  <si>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</si>
  <si>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</si>
  <si>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</si>
  <si>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</si>
  <si>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</si>
  <si>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</si>
  <si>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</si>
  <si>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</si>
  <si>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</si>
  <si>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</si>
  <si>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</si>
  <si>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</si>
  <si>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</si>
  <si>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</si>
  <si>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</si>
  <si>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</si>
  <si>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</si>
  <si>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</si>
  <si>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</si>
  <si>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</si>
  <si>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</si>
  <si>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</si>
  <si>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</si>
  <si>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</si>
  <si>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</si>
  <si>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</si>
  <si>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</si>
  <si>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</si>
  <si>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</si>
  <si>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</si>
  <si>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</si>
  <si>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</si>
  <si>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</si>
  <si>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</si>
  <si>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</si>
  <si>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</si>
  <si>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</si>
  <si>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</si>
  <si>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</si>
  <si>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</si>
  <si>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</si>
  <si>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</si>
  <si>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</si>
  <si>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</si>
  <si>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</si>
  <si>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</si>
  <si>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</si>
  <si>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</si>
  <si>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</si>
  <si>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</si>
  <si>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</si>
  <si>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</si>
  <si>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</si>
  <si>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</si>
  <si>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</si>
  <si>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</si>
  <si>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</si>
  <si>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</si>
  <si>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</si>
  <si>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</si>
  <si>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</si>
  <si>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</si>
  <si>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</si>
  <si>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</si>
  <si>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</si>
  <si>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</si>
  <si>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</si>
  <si>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</si>
  <si>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</si>
  <si>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</si>
  <si>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</si>
  <si>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</si>
  <si>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</si>
  <si>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</si>
  <si>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</si>
  <si>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</si>
  <si>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</si>
  <si>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</si>
  <si>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</si>
  <si>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</si>
  <si>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</si>
  <si>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</si>
  <si>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</si>
  <si>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</si>
  <si>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</si>
  <si>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</si>
  <si>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</si>
  <si>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</si>
  <si>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</si>
  <si>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</si>
  <si>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</si>
  <si>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</si>
  <si>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</si>
  <si>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</si>
  <si>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</si>
  <si>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</si>
  <si>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</si>
  <si>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</si>
  <si>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</si>
  <si>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</si>
  <si>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</si>
  <si>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</si>
  <si>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</si>
  <si>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</si>
  <si>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</si>
  <si>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</si>
  <si>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</si>
  <si>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</si>
  <si>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</si>
  <si>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</si>
  <si>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</si>
  <si>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</si>
  <si>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</si>
  <si>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</si>
  <si>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</si>
  <si>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</si>
  <si>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</si>
  <si>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</si>
  <si>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</si>
  <si>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</si>
  <si>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</si>
  <si>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</si>
  <si>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</si>
  <si>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</si>
  <si>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</si>
  <si>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</si>
  <si>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</si>
  <si>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</si>
  <si>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</si>
  <si>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</si>
  <si>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</si>
  <si>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</si>
  <si>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</si>
  <si>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</si>
  <si>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</si>
  <si>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</si>
  <si>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</si>
  <si>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</si>
  <si>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</si>
  <si>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</si>
  <si>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</si>
  <si>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</si>
  <si>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</si>
  <si>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</si>
  <si>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</si>
  <si>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</si>
  <si>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</si>
  <si>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</si>
  <si>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</si>
  <si>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</si>
  <si>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</si>
  <si>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</si>
  <si>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</si>
  <si>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</si>
  <si>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</si>
  <si>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</si>
  <si>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</si>
  <si>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</si>
  <si>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</si>
  <si>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</si>
  <si>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</si>
  <si>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</si>
  <si>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</si>
  <si>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</si>
  <si>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</si>
  <si>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</si>
  <si>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</si>
  <si>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</si>
  <si>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</si>
  <si>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</si>
  <si>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</si>
  <si>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</si>
  <si>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</si>
  <si>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</si>
  <si>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</si>
  <si>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</si>
  <si>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</si>
  <si>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</si>
  <si>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</si>
  <si>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</si>
  <si>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</si>
  <si>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</si>
  <si>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</si>
  <si>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</si>
  <si>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</si>
  <si>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</si>
  <si>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</si>
  <si>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</si>
  <si>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</si>
  <si>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</si>
  <si>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</si>
  <si>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</si>
  <si>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</si>
  <si>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</si>
  <si>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</si>
  <si>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</si>
  <si>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</si>
  <si>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</si>
  <si>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</si>
  <si>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</si>
  <si>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</si>
  <si>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</si>
  <si>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</si>
  <si>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</si>
  <si>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</si>
  <si>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</si>
  <si>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</si>
  <si>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</si>
  <si>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</si>
  <si>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</si>
  <si>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</si>
  <si>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</si>
  <si>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</si>
  <si>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</si>
  <si>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</si>
  <si>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</si>
  <si>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</si>
  <si>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</si>
  <si>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</si>
  <si>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</si>
  <si>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</si>
  <si>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</si>
  <si>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</si>
  <si>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</si>
  <si>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</si>
  <si>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</si>
  <si>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</si>
  <si>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</si>
  <si>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</si>
  <si>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</si>
  <si>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</si>
  <si>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</si>
  <si>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</si>
  <si>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</si>
  <si>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</si>
  <si>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</si>
  <si>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</si>
  <si>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</si>
  <si>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</si>
  <si>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</si>
  <si>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</si>
  <si>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</si>
  <si>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</si>
  <si>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</si>
  <si>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</si>
  <si>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</si>
  <si>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</si>
  <si>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</si>
  <si>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</si>
  <si>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</si>
  <si>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</si>
  <si>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</si>
  <si>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</si>
  <si>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</si>
  <si>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</si>
  <si>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</si>
  <si>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</si>
  <si>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</si>
  <si>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</si>
  <si>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</si>
  <si>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</si>
  <si>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</si>
  <si>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</si>
  <si>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</si>
  <si>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</si>
  <si>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</si>
  <si>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</si>
  <si>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</si>
  <si>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</si>
  <si>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</si>
  <si>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</si>
  <si>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</si>
  <si>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</si>
  <si>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</si>
  <si>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</si>
  <si>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</si>
  <si>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</si>
  <si>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</si>
  <si>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</si>
  <si>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</si>
  <si>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</si>
  <si>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</si>
  <si>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</si>
  <si>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</si>
  <si>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</si>
  <si>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</si>
  <si>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</si>
  <si>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</si>
  <si>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</si>
  <si>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</si>
  <si>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</si>
  <si>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</si>
  <si>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</si>
  <si>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</si>
  <si>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</si>
  <si>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</si>
  <si>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</si>
  <si>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</si>
  <si>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</si>
  <si>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</si>
  <si>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</si>
  <si>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</si>
  <si>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</si>
  <si>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</si>
  <si>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</si>
  <si>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</si>
  <si>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</si>
  <si>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</si>
  <si>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</si>
  <si>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</si>
  <si>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</si>
  <si>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</si>
  <si>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</si>
  <si>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</si>
  <si>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</si>
  <si>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</si>
  <si>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</si>
  <si>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</si>
  <si>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</si>
  <si>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</si>
  <si>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</si>
  <si>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</si>
  <si>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</si>
  <si>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</si>
  <si>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</si>
  <si>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</si>
  <si>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</si>
  <si>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</si>
  <si>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</si>
  <si>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</si>
  <si>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</si>
  <si>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</si>
  <si>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</si>
  <si>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</si>
  <si>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</si>
  <si>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</si>
  <si>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</si>
  <si>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</si>
  <si>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</si>
  <si>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</si>
  <si>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</si>
  <si>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</si>
  <si>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</si>
  <si>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</si>
  <si>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</si>
  <si>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</si>
  <si>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</si>
  <si>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</si>
  <si>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</si>
  <si>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</si>
  <si>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</si>
  <si>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</si>
  <si>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</si>
  <si>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</si>
  <si>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</si>
  <si>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</si>
  <si>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</si>
  <si>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</si>
  <si>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</si>
  <si>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</si>
  <si>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</si>
  <si>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</si>
  <si>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</si>
  <si>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</si>
  <si>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</si>
  <si>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</si>
  <si>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</si>
  <si>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</si>
  <si>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</si>
  <si>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</si>
  <si>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</si>
  <si>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</si>
  <si>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</si>
  <si>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</si>
  <si>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</si>
  <si>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</si>
  <si>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</si>
  <si>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</si>
  <si>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</si>
  <si>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</si>
  <si>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</si>
  <si>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</si>
  <si>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</si>
  <si>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</si>
  <si>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</si>
  <si>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</si>
  <si>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</si>
  <si>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</si>
  <si>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</si>
  <si>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</si>
  <si>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</si>
  <si>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</si>
  <si>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</si>
  <si>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</si>
  <si>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</si>
  <si>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</si>
  <si>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</si>
  <si>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</si>
  <si>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</si>
  <si>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</si>
  <si>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</si>
  <si>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</si>
  <si>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</si>
  <si>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</si>
  <si>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</si>
  <si>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</si>
  <si>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</si>
  <si>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</si>
  <si>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</si>
  <si>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</si>
  <si>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</si>
  <si>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</si>
  <si>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</si>
  <si>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</si>
  <si>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</si>
  <si>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</si>
  <si>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</si>
  <si>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</si>
  <si>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</si>
  <si>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</si>
  <si>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</si>
  <si>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</si>
  <si>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</si>
  <si>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</si>
  <si>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</si>
  <si>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</si>
  <si>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</si>
  <si>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</si>
  <si>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</si>
  <si>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</si>
  <si>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</si>
  <si>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</si>
  <si>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</si>
  <si>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</si>
  <si>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order_id</t>
  </si>
  <si>
    <t>order_date</t>
  </si>
  <si>
    <t>status</t>
  </si>
  <si>
    <t>Completed</t>
  </si>
  <si>
    <t>Cancelled</t>
  </si>
  <si>
    <t>Returned</t>
  </si>
  <si>
    <t>Pending</t>
  </si>
  <si>
    <t>quantity</t>
  </si>
  <si>
    <t>unit_price</t>
  </si>
  <si>
    <t>discount</t>
  </si>
  <si>
    <t>revenue</t>
  </si>
  <si>
    <t xml:space="preserve">      </t>
  </si>
  <si>
    <t xml:space="preserve">           Kolkata</t>
  </si>
  <si>
    <t>Row Labels</t>
  </si>
  <si>
    <t>P0003</t>
  </si>
  <si>
    <t>P0004</t>
  </si>
  <si>
    <t>P0005</t>
  </si>
  <si>
    <t>P0006</t>
  </si>
  <si>
    <t>Grand Total</t>
  </si>
  <si>
    <t>Sum of revenue</t>
  </si>
  <si>
    <t>P0001</t>
  </si>
  <si>
    <t>P0007</t>
  </si>
  <si>
    <t>profit</t>
  </si>
  <si>
    <t>unit_cost</t>
  </si>
  <si>
    <t>total_revenue</t>
  </si>
  <si>
    <t>total_profit</t>
  </si>
  <si>
    <t>P0002</t>
  </si>
  <si>
    <t>P0008</t>
  </si>
  <si>
    <t>P0009</t>
  </si>
  <si>
    <t>P0010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</si>
</sst>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XDR&quot;* #,##0.00_-;\-&quot;XDR&quot;* #,##0.00_-;_-&quot;XDR&quot;* &quot;-&quot;??_-;_-@_-"/>
    <numFmt numFmtId="164" formatCode="[$₹-4009]\ #,##0.00"/>
    <numFmt numFmtId="165" formatCode="yyyy\-mm\-dd;@"/>
  </numFmts>
  <fonts count="5">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8"/>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2" fillId="0" borderId="0" xfId="0" applyFont="1"/>
    <xf numFmtId="0" fontId="3" fillId="0" borderId="0" xfId="0" applyFont="1" applyAlignment="1">
      <alignment vertical="center"/>
    </xf>
    <xf numFmtId="14" fontId="0" fillId="0" borderId="0" xfId="0" applyNumberFormat="1"/>
    <xf numFmtId="164" fontId="0" fillId="0" borderId="0" xfId="1" applyNumberFormat="1" applyFont="1"/>
    <xf numFmtId="164" fontId="3" fillId="0" borderId="0" xfId="1" applyNumberFormat="1" applyFont="1" applyAlignment="1">
      <alignment vertical="center"/>
    </xf>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165" fontId="0" fillId="0" borderId="0" xfId="1" applyNumberFormat="1" applyFont="1"/>
    <xf numFmtId="2" fontId="0" fillId="0" borderId="0" xfId="2" applyNumberFormat="1" applyFont="1"/>
  </cellXfs>
  <cellStyles count="3">
    <cellStyle name="Currency" xfId="1" builtinId="4"/>
    <cellStyle name="Normal" xfId="0" builtinId="0"/>
    <cellStyle name="Percent" xfId="2" builtinId="5"/>
  </cellStyles>
  <dxfs count="9">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c:rich>
      </c:tx>
      <c:layout>
        <c:manualLayout>
          <c:xMode val="edge"/>
          <c:yMode val="edge"/>
          <c:x val="0.30886111111111109"/>
          <c:y val="0.11934966462525518"/>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FF0000"/>
            </a:solidFill>
            <a:ln>
              <a:noFill/>
            </a:ln>
            <a:effectLst/>
          </c:spPr>
          <c:invertIfNegative val="0"/>
          <c:cat>
            <c:strRef>
              <c:f>Sheet2!$A$4:$A$5</c:f>
              <c:strCache>
                <c:ptCount val="1"/>
                <c:pt idx="0">
                  <c:v>P0001</c:v>
                </c:pt>
              </c:strCache>
            </c:strRef>
          </c:cat>
          <c:val>
            <c:numRef>
              <c:f>Sheet2!$B$4:$B$5</c:f>
              <c:numCache>
                <c:formatCode>General</c:formatCode>
                <c:ptCount val="1"/>
                <c:pt idx="0">
                  <c:v>570</c:v>
                </c:pt>
              </c:numCache>
            </c:numRef>
          </c:val>
          <c:extLst>
            <c:ext xmlns:c16="http://schemas.microsoft.com/office/drawing/2014/chart" uri="{C3380CC4-5D6E-409C-BE32-E72D297353CC}">
              <c16:uniqueId val="{00000000-16A9-4A11-9B14-834C9AE8CC7F}"/>
            </c:ext>
          </c:extLst>
        </c:ser>
        <c:dLbls>
          <c:showLegendKey val="0"/>
          <c:showVal val="0"/>
          <c:showCatName val="0"/>
          <c:showSerName val="0"/>
          <c:showPercent val="0"/>
          <c:showBubbleSize val="0"/>
        </c:dLbls>
        <c:gapWidth val="219"/>
        <c:overlap val="-27"/>
        <c:axId val="589114799"/>
        <c:axId val="573472783"/>
      </c:barChart>
      <c:catAx>
        <c:axId val="5891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73472783"/>
        <c:crosses val="autoZero"/>
        <c:auto val="1"/>
        <c:lblAlgn val="ctr"/>
        <c:lblOffset val="100"/>
        <c:noMultiLvlLbl val="0"/>
      </c:catAx>
      <c:valAx>
        <c:axId val="57347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8911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1400" b="0" i="0" u="none" strike="noStrike" baseline="0"/>
              <a:t>Revenue and Profit by Product.</a:t>
            </a:r>
            <a:endParaRPr lang="en-US" sz="1400" b="0" i="0" u="none" strike="noStrike"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Product_Summary!$C$1</c:f>
              <c:strCache>
                <c:ptCount val="1"/>
                <c:pt idx="0">
                  <c:v>total_revenue</c:v>
                </c:pt>
              </c:strCache>
            </c:strRef>
          </c:tx>
          <c:spPr>
            <a:solidFill>
              <a:schemeClr val="accent1"/>
            </a:solidFill>
            <a:ln>
              <a:noFill/>
            </a:ln>
            <a:effectLst/>
          </c:spPr>
          <c:invertIfNegative val="0"/>
          <c:cat>
            <c:strRef>
              <c:extLst>
                <c:ext xmlns:c15="http://schemas.microsoft.com/office/drawing/2012/chart" uri="{02D57815-91ED-43cb-92C2-25804820EDAC}">
                  <c15:fullRef>
                    <c15:sqref>Product_Summary!$A$2:$B$11</c15:sqref>
                  </c15:fullRef>
                  <c15:levelRef>
                    <c15:sqref>Product_Summary!$A$2:$A$11</c15:sqref>
                  </c15:levelRef>
                </c:ext>
              </c:extLst>
              <c:f>Product_Summary!$A$2:$A$11</c:f>
              <c:strCache>
                <c:ptCount val="10"/>
                <c:pt idx="0">
                  <c:v>P0001</c:v>
                </c:pt>
                <c:pt idx="1">
                  <c:v>P0002</c:v>
                </c:pt>
                <c:pt idx="2">
                  <c:v>P0003</c:v>
                </c:pt>
                <c:pt idx="3">
                  <c:v>P0004</c:v>
                </c:pt>
                <c:pt idx="4">
                  <c:v>P0005</c:v>
                </c:pt>
                <c:pt idx="5">
                  <c:v>P0006</c:v>
                </c:pt>
                <c:pt idx="6">
                  <c:v>P0007</c:v>
                </c:pt>
                <c:pt idx="7">
                  <c:v>P0008</c:v>
                </c:pt>
                <c:pt idx="8">
                  <c:v>P0009</c:v>
                </c:pt>
                <c:pt idx="9">
                  <c:v>P0010</c:v>
                </c:pt>
              </c:strCache>
            </c:strRef>
          </c:cat>
          <c:val>
            <c:numRef>
              <c:f>Product_Summary!$C$2:$C$11</c:f>
              <c:numCache>
                <c:formatCode>General</c:formatCode>
                <c:ptCount val="10"/>
                <c:pt idx="0">
                  <c:v>498</c:v>
                </c:pt>
                <c:pt idx="1">
                  <c:v>0</c:v>
                </c:pt>
                <c:pt idx="2">
                  <c:v>0</c:v>
                </c:pt>
                <c:pt idx="3">
                  <c:v>1692.48</c:v>
                </c:pt>
                <c:pt idx="4">
                  <c:v>6265.35</c:v>
                </c:pt>
                <c:pt idx="5">
                  <c:v>453.6</c:v>
                </c:pt>
                <c:pt idx="6">
                  <c:v>2248.65</c:v>
                </c:pt>
                <c:pt idx="7">
                  <c:v>2919.2000000000003</c:v>
                </c:pt>
                <c:pt idx="8">
                  <c:v>0</c:v>
                </c:pt>
                <c:pt idx="9">
                  <c:v>7188.3899999999994</c:v>
                </c:pt>
              </c:numCache>
            </c:numRef>
          </c:val>
          <c:extLst>
            <c:ext xmlns:c16="http://schemas.microsoft.com/office/drawing/2014/chart" uri="{C3380CC4-5D6E-409C-BE32-E72D297353CC}">
              <c16:uniqueId val="{00000000-40A8-47B0-B8EC-9C8FCB1675BD}"/>
            </c:ext>
          </c:extLst>
        </c:ser>
        <c:ser>
          <c:idx val="1"/>
          <c:order val="1"/>
          <c:tx>
            <c:strRef>
              <c:f>Product_Summary!$D$1</c:f>
              <c:strCache>
                <c:ptCount val="1"/>
                <c:pt idx="0">
                  <c:v>total_profit</c:v>
                </c:pt>
              </c:strCache>
            </c:strRef>
          </c:tx>
          <c:spPr>
            <a:solidFill>
              <a:schemeClr val="accent2"/>
            </a:solidFill>
            <a:ln>
              <a:noFill/>
            </a:ln>
            <a:effectLst/>
          </c:spPr>
          <c:invertIfNegative val="0"/>
          <c:cat>
            <c:strRef>
              <c:extLst>
                <c:ext xmlns:c15="http://schemas.microsoft.com/office/drawing/2012/chart" uri="{02D57815-91ED-43cb-92C2-25804820EDAC}">
                  <c15:fullRef>
                    <c15:sqref>Product_Summary!$A$2:$B$11</c15:sqref>
                  </c15:fullRef>
                  <c15:levelRef>
                    <c15:sqref>Product_Summary!$A$2:$A$11</c15:sqref>
                  </c15:levelRef>
                </c:ext>
              </c:extLst>
              <c:f>Product_Summary!$A$2:$A$11</c:f>
              <c:strCache>
                <c:ptCount val="10"/>
                <c:pt idx="0">
                  <c:v>P0001</c:v>
                </c:pt>
                <c:pt idx="1">
                  <c:v>P0002</c:v>
                </c:pt>
                <c:pt idx="2">
                  <c:v>P0003</c:v>
                </c:pt>
                <c:pt idx="3">
                  <c:v>P0004</c:v>
                </c:pt>
                <c:pt idx="4">
                  <c:v>P0005</c:v>
                </c:pt>
                <c:pt idx="5">
                  <c:v>P0006</c:v>
                </c:pt>
                <c:pt idx="6">
                  <c:v>P0007</c:v>
                </c:pt>
                <c:pt idx="7">
                  <c:v>P0008</c:v>
                </c:pt>
                <c:pt idx="8">
                  <c:v>P0009</c:v>
                </c:pt>
                <c:pt idx="9">
                  <c:v>P0010</c:v>
                </c:pt>
              </c:strCache>
            </c:strRef>
          </c:cat>
          <c:val>
            <c:numRef>
              <c:f>Product_Summary!$D$2:$D$11</c:f>
              <c:numCache>
                <c:formatCode>General</c:formatCode>
                <c:ptCount val="10"/>
                <c:pt idx="0">
                  <c:v>144</c:v>
                </c:pt>
                <c:pt idx="1">
                  <c:v>0</c:v>
                </c:pt>
                <c:pt idx="2">
                  <c:v>0</c:v>
                </c:pt>
                <c:pt idx="3">
                  <c:v>412.7999999999999</c:v>
                </c:pt>
                <c:pt idx="4">
                  <c:v>2182.9500000000007</c:v>
                </c:pt>
                <c:pt idx="5">
                  <c:v>158.76000000000005</c:v>
                </c:pt>
                <c:pt idx="6">
                  <c:v>733.77000000000021</c:v>
                </c:pt>
                <c:pt idx="7">
                  <c:v>1032.4000000000003</c:v>
                </c:pt>
                <c:pt idx="8">
                  <c:v>0</c:v>
                </c:pt>
                <c:pt idx="9">
                  <c:v>2971.5299999999997</c:v>
                </c:pt>
              </c:numCache>
            </c:numRef>
          </c:val>
          <c:extLst>
            <c:ext xmlns:c16="http://schemas.microsoft.com/office/drawing/2014/chart" uri="{C3380CC4-5D6E-409C-BE32-E72D297353CC}">
              <c16:uniqueId val="{00000001-40A8-47B0-B8EC-9C8FCB1675BD}"/>
            </c:ext>
          </c:extLst>
        </c:ser>
        <c:dLbls>
          <c:showLegendKey val="0"/>
          <c:showVal val="0"/>
          <c:showCatName val="0"/>
          <c:showSerName val="0"/>
          <c:showPercent val="0"/>
          <c:showBubbleSize val="0"/>
        </c:dLbls>
        <c:gapWidth val="219"/>
        <c:overlap val="-27"/>
        <c:axId val="818840320"/>
        <c:axId val="967558384"/>
      </c:barChart>
      <c:catAx>
        <c:axId val="8188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967558384"/>
        <c:crosses val="autoZero"/>
        <c:auto val="1"/>
        <c:lblAlgn val="ctr"/>
        <c:lblOffset val="100"/>
        <c:noMultiLvlLbl val="0"/>
      </c:catAx>
      <c:valAx>
        <c:axId val="96755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1884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148590</xdr:rowOff>
    </xdr:from>
    <xdr:to>
      <xdr:col>6</xdr:col>
      <xdr:colOff>281940</xdr:colOff>
      <xdr:row>25</xdr:row>
      <xdr:rowOff>148590</xdr:rowOff>
    </xdr:to>
    <xdr:graphicFrame macro="">
      <xdr:nvGraphicFramePr>
        <xdr:cNvPr id="2" name="Chart 1">
          <a:extLst>
            <a:ext uri="{FF2B5EF4-FFF2-40B4-BE49-F238E27FC236}">
              <a16:creationId xmlns:a16="http://schemas.microsoft.com/office/drawing/2014/main" id="{A850E9D0-CF63-4281-3F47-DC4E065D8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342900</xdr:colOff>
      <xdr:row>11</xdr:row>
      <xdr:rowOff>152401</xdr:rowOff>
    </xdr:from>
    <xdr:to>
      <xdr:col>6</xdr:col>
      <xdr:colOff>137160</xdr:colOff>
      <xdr:row>19</xdr:row>
      <xdr:rowOff>15241</xdr:rowOff>
    </xdr:to>
    <mc:AlternateContent xmlns:mc="http://schemas.openxmlformats.org/markup-compatibility/2006" xmlns:a14="http://schemas.microsoft.com/office/drawing/2010/main">
      <mc:Choice Requires="a14">
        <xdr:graphicFrame macro="">
          <xdr:nvGraphicFramePr>
            <xdr:cNvPr id="3" name="product_id">
              <a:extLst>
                <a:ext uri="{FF2B5EF4-FFF2-40B4-BE49-F238E27FC236}">
                  <a16:creationId xmlns:a16="http://schemas.microsoft.com/office/drawing/2014/main" id="{F5EAFBEA-317D-94A4-9DFD-2027C18E503A}"/>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3413760" y="2164081"/>
              <a:ext cx="1013460" cy="132588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11</xdr:row>
      <xdr:rowOff>110490</xdr:rowOff>
    </xdr:from>
    <xdr:to>
      <xdr:col>9</xdr:col>
      <xdr:colOff>281940</xdr:colOff>
      <xdr:row>26</xdr:row>
      <xdr:rowOff>110490</xdr:rowOff>
    </xdr:to>
    <xdr:graphicFrame macro="">
      <xdr:nvGraphicFramePr>
        <xdr:cNvPr id="4" name="Chart 3">
          <a:extLst>
            <a:ext uri="{FF2B5EF4-FFF2-40B4-BE49-F238E27FC236}">
              <a16:creationId xmlns:a16="http://schemas.microsoft.com/office/drawing/2014/main" id="{290F7E65-C220-11A9-1A21-0A01A155D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jul Singh" refreshedDate="46304.574493055552" createdVersion="8" refreshedVersion="8" minRefreshableVersion="3" recordCount="11" xr:uid="{53677F3A-32D5-40CD-A0F3-54DDD3DADB49}">
  <cacheSource type="worksheet">
    <worksheetSource name="OrderItemsTable"/>
  </cacheSource>
  <cacheFields count="6">
    <cacheField name="order_id" numFmtId="0">
      <sharedItems/>
    </cacheField>
    <cacheField name="product_id" numFmtId="0">
      <sharedItems count="6">
        <s v="P0004"/>
        <s v="P0006"/>
        <s v="P0007"/>
        <s v="P0003"/>
        <s v="P0001"/>
        <s v="P0005"/>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00" maxValue="789"/>
    </cacheField>
    <cacheField name="discount" numFmtId="9">
      <sharedItems containsSemiMixedTypes="0" containsString="0" containsNumber="1" minValue="0" maxValue="0.14000000000000001"/>
    </cacheField>
    <cacheField name="revenue" numFmtId="0">
      <sharedItems containsSemiMixedTypes="0" containsString="0" containsNumber="1" minValue="182" maxValue="2367"/>
    </cacheField>
  </cacheFields>
  <extLst>
    <ext xmlns:x14="http://schemas.microsoft.com/office/spreadsheetml/2009/9/main" uri="{725AE2AE-9491-48be-B2B4-4EB974FC3084}">
      <x14:pivotCacheDefinition pivotCacheId="247368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O00007"/>
    <x v="0"/>
    <n v="2"/>
    <n v="344"/>
    <n v="0.14000000000000001"/>
    <n v="591.67999999999995"/>
  </r>
  <r>
    <s v="O00013"/>
    <x v="1"/>
    <n v="2"/>
    <n v="567"/>
    <n v="0.14000000000000001"/>
    <n v="975.24"/>
  </r>
  <r>
    <s v="O00010"/>
    <x v="0"/>
    <n v="5"/>
    <n v="344"/>
    <n v="0.14000000000000001"/>
    <n v="1479.2"/>
  </r>
  <r>
    <s v="O00017"/>
    <x v="2"/>
    <n v="3"/>
    <n v="789"/>
    <n v="0"/>
    <n v="2367"/>
  </r>
  <r>
    <s v="O00011"/>
    <x v="3"/>
    <n v="2"/>
    <n v="235"/>
    <n v="0.02"/>
    <n v="460.59999999999997"/>
  </r>
  <r>
    <s v="O00001"/>
    <x v="4"/>
    <n v="1"/>
    <n v="200"/>
    <n v="0.09"/>
    <n v="182"/>
  </r>
  <r>
    <s v="O00008"/>
    <x v="0"/>
    <n v="3"/>
    <n v="344"/>
    <n v="0.03"/>
    <n v="1001.04"/>
  </r>
  <r>
    <s v="O00006"/>
    <x v="1"/>
    <n v="1"/>
    <n v="567"/>
    <n v="7.0000000000000007E-2"/>
    <n v="527.30999999999995"/>
  </r>
  <r>
    <s v="O00014"/>
    <x v="5"/>
    <n v="1"/>
    <n v="567"/>
    <n v="0.02"/>
    <n v="555.66"/>
  </r>
  <r>
    <s v="O00008"/>
    <x v="4"/>
    <n v="2"/>
    <n v="200"/>
    <n v="0.03"/>
    <n v="388"/>
  </r>
  <r>
    <s v="O00003"/>
    <x v="1"/>
    <n v="1"/>
    <n v="567"/>
    <n v="0.05"/>
    <n v="538.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42190-0558-4D0C-84D7-2EF6D37854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6">
    <pivotField showAll="0"/>
    <pivotField axis="axisRow" showAll="0" sortType="descending">
      <items count="7">
        <item x="4"/>
        <item h="1" x="3"/>
        <item h="1" x="0"/>
        <item h="1" x="5"/>
        <item h="1" x="1"/>
        <item h="1" x="2"/>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s>
  <rowFields count="1">
    <field x="1"/>
  </rowFields>
  <rowItems count="2">
    <i>
      <x/>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AB9146-87DB-4D87-9B95-38E20A1168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
    <pivotField showAll="0"/>
    <pivotField axis="axisRow" showAll="0">
      <items count="7">
        <item x="4"/>
        <item x="3"/>
        <item x="0"/>
        <item x="5"/>
        <item x="1"/>
        <item x="2"/>
        <item t="default"/>
      </items>
    </pivotField>
    <pivotField showAll="0"/>
    <pivotField showAll="0"/>
    <pivotField numFmtId="9" showAll="0"/>
    <pivotField dataField="1" showAll="0"/>
  </pivotFields>
  <rowFields count="1">
    <field x="1"/>
  </rowFields>
  <rowItems count="7">
    <i>
      <x/>
    </i>
    <i>
      <x v="1"/>
    </i>
    <i>
      <x v="2"/>
    </i>
    <i>
      <x v="3"/>
    </i>
    <i>
      <x v="4"/>
    </i>
    <i>
      <x v="5"/>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12FBD-7738-4001-824E-F737DE652B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
    <pivotField showAll="0"/>
    <pivotField axis="axisRow" showAll="0">
      <items count="7">
        <item x="4"/>
        <item x="3"/>
        <item x="0"/>
        <item x="5"/>
        <item x="1"/>
        <item x="2"/>
        <item t="default"/>
      </items>
    </pivotField>
    <pivotField showAll="0"/>
    <pivotField showAll="0"/>
    <pivotField numFmtId="9" showAll="0"/>
    <pivotField dataField="1" showAll="0"/>
  </pivotFields>
  <rowFields count="1">
    <field x="1"/>
  </rowFields>
  <rowItems count="7">
    <i>
      <x/>
    </i>
    <i>
      <x v="1"/>
    </i>
    <i>
      <x v="2"/>
    </i>
    <i>
      <x v="3"/>
    </i>
    <i>
      <x v="4"/>
    </i>
    <i>
      <x v="5"/>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BF45C5-CB18-401E-B5C5-43D417A9A7C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6">
    <pivotField showAll="0"/>
    <pivotField showAll="0"/>
    <pivotField showAll="0"/>
    <pivotField showAll="0"/>
    <pivotField numFmtId="9"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A6170B4B-7DC4-47DA-8881-9FB2052FC6B0}" sourceName="product_id">
  <pivotTables>
    <pivotTable tabId="6" name="PivotTable2"/>
  </pivotTables>
  <data>
    <tabular pivotCacheId="247368121">
      <items count="6">
        <i x="4" s="1"/>
        <i x="3"/>
        <i x="0"/>
        <i x="5"/>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0131637A-06DF-4D90-B626-9B808D521F32}" cache="Slicer_product_id" caption="product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EC99B-EAE1-4EB0-9958-F5F8BC4197B9}" name="CustomersTable" displayName="CustomersTable" ref="A1:H1001" totalsRowShown="0" headerRowDxfId="7">
  <autoFilter ref="A1:H1001" xr:uid="{D97EC99B-EAE1-4EB0-9958-F5F8BC4197B9}"/>
  <sortState xmlns:xlrd2="http://schemas.microsoft.com/office/spreadsheetml/2017/richdata2" ref="A2:G1001">
    <sortCondition descending="1" ref="C1:C1001"/>
  </sortState>
  <tableColumns count="8">
    <tableColumn id="1" xr3:uid="{2F0F734A-B35D-4F9B-9423-DA73DBA7988D}" name="customer_id">
      <calculatedColumnFormula>"C"&amp;TEXT(ROW()-1,"0000")</calculatedColumnFormula>
    </tableColumn>
    <tableColumn id="2" xr3:uid="{F6F63E59-CBEC-401C-800F-CA5FFBF08C42}" name="name"/>
    <tableColumn id="3" xr3:uid="{2321107C-FE72-430E-BDD9-25D27AF37C8F}" name="age"/>
    <tableColumn id="4" xr3:uid="{976E4320-C61B-4F39-B5B9-56EF46721062}" name="gender"/>
    <tableColumn id="5" xr3:uid="{DC606929-C227-4601-AA06-1307E2512EBB}" name="city"/>
    <tableColumn id="6" xr3:uid="{619F7933-E055-485F-8901-0C3F2B9D6656}" name="region"/>
    <tableColumn id="7" xr3:uid="{BAF7F363-4E7F-4002-9654-F50EB11D14ED}" name="signup_date"/>
    <tableColumn id="8" xr3:uid="{1EFB08E5-1AAA-4CA2-83C8-D2C9D15564BE}" name="Column1" dataDxfId="6">
      <calculatedColumnFormula>IF(C2&lt;30,"Young Adult","Older")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B9DDC-4076-4795-97C4-7108641D8F46}" name="ProductsTable" displayName="ProductsTable" ref="A1:XFD1048576" totalsRowShown="0">
  <autoFilter ref="A1:XFD1048576" xr:uid="{B83B9DDC-4076-4795-97C4-7108641D8F46}"/>
  <sortState xmlns:xlrd2="http://schemas.microsoft.com/office/spreadsheetml/2017/richdata2" ref="A2:XFD11">
    <sortCondition ref="D1:D1048576"/>
  </sortState>
  <tableColumns count="16384">
    <tableColumn id="1" xr3:uid="{1105BE60-2B06-4555-A5A3-08A771A47E93}" name="product_id"/>
    <tableColumn id="2" xr3:uid="{CABC0368-B3C0-4842-9AE6-27CAD258DDD0}" name="product_name"/>
    <tableColumn id="3" xr3:uid="{CF9458E6-4B33-4BED-A956-BDDCE83BFFC3}" name="category"/>
    <tableColumn id="4" xr3:uid="{62DA1185-F718-44F0-A953-7014FC54466D}" name="price"/>
    <tableColumn id="5" xr3:uid="{5BF87D63-C89F-43D7-BF9B-9852FD100390}" name="cost"/>
    <tableColumn id="6" xr3:uid="{96E548DE-2B47-40BA-A932-7C6BAEDD403F}" name="Column1"/>
    <tableColumn id="7" xr3:uid="{1BC3E8F5-ED2C-406F-9DBB-0569BDDF66AC}" name="Column2"/>
    <tableColumn id="8" xr3:uid="{C28DB8E0-B5D3-457B-AEEB-B7E2E4B2BFF7}" name="Column3"/>
    <tableColumn id="9" xr3:uid="{1B0BDD03-E1BB-4980-B2DC-AF61D020DA0F}" name="Column4"/>
    <tableColumn id="10" xr3:uid="{FC77E678-404C-4235-8830-0AB2C61A7E20}" name="Column5"/>
    <tableColumn id="11" xr3:uid="{95215BBB-7A24-4E0F-ADCD-1197F52B5CC6}" name="Column6"/>
    <tableColumn id="12" xr3:uid="{7ADC3A21-5E84-4812-A221-9406291FC4AF}" name="Column7"/>
    <tableColumn id="13" xr3:uid="{C5448F90-B8CD-438A-8877-504F12F8340B}" name="Column8"/>
    <tableColumn id="14" xr3:uid="{8EA84BC4-346B-4986-A4F2-69DA1FBCA260}" name="Column9"/>
    <tableColumn id="15" xr3:uid="{87242398-8077-495B-ABBE-1A4803C3DBA3}" name="Column10"/>
    <tableColumn id="16" xr3:uid="{7F9052D0-78C3-49B8-BEA6-699E35E4FBFC}" name="Column11"/>
    <tableColumn id="17" xr3:uid="{14B31C3E-78BC-493D-A21E-1F8CD29B8210}" name="Column12"/>
    <tableColumn id="18" xr3:uid="{8B65CD51-E9D7-4836-90F1-7AA3C5019DE6}" name="Column13"/>
    <tableColumn id="19" xr3:uid="{7E8BE1E0-C21A-4BF3-8B01-1D4D6C261D4B}" name="Column14"/>
    <tableColumn id="20" xr3:uid="{2C814537-8CD6-42C5-848A-92B6AAB81064}" name="Column15"/>
    <tableColumn id="21" xr3:uid="{06FAAE97-CD14-43AF-8EEE-E7601F5B7719}" name="Column16"/>
    <tableColumn id="22" xr3:uid="{8F3F24ED-BCF3-4A78-910B-791AA0CD961E}" name="Column17"/>
    <tableColumn id="23" xr3:uid="{C3A26B61-2F98-4EF5-8CFA-8485237A8B15}" name="Column18"/>
    <tableColumn id="24" xr3:uid="{21FD214E-E15D-4BF4-B2FB-98F759D90DAB}" name="Column19"/>
    <tableColumn id="25" xr3:uid="{F237E48A-EF6A-4DC8-AA60-1035D02C99BF}" name="Column20"/>
    <tableColumn id="26" xr3:uid="{611DA229-08FC-4970-9012-B6DF2A720C31}" name="Column21"/>
    <tableColumn id="27" xr3:uid="{7193ABB9-E501-4858-9BD1-32C1013B8A23}" name="Column22"/>
    <tableColumn id="28" xr3:uid="{C0781612-796F-4E6E-B7A3-1AB7599C0600}" name="Column23"/>
    <tableColumn id="29" xr3:uid="{FAB0F146-C3C1-427E-96BD-385677DD123E}" name="Column24"/>
    <tableColumn id="30" xr3:uid="{BC4BC7DA-82E8-4BF2-BD4D-45BA7D77DF65}" name="Column25"/>
    <tableColumn id="31" xr3:uid="{3FA6BFCA-70D2-4E22-9B85-FFFBE73E57E1}" name="Column26"/>
    <tableColumn id="32" xr3:uid="{8CCFCD44-F39B-4F4D-BE9E-196560E8AA7F}" name="Column27"/>
    <tableColumn id="33" xr3:uid="{1E807E04-45C7-4A69-B3C4-C262D89D2A4E}" name="Column28"/>
    <tableColumn id="34" xr3:uid="{9E8616BB-D370-47AC-B63F-5E7343991AF5}" name="Column29"/>
    <tableColumn id="35" xr3:uid="{673CFC39-169B-459C-8FAE-32DE584F74CA}" name="Column30"/>
    <tableColumn id="36" xr3:uid="{B218EADF-3375-4751-9F76-4E7753C11BB3}" name="Column31"/>
    <tableColumn id="37" xr3:uid="{5A0668A1-EE5C-4510-8DF9-1F4C6DE00FB1}" name="Column32"/>
    <tableColumn id="38" xr3:uid="{606B9A51-79FC-46D0-A4B2-5C182F9DA6A3}" name="Column33"/>
    <tableColumn id="39" xr3:uid="{9B569E3F-FA5A-494D-8CBC-3525F47A6512}" name="Column34"/>
    <tableColumn id="40" xr3:uid="{3D2EAFBE-32F4-4BC6-9118-82EFDB1D4B47}" name="Column35"/>
    <tableColumn id="41" xr3:uid="{77E8176E-56C8-4663-AC7B-ECB2AF518AB8}" name="Column36"/>
    <tableColumn id="42" xr3:uid="{3BF76E37-2C04-48A8-9A36-9F82F5F4CE3D}" name="Column37"/>
    <tableColumn id="43" xr3:uid="{94876652-FD94-4E77-895A-12D701400835}" name="Column38"/>
    <tableColumn id="44" xr3:uid="{0089839C-A82F-4A19-904A-38221920D18E}" name="Column39"/>
    <tableColumn id="45" xr3:uid="{A0E9C211-D8B5-4DAD-83BF-28D23D7A6133}" name="Column40"/>
    <tableColumn id="46" xr3:uid="{F51ED548-439C-4C84-AE93-E938E61CC348}" name="Column41"/>
    <tableColumn id="47" xr3:uid="{A6A93D9C-211C-4589-8582-B767669F3CC7}" name="Column42"/>
    <tableColumn id="48" xr3:uid="{2F0E3C0D-A24C-41C0-8030-7C5C8C73527D}" name="Column43"/>
    <tableColumn id="49" xr3:uid="{292145D5-3D24-4181-9DF5-63058BC95A2E}" name="Column44"/>
    <tableColumn id="50" xr3:uid="{BEEDB8D2-7E87-43D9-9110-ECE0E731309E}" name="Column45"/>
    <tableColumn id="51" xr3:uid="{BF6AB8EE-80D4-4251-8536-CE011C9A1A1D}" name="Column46"/>
    <tableColumn id="52" xr3:uid="{B331DAC6-C280-42F0-AECB-A0DDDE78F9E8}" name="Column47"/>
    <tableColumn id="53" xr3:uid="{68BA25EE-5AFE-4968-A16F-37D15A70FC95}" name="Column48"/>
    <tableColumn id="54" xr3:uid="{325457BB-1919-47FE-8A87-C312ED1D6289}" name="Column49"/>
    <tableColumn id="55" xr3:uid="{67E33E42-C9F5-40A6-997B-FE124DD555F0}" name="Column50"/>
    <tableColumn id="56" xr3:uid="{B26779BE-88E4-49D6-837A-8A5D3E05E690}" name="Column51"/>
    <tableColumn id="57" xr3:uid="{C90CD639-CD34-4F12-80AD-515E0E79DB13}" name="Column52"/>
    <tableColumn id="58" xr3:uid="{0F714FD6-D21E-41DC-95D4-F6D4C78EEAF4}" name="Column53"/>
    <tableColumn id="59" xr3:uid="{D9DD8191-38CF-4CAF-A80C-211990E94534}" name="Column54"/>
    <tableColumn id="60" xr3:uid="{1ABBBFCB-6C23-4986-A744-07752BC61738}" name="Column55"/>
    <tableColumn id="61" xr3:uid="{FD23C331-9C59-4AFC-9D2A-452E8A9F6638}" name="Column56"/>
    <tableColumn id="62" xr3:uid="{D7C9199D-933A-4A92-988C-717FAC4888CD}" name="Column57"/>
    <tableColumn id="63" xr3:uid="{E36AF842-FDAB-4F1D-B87A-464301419CBA}" name="Column58"/>
    <tableColumn id="64" xr3:uid="{CEF87C43-57D7-49E0-BA48-4C4288203388}" name="Column59"/>
    <tableColumn id="65" xr3:uid="{9AA960BD-D29D-4177-8A75-D50BA35F75AD}" name="Column60"/>
    <tableColumn id="66" xr3:uid="{354DE991-8EC7-4B19-A0EB-9483BFF7432F}" name="Column61"/>
    <tableColumn id="67" xr3:uid="{50E91B86-924C-47CE-826C-517D345283B0}" name="Column62"/>
    <tableColumn id="68" xr3:uid="{754D54C4-3675-4CE8-A426-255F4CD11757}" name="Column63"/>
    <tableColumn id="69" xr3:uid="{42ACF3DF-B877-4DD7-9626-039867C74741}" name="Column64"/>
    <tableColumn id="70" xr3:uid="{8E4913AC-24FF-4739-B332-BB52A4214E79}" name="Column65"/>
    <tableColumn id="71" xr3:uid="{E2C61253-3438-4836-8ED0-0BD31AFB7490}" name="Column66"/>
    <tableColumn id="72" xr3:uid="{EA314269-7055-407E-B875-08782CBFFB05}" name="Column67"/>
    <tableColumn id="73" xr3:uid="{A700EC41-2253-4723-91A1-EE1227A4B0A9}" name="Column68"/>
    <tableColumn id="74" xr3:uid="{E0D7FEED-CE31-4A30-A747-0AC1C92D796C}" name="Column69"/>
    <tableColumn id="75" xr3:uid="{7396B945-57DB-4C56-91EE-8120F547D18A}" name="Column70"/>
    <tableColumn id="76" xr3:uid="{9A51F589-5DB7-4FDE-BDD8-1B8FCEECE212}" name="Column71"/>
    <tableColumn id="77" xr3:uid="{DAEEC379-A1FD-437A-A508-6500922AA26F}" name="Column72"/>
    <tableColumn id="78" xr3:uid="{D9034934-304E-42A7-99F2-E432E331BFB2}" name="Column73"/>
    <tableColumn id="79" xr3:uid="{203B80B9-7506-4CA0-9893-893CD7A68022}" name="Column74"/>
    <tableColumn id="80" xr3:uid="{FD9C6536-7F94-46CA-95A8-43B60B35374B}" name="Column75"/>
    <tableColumn id="81" xr3:uid="{92936D12-C402-4E41-82A8-D5E7651B279C}" name="Column76"/>
    <tableColumn id="82" xr3:uid="{00647F7A-B38C-4F5A-8FE9-A4F5CD80573C}" name="Column77"/>
    <tableColumn id="83" xr3:uid="{8F61268A-8B40-4192-8E5E-9F7710ED380C}" name="Column78"/>
    <tableColumn id="84" xr3:uid="{460805CC-9D43-48C9-9A96-11C4DCA29014}" name="Column79"/>
    <tableColumn id="85" xr3:uid="{20DDB6B0-28E1-46C8-BB6E-EDB42005D555}" name="Column80"/>
    <tableColumn id="86" xr3:uid="{F864A50B-6CB3-4888-9D01-91613948144E}" name="Column81"/>
    <tableColumn id="87" xr3:uid="{AA88ED93-DC3F-4C05-A746-58BC71CAEADA}" name="Column82"/>
    <tableColumn id="88" xr3:uid="{5A73992C-F8DB-4D36-A0F3-FCA9607A5BCD}" name="Column83"/>
    <tableColumn id="89" xr3:uid="{803A3052-CC0E-4358-ADB2-BB28F5E8C983}" name="Column84"/>
    <tableColumn id="90" xr3:uid="{FCCCF7CD-71A3-454E-89C9-E95CE99DEE36}" name="Column85"/>
    <tableColumn id="91" xr3:uid="{C6792709-ADC0-4384-AFF7-048F2A3685A6}" name="Column86"/>
    <tableColumn id="92" xr3:uid="{05829BE3-0BF8-4A5B-A9A9-1091C511D440}" name="Column87"/>
    <tableColumn id="93" xr3:uid="{5A78D720-F547-4794-8C65-BC1F26460AC2}" name="Column88"/>
    <tableColumn id="94" xr3:uid="{979067FD-6203-49E1-B286-42F2D9602E59}" name="Column89"/>
    <tableColumn id="95" xr3:uid="{9F46BE7D-F943-474F-A6A9-4FCCFF802F54}" name="Column90"/>
    <tableColumn id="96" xr3:uid="{9F1660E8-2A3B-4F57-9719-B424B26D4B9D}" name="Column91"/>
    <tableColumn id="97" xr3:uid="{5FD9E249-190E-4504-A133-305DE362A91C}" name="Column92"/>
    <tableColumn id="98" xr3:uid="{68A1FCAA-5E60-46E3-B138-EE6541B62992}" name="Column93"/>
    <tableColumn id="99" xr3:uid="{7487F0FB-FFD4-4DCB-A3DA-B1057AB21CA8}" name="Column94"/>
    <tableColumn id="100" xr3:uid="{C4EE37AF-C670-4504-9FAF-120474F81BEA}" name="Column95"/>
    <tableColumn id="101" xr3:uid="{60DC2545-F6E3-44BC-B0B1-16EFC2596E9E}" name="Column96"/>
    <tableColumn id="102" xr3:uid="{11CD63A3-3B0A-4C20-B48D-FF3322CCAF32}" name="Column97"/>
    <tableColumn id="103" xr3:uid="{B31B4ACD-7A59-430F-B384-AA29ABF6ECC5}" name="Column98"/>
    <tableColumn id="104" xr3:uid="{C1A4A366-C07D-436F-9293-B4E06CA7DE14}" name="Column99"/>
    <tableColumn id="105" xr3:uid="{111C106C-96A7-4B64-9405-3568025D6487}" name="Column100"/>
    <tableColumn id="106" xr3:uid="{ABF7137A-1137-49EC-AE3A-6C7C824303C0}" name="Column101"/>
    <tableColumn id="107" xr3:uid="{0375E358-8FED-49F3-93B9-41BA7953F6D4}" name="Column102"/>
    <tableColumn id="108" xr3:uid="{99048C3D-2E34-47CE-BD58-9B35CAEFBF2B}" name="Column103"/>
    <tableColumn id="109" xr3:uid="{020A2131-8F33-4102-832A-940DDD8DC9BB}" name="Column104"/>
    <tableColumn id="110" xr3:uid="{20F870E7-9EAA-4722-AC1D-9F50302C7220}" name="Column105"/>
    <tableColumn id="111" xr3:uid="{FC639D5F-4D1D-4BF0-9912-C641CC30C103}" name="Column106"/>
    <tableColumn id="112" xr3:uid="{3F55D0CE-9A36-4B4C-8E21-63AD22A87C84}" name="Column107"/>
    <tableColumn id="113" xr3:uid="{5978B7DC-3C60-4A33-AB37-7647ED72CB92}" name="Column108"/>
    <tableColumn id="114" xr3:uid="{F5F448D5-94E5-4EA8-B434-ED0DBE49263E}" name="Column109"/>
    <tableColumn id="115" xr3:uid="{26EE220E-F3BF-4AB3-9889-EE60A177FC72}" name="Column110"/>
    <tableColumn id="116" xr3:uid="{7798BCDD-DBCF-4F4D-9F43-870EE95C6630}" name="Column111"/>
    <tableColumn id="117" xr3:uid="{C4CDC640-3998-42A3-ADF8-8525578382D0}" name="Column112"/>
    <tableColumn id="118" xr3:uid="{A5E50D1C-CCCD-4D1E-995F-DE79537350CD}" name="Column113"/>
    <tableColumn id="119" xr3:uid="{5A9FB90F-803E-42DA-B1B3-D2433B4CE680}" name="Column114"/>
    <tableColumn id="120" xr3:uid="{061174CE-6EC6-4572-9248-2B5DEA4951FD}" name="Column115"/>
    <tableColumn id="121" xr3:uid="{B3DCDF68-69CA-4070-AAD1-85EA87D923FC}" name="Column116"/>
    <tableColumn id="122" xr3:uid="{EC716654-F872-4AC4-B6A9-5C6370DDD5CA}" name="Column117"/>
    <tableColumn id="123" xr3:uid="{61474477-8C9B-4B70-99F6-79F2B49435C1}" name="Column118"/>
    <tableColumn id="124" xr3:uid="{6F6BA766-160B-4E09-A28D-8CA3886F7812}" name="Column119"/>
    <tableColumn id="125" xr3:uid="{D2364925-3510-4A47-B485-7D0CF99B6F7C}" name="Column120"/>
    <tableColumn id="126" xr3:uid="{A2F5FFA0-3815-4C8B-ABA4-FD9DD9B7132C}" name="Column121"/>
    <tableColumn id="127" xr3:uid="{AEF1A586-039A-4EAD-83AA-892DDD55E089}" name="Column122"/>
    <tableColumn id="128" xr3:uid="{C9B54E9C-1048-4304-A5DE-8C5EEC0C23BB}" name="Column123"/>
    <tableColumn id="129" xr3:uid="{0C0873D6-8785-4266-A2EC-AC9A4DEB1C26}" name="Column124"/>
    <tableColumn id="130" xr3:uid="{71F6CEAC-B130-4707-A961-E7624429F2A8}" name="Column125"/>
    <tableColumn id="131" xr3:uid="{EA520164-749D-4218-AAF2-DBA0D9F0B42A}" name="Column126"/>
    <tableColumn id="132" xr3:uid="{7DFC22A3-16EC-4413-9E20-FB9C68D07131}" name="Column127"/>
    <tableColumn id="133" xr3:uid="{358E094C-2AA0-4A33-9A87-947D60538794}" name="Column128"/>
    <tableColumn id="134" xr3:uid="{457B4995-30C6-45DC-864A-871F68490CBB}" name="Column129"/>
    <tableColumn id="135" xr3:uid="{D3C26C13-735E-4BFD-9A1B-93E57960FFEA}" name="Column130"/>
    <tableColumn id="136" xr3:uid="{39DE7B6E-360C-410F-A431-8CC003171D80}" name="Column131"/>
    <tableColumn id="137" xr3:uid="{8AB78521-FD3E-4AED-95F1-6D32A0281A79}" name="Column132"/>
    <tableColumn id="138" xr3:uid="{0C7F94E0-D57B-4687-A0BD-8FF2D5320E6E}" name="Column133"/>
    <tableColumn id="139" xr3:uid="{32CFB2EB-CDB5-4A76-8726-7E850861DB8D}" name="Column134"/>
    <tableColumn id="140" xr3:uid="{028B40A6-98F2-49C2-A430-FB71E8E379AB}" name="Column135"/>
    <tableColumn id="141" xr3:uid="{831A41FB-6463-4B36-A1C5-AA49F009BA65}" name="Column136"/>
    <tableColumn id="142" xr3:uid="{4D33767A-2A04-4005-A44E-F5F252B03832}" name="Column137"/>
    <tableColumn id="143" xr3:uid="{0D1C41F0-0620-4402-8415-2C2C8AE1702B}" name="Column138"/>
    <tableColumn id="144" xr3:uid="{64AC75A4-A84F-40D7-80B3-0697E6E1E397}" name="Column139"/>
    <tableColumn id="145" xr3:uid="{9C061D13-9763-463D-9762-EF9EBB81776E}" name="Column140"/>
    <tableColumn id="146" xr3:uid="{82734B87-CC2D-481C-B44E-BC2026B0A990}" name="Column141"/>
    <tableColumn id="147" xr3:uid="{BE42A185-DD0C-4D4B-BC27-26DA39000F35}" name="Column142"/>
    <tableColumn id="148" xr3:uid="{4FBAC548-4FA2-4305-BD1D-2C10059E2B36}" name="Column143"/>
    <tableColumn id="149" xr3:uid="{39C46ED9-A586-4329-9496-284E807F2A6E}" name="Column144"/>
    <tableColumn id="150" xr3:uid="{241CBB63-A64B-44A1-9358-EF13FEED0779}" name="Column145"/>
    <tableColumn id="151" xr3:uid="{BAFA49E5-28B2-4033-9FD3-27BAA7DD132B}" name="Column146"/>
    <tableColumn id="152" xr3:uid="{F7EA5572-A67E-49E3-B656-B459E100CFB9}" name="Column147"/>
    <tableColumn id="153" xr3:uid="{0DE171C2-DC67-45DB-AD83-306D81790EBF}" name="Column148"/>
    <tableColumn id="154" xr3:uid="{0A27C4AD-A7D3-40E5-B38B-819F0A0D5EF3}" name="Column149"/>
    <tableColumn id="155" xr3:uid="{82D634C3-05AD-42FD-B5CD-00D0FEF6214B}" name="Column150"/>
    <tableColumn id="156" xr3:uid="{F55CB93A-9575-4D6F-825D-5EA3A5B77CC0}" name="Column151"/>
    <tableColumn id="157" xr3:uid="{81A44420-B9C1-474E-A713-7BC36CE2C82A}" name="Column152"/>
    <tableColumn id="158" xr3:uid="{49A17DDE-7FD5-4A9E-BDEB-BE9C94354CCA}" name="Column153"/>
    <tableColumn id="159" xr3:uid="{8F37A16D-6599-4D9D-8DC4-ECDF63859C35}" name="Column154"/>
    <tableColumn id="160" xr3:uid="{887351D8-BC1D-4A73-AF9A-3A2C47FE0C71}" name="Column155"/>
    <tableColumn id="161" xr3:uid="{27C344C6-2654-42B6-B15C-90501A24BD5D}" name="Column156"/>
    <tableColumn id="162" xr3:uid="{6E5179EA-8082-4CDC-AE2E-D77EC56494FF}" name="Column157"/>
    <tableColumn id="163" xr3:uid="{1720064C-B8CB-4FE9-BF92-125A8058A866}" name="Column158"/>
    <tableColumn id="164" xr3:uid="{39694D37-1E02-45F1-8C49-1E38726C8B9D}" name="Column159"/>
    <tableColumn id="165" xr3:uid="{D22DCC10-3161-4905-B543-383C32065C26}" name="Column160"/>
    <tableColumn id="166" xr3:uid="{F7BED402-21EB-4CC5-BB5C-383AA9DB660C}" name="Column161"/>
    <tableColumn id="167" xr3:uid="{37434D68-5A2C-40CA-B6BE-BC6BD43E40AC}" name="Column162"/>
    <tableColumn id="168" xr3:uid="{B498F52D-264D-4E7B-B00D-AB7DDC2A8E0A}" name="Column163"/>
    <tableColumn id="169" xr3:uid="{99AF2FB7-DADE-4136-89F8-5BF14B2C6D69}" name="Column164"/>
    <tableColumn id="170" xr3:uid="{26D097E4-0DCC-4682-9D2D-809CDEF94845}" name="Column165"/>
    <tableColumn id="171" xr3:uid="{CE30D54F-FA52-4834-B78E-0C13ACFAF72F}" name="Column166"/>
    <tableColumn id="172" xr3:uid="{F5FDDE6C-91CC-4D47-AF1D-1945F111EF88}" name="Column167"/>
    <tableColumn id="173" xr3:uid="{576FB765-617C-418A-834C-E7923B66E4AB}" name="Column168"/>
    <tableColumn id="174" xr3:uid="{24F5F559-7423-4D40-A666-8A5602C0BE09}" name="Column169"/>
    <tableColumn id="175" xr3:uid="{E38F5D08-BC6A-4D12-AFE7-F887211BBAEB}" name="Column170"/>
    <tableColumn id="176" xr3:uid="{B125C476-5E6C-4E7B-9C38-63615B9F5A04}" name="Column171"/>
    <tableColumn id="177" xr3:uid="{1F7EFAD3-573F-490B-9E63-4E792462577C}" name="Column172"/>
    <tableColumn id="178" xr3:uid="{D158BC04-1C3D-406E-B84F-D34CA5F75B23}" name="Column173"/>
    <tableColumn id="179" xr3:uid="{00E142B7-F50C-4F50-AC7B-96D6E5BC1045}" name="Column174"/>
    <tableColumn id="180" xr3:uid="{62C8C60B-0C33-445E-9141-1380592FE36C}" name="Column175"/>
    <tableColumn id="181" xr3:uid="{757FD67F-2D0F-49F5-84F1-58281BE9CEC3}" name="Column176"/>
    <tableColumn id="182" xr3:uid="{7BD3DF3B-4A5D-446B-A3C9-A82C41B14B06}" name="Column177"/>
    <tableColumn id="183" xr3:uid="{B33B9B6B-6E00-455A-A4CD-90A8E10333F4}" name="Column178"/>
    <tableColumn id="184" xr3:uid="{4B8DBE72-B147-4D11-9611-C855095B29D4}" name="Column179"/>
    <tableColumn id="185" xr3:uid="{372E0021-3A80-4A9F-857C-8B5065C6264E}" name="Column180"/>
    <tableColumn id="186" xr3:uid="{C3268823-72B4-4692-9AEE-4EB292ED1748}" name="Column181"/>
    <tableColumn id="187" xr3:uid="{BC1905ED-FE3C-4259-9387-AB4850D07167}" name="Column182"/>
    <tableColumn id="188" xr3:uid="{0F96BDDA-95AB-41DB-B2A6-56ED557E8EFC}" name="Column183"/>
    <tableColumn id="189" xr3:uid="{CC445C1A-E7BB-499E-A401-1516B727B2C8}" name="Column184"/>
    <tableColumn id="190" xr3:uid="{AC19ACE3-9E1C-4548-BC40-A0875210FD6E}" name="Column185"/>
    <tableColumn id="191" xr3:uid="{7F5D712C-FDDE-468D-999F-E0773E2A66D3}" name="Column186"/>
    <tableColumn id="192" xr3:uid="{C2DA2FC0-1198-4458-8504-EFD8E3768B5F}" name="Column187"/>
    <tableColumn id="193" xr3:uid="{15E02649-FEBB-4C2F-9DEE-606AB2949358}" name="Column188"/>
    <tableColumn id="194" xr3:uid="{8760C72B-0B28-42D5-8054-7E19F458327A}" name="Column189"/>
    <tableColumn id="195" xr3:uid="{52B27E3D-8C39-43B2-9984-362F9FE55D91}" name="Column190"/>
    <tableColumn id="196" xr3:uid="{FD0330CA-A309-4E73-8BEA-5B8F8F92464E}" name="Column191"/>
    <tableColumn id="197" xr3:uid="{A91170CA-BF06-4B8B-A261-D6C603364DDD}" name="Column192"/>
    <tableColumn id="198" xr3:uid="{742DBB38-7527-460F-B011-D7E4743D333D}" name="Column193"/>
    <tableColumn id="199" xr3:uid="{20B2BF6D-95A8-40A4-9135-B6DB0B08538F}" name="Column194"/>
    <tableColumn id="200" xr3:uid="{C6EC4142-4A8C-47E4-8AC7-8C9DFDE2D1CF}" name="Column195"/>
    <tableColumn id="201" xr3:uid="{03E2B28E-E274-497B-96C1-758D404AD289}" name="Column196"/>
    <tableColumn id="202" xr3:uid="{CD86E8D5-2BC2-4C06-972B-B16C6A421B1B}" name="Column197"/>
    <tableColumn id="203" xr3:uid="{A5124C72-A5DB-4F93-B701-9F593248B513}" name="Column198"/>
    <tableColumn id="204" xr3:uid="{15E0DF1E-8461-4A4C-98D8-C8F6E997308D}" name="Column199"/>
    <tableColumn id="205" xr3:uid="{6C61335C-10F6-4368-A4B4-5C8F221D8EA0}" name="Column200"/>
    <tableColumn id="206" xr3:uid="{1E9D8B59-444D-4A3D-A101-D13CA5B4E89E}" name="Column201"/>
    <tableColumn id="207" xr3:uid="{6DE865D7-20B0-477C-8AC8-DF63ADA12004}" name="Column202"/>
    <tableColumn id="208" xr3:uid="{F2F61C4D-589F-4338-A5EF-2E8028227DFA}" name="Column203"/>
    <tableColumn id="209" xr3:uid="{35613531-CB70-45A2-8B87-F2F01A47108D}" name="Column204"/>
    <tableColumn id="210" xr3:uid="{648DBE32-88E8-49BD-AA53-992DFA3D3B78}" name="Column205"/>
    <tableColumn id="211" xr3:uid="{C31AEE62-9545-41F5-A7B0-3B9C8DE6CAE9}" name="Column206"/>
    <tableColumn id="212" xr3:uid="{7DA8EC18-8368-488C-8A37-DDBD91202BE5}" name="Column207"/>
    <tableColumn id="213" xr3:uid="{B0D4FD21-3B53-4955-8EA7-1805259F8134}" name="Column208"/>
    <tableColumn id="214" xr3:uid="{2AAA72EA-9D41-42DE-B504-C97A89A73634}" name="Column209"/>
    <tableColumn id="215" xr3:uid="{8A433679-3EF2-4626-8B02-8B1104648A94}" name="Column210"/>
    <tableColumn id="216" xr3:uid="{0ADDF9BD-22B0-4A80-A76B-5224E82E7729}" name="Column211"/>
    <tableColumn id="217" xr3:uid="{FF276866-3F66-484F-B214-85F19BA0C6FE}" name="Column212"/>
    <tableColumn id="218" xr3:uid="{8F50B838-6E0E-4979-A824-A32293364842}" name="Column213"/>
    <tableColumn id="219" xr3:uid="{AB0C6AF6-DE44-41DB-8486-EED81E6D3C16}" name="Column214"/>
    <tableColumn id="220" xr3:uid="{3ED2FFA8-C5C7-44B2-AE0D-C8D283BCA535}" name="Column215"/>
    <tableColumn id="221" xr3:uid="{690FCFC5-4F7A-4B96-BEBD-E0F247A21B10}" name="Column216"/>
    <tableColumn id="222" xr3:uid="{C054DFFC-3664-472E-8C1A-07577A9DBF10}" name="Column217"/>
    <tableColumn id="223" xr3:uid="{B45B65AE-01F6-4BA7-8EA7-869C984EBC1E}" name="Column218"/>
    <tableColumn id="224" xr3:uid="{B81772F3-B08D-432F-803C-41A6AC5ECFB1}" name="Column219"/>
    <tableColumn id="225" xr3:uid="{1D40DB70-34AB-43FE-BD2A-62E583E55B3D}" name="Column220"/>
    <tableColumn id="226" xr3:uid="{55DB1DA6-F68E-4AA3-9398-7DA437D5AB08}" name="Column221"/>
    <tableColumn id="227" xr3:uid="{0E959EE4-F810-4BC5-A8EA-F22EB2FBE61D}" name="Column222"/>
    <tableColumn id="228" xr3:uid="{9C0FB13B-1524-49A5-97CB-40DB91738756}" name="Column223"/>
    <tableColumn id="229" xr3:uid="{212FE7F6-D4A1-407A-8B01-50C05EABD058}" name="Column224"/>
    <tableColumn id="230" xr3:uid="{316028CB-68E5-41F1-81E0-68569E1929B5}" name="Column225"/>
    <tableColumn id="231" xr3:uid="{9AC5923B-93ED-4EF0-8D04-A552D5956C1B}" name="Column226"/>
    <tableColumn id="232" xr3:uid="{CFB0D054-E21C-4AC4-9C71-03942A696BC7}" name="Column227"/>
    <tableColumn id="233" xr3:uid="{02EDA1F7-4B51-4240-82CD-6F3A971CD183}" name="Column228"/>
    <tableColumn id="234" xr3:uid="{4328E32C-90AE-4CED-94B0-91A02B53E2DE}" name="Column229"/>
    <tableColumn id="235" xr3:uid="{3FFF5D20-A6B7-4546-8F46-46ACA5C3637B}" name="Column230"/>
    <tableColumn id="236" xr3:uid="{933B00B8-AD2B-42BC-9DD0-BA3E2447C0B6}" name="Column231"/>
    <tableColumn id="237" xr3:uid="{D4426685-CE26-4AF3-8D0E-9581511AC7D1}" name="Column232"/>
    <tableColumn id="238" xr3:uid="{2086DE86-A7FD-4039-A010-BED21B8B0F17}" name="Column233"/>
    <tableColumn id="239" xr3:uid="{B63950D5-4185-4734-A61B-3385A9E943CC}" name="Column234"/>
    <tableColumn id="240" xr3:uid="{17534601-E697-4BD0-88D1-09E2F05AD606}" name="Column235"/>
    <tableColumn id="241" xr3:uid="{32A25A7B-3B66-4DA0-BC28-BA541B6EFB41}" name="Column236"/>
    <tableColumn id="242" xr3:uid="{6630C831-C3FF-4197-AAB7-5B531FB4E605}" name="Column237"/>
    <tableColumn id="243" xr3:uid="{54B48FA9-49FC-4C99-91FF-2B9C38E46374}" name="Column238"/>
    <tableColumn id="244" xr3:uid="{C51BD688-FB60-461E-9F34-19A2B85D8D35}" name="Column239"/>
    <tableColumn id="245" xr3:uid="{D9105B62-257C-461D-9260-2742F18F221B}" name="Column240"/>
    <tableColumn id="246" xr3:uid="{15C24A1E-0237-4980-A2C1-A5B87E2EB9EA}" name="Column241"/>
    <tableColumn id="247" xr3:uid="{431A1CDE-F1DF-4D93-863F-7F129325CB20}" name="Column242"/>
    <tableColumn id="248" xr3:uid="{375B1E29-9477-4BC6-9975-B38533485B72}" name="Column243"/>
    <tableColumn id="249" xr3:uid="{99E7FF47-6BD9-496A-A70A-C5AFC1EFC3F1}" name="Column244"/>
    <tableColumn id="250" xr3:uid="{748E6703-1A81-4805-BC75-DD1F6FDDC241}" name="Column245"/>
    <tableColumn id="251" xr3:uid="{E2D767AD-0253-4B79-9431-29CB4874976C}" name="Column246"/>
    <tableColumn id="252" xr3:uid="{3CA26CA8-2896-488F-B4F6-2E9439E3048E}" name="Column247"/>
    <tableColumn id="253" xr3:uid="{DBB256DC-EC07-4FF7-971C-AF7B048151F6}" name="Column248"/>
    <tableColumn id="254" xr3:uid="{F3E9C4C3-1487-4D72-9DCA-50CF802DF623}" name="Column249"/>
    <tableColumn id="255" xr3:uid="{0B35BD20-B78F-4661-995A-1B6E1F74F052}" name="Column250"/>
    <tableColumn id="256" xr3:uid="{9271F7F3-2DB1-4D59-9B94-30C2EC9AD823}" name="Column251"/>
    <tableColumn id="257" xr3:uid="{44BB4940-7E82-4715-AD72-E507E6649858}" name="Column252"/>
    <tableColumn id="258" xr3:uid="{016DC395-C77E-4456-972E-7A9F0A53CC10}" name="Column253"/>
    <tableColumn id="259" xr3:uid="{944BD2FE-D5E1-40E2-B00E-7D48C23DD5D4}" name="Column254"/>
    <tableColumn id="260" xr3:uid="{8AEFF03E-F7A4-4FFD-9E08-85FEA416F5B6}" name="Column255"/>
    <tableColumn id="261" xr3:uid="{FE4B3A17-CC23-459C-BBCA-FD6512757FE6}" name="Column256"/>
    <tableColumn id="262" xr3:uid="{AA43B35E-BC26-48D4-9E1A-5A5392FFFBB6}" name="Column257"/>
    <tableColumn id="263" xr3:uid="{6D8E7ACA-E603-4DEC-BE94-BD933E192539}" name="Column258"/>
    <tableColumn id="264" xr3:uid="{1434F04B-C32D-4057-8BA1-D8F3C9D4219B}" name="Column259"/>
    <tableColumn id="265" xr3:uid="{5604A8EA-88F2-4DAF-87AB-AA0E9622C388}" name="Column260"/>
    <tableColumn id="266" xr3:uid="{4D68833F-85F4-44FC-A304-07C1AA329F30}" name="Column261"/>
    <tableColumn id="267" xr3:uid="{DC2AFAA8-D29A-4966-A287-C45AE6DBD970}" name="Column262"/>
    <tableColumn id="268" xr3:uid="{0AE0D827-8BBE-494D-9488-555B91840956}" name="Column263"/>
    <tableColumn id="269" xr3:uid="{7311EF4A-3167-41E3-9D3B-EC79B4635659}" name="Column264"/>
    <tableColumn id="270" xr3:uid="{6D5F2124-AB11-4EC2-A227-225A5CA00B33}" name="Column265"/>
    <tableColumn id="271" xr3:uid="{C567FEE6-6F81-422D-8EB5-A014BFC03707}" name="Column266"/>
    <tableColumn id="272" xr3:uid="{695DC15C-A308-4ED6-9AA8-BD0E7AB1E12A}" name="Column267"/>
    <tableColumn id="273" xr3:uid="{9165D88B-2835-40DE-8EDF-16B343446B49}" name="Column268"/>
    <tableColumn id="274" xr3:uid="{FF22BF71-ED6C-43C4-ACF6-E80022A1BE26}" name="Column269"/>
    <tableColumn id="275" xr3:uid="{72B45C04-C3FE-4D8B-98F2-F9542F32C51E}" name="Column270"/>
    <tableColumn id="276" xr3:uid="{3E5DEE0D-C414-474E-AF15-881AE0349810}" name="Column271"/>
    <tableColumn id="277" xr3:uid="{DB3A5479-EA74-4287-83B3-46CE1536C3F0}" name="Column272"/>
    <tableColumn id="278" xr3:uid="{603862A1-87E4-48AF-9605-903D058AA0F8}" name="Column273"/>
    <tableColumn id="279" xr3:uid="{E3F409E0-D592-493B-BC88-6637D131DD00}" name="Column274"/>
    <tableColumn id="280" xr3:uid="{375BD4F3-6BA7-42EF-9146-87FD3D63D02C}" name="Column275"/>
    <tableColumn id="281" xr3:uid="{05E971B4-1901-4308-986F-CDCF89493D83}" name="Column276"/>
    <tableColumn id="282" xr3:uid="{5BAE530D-7075-45A8-91D9-818A33EBA7A8}" name="Column277"/>
    <tableColumn id="283" xr3:uid="{E761473C-65BE-448F-9782-FE7FA85F1B87}" name="Column278"/>
    <tableColumn id="284" xr3:uid="{CE999A57-0291-4BF8-B529-F4523F01BC1C}" name="Column279"/>
    <tableColumn id="285" xr3:uid="{30E4264B-24EA-48F4-801C-B6639C56F8A7}" name="Column280"/>
    <tableColumn id="286" xr3:uid="{2A1B5A88-95F8-42F4-B43D-F61A3F2C5B9D}" name="Column281"/>
    <tableColumn id="287" xr3:uid="{068AADB6-EF93-4DA4-8959-F2183778A7F1}" name="Column282"/>
    <tableColumn id="288" xr3:uid="{8684F0E1-B4AC-422C-9A1D-F20BBAFA985E}" name="Column283"/>
    <tableColumn id="289" xr3:uid="{2E68AA20-AE83-41BE-891F-5A35A2F4CB88}" name="Column284"/>
    <tableColumn id="290" xr3:uid="{BCAA8C33-C3E6-4113-9792-895A8C7E9A7F}" name="Column285"/>
    <tableColumn id="291" xr3:uid="{4009E45A-4CF4-4B67-8593-63DCBAA553B7}" name="Column286"/>
    <tableColumn id="292" xr3:uid="{7E54363E-670F-426D-9452-94A349B52AFA}" name="Column287"/>
    <tableColumn id="293" xr3:uid="{F1E3DA56-0956-49E3-A0AD-459004AB4354}" name="Column288"/>
    <tableColumn id="294" xr3:uid="{D5ECE417-9A9B-4A92-9578-5CED1B0BF2A2}" name="Column289"/>
    <tableColumn id="295" xr3:uid="{0346538C-FE49-4A87-BF02-5F5C3E217AF0}" name="Column290"/>
    <tableColumn id="296" xr3:uid="{A6CEB971-65C7-4115-968B-D49ECE2CE39B}" name="Column291"/>
    <tableColumn id="297" xr3:uid="{7035B3A6-7DB2-4E84-935A-EEF1806FA29A}" name="Column292"/>
    <tableColumn id="298" xr3:uid="{7C3B559D-0261-4150-A4F5-52098FCF7711}" name="Column293"/>
    <tableColumn id="299" xr3:uid="{9D3BCB7E-78B7-4BF5-857D-80FA10A8A158}" name="Column294"/>
    <tableColumn id="300" xr3:uid="{71E5CEBD-B2A3-4E2E-B297-C6D4AADBC224}" name="Column295"/>
    <tableColumn id="301" xr3:uid="{D0D4133B-F1DB-4EB4-A70A-65BF273EF72D}" name="Column296"/>
    <tableColumn id="302" xr3:uid="{4905674B-619C-42DD-AD87-51C0D6FF60A5}" name="Column297"/>
    <tableColumn id="303" xr3:uid="{AF211930-FC4E-4231-82BD-73D49B192D05}" name="Column298"/>
    <tableColumn id="304" xr3:uid="{BE3ACAF8-8E74-474E-A949-548BD1CF318F}" name="Column299"/>
    <tableColumn id="305" xr3:uid="{5E52F4EC-7CFD-4B78-81BE-F286830A0963}" name="Column300"/>
    <tableColumn id="306" xr3:uid="{0DD3F5DC-BB30-4769-9709-F115B6FEC4DD}" name="Column301"/>
    <tableColumn id="307" xr3:uid="{04CB64D2-7E40-4B9C-A339-95B9B9DF1D34}" name="Column302"/>
    <tableColumn id="308" xr3:uid="{4816BD5A-DBCE-4237-83E6-06D8ADD5324A}" name="Column303"/>
    <tableColumn id="309" xr3:uid="{49525121-2695-4EFA-93A4-DFA86D1C5FF1}" name="Column304"/>
    <tableColumn id="310" xr3:uid="{4B148325-B710-4366-A5B1-45CC808DFD6E}" name="Column305"/>
    <tableColumn id="311" xr3:uid="{466BA827-A476-493C-BB92-FA85838E18DD}" name="Column306"/>
    <tableColumn id="312" xr3:uid="{304B1355-4BBD-4627-8623-C357027E9873}" name="Column307"/>
    <tableColumn id="313" xr3:uid="{B94D73DC-AD68-43F4-897B-11A9D35677B2}" name="Column308"/>
    <tableColumn id="314" xr3:uid="{1F266446-FF64-4724-9A5F-045D2F5446D0}" name="Column309"/>
    <tableColumn id="315" xr3:uid="{B93482D9-BA6F-4F76-8507-35E373EDCDE0}" name="Column310"/>
    <tableColumn id="316" xr3:uid="{686A93E4-1CD7-489F-9862-C32B1B239E3E}" name="Column311"/>
    <tableColumn id="317" xr3:uid="{E034EB1C-50A5-4DE9-BC0C-FFDEE7C46694}" name="Column312"/>
    <tableColumn id="318" xr3:uid="{55F3A873-83A0-4D89-BC05-F17EE2956CB7}" name="Column313"/>
    <tableColumn id="319" xr3:uid="{FE90EB2D-26B6-4A1F-98BD-49C55E997DC7}" name="Column314"/>
    <tableColumn id="320" xr3:uid="{E353FB1A-916B-4F91-99F3-639701205440}" name="Column315"/>
    <tableColumn id="321" xr3:uid="{D83837AD-3704-4882-8383-F1D2576CBC4F}" name="Column316"/>
    <tableColumn id="322" xr3:uid="{EA7A10A6-FBC8-4642-BECA-EFBEB7869C13}" name="Column317"/>
    <tableColumn id="323" xr3:uid="{8B414B95-C72D-4641-B8A1-07448FE8F818}" name="Column318"/>
    <tableColumn id="324" xr3:uid="{5A4ED27A-B012-4330-9BEC-772DA5F58ED2}" name="Column319"/>
    <tableColumn id="325" xr3:uid="{704E8227-5FDD-4CD2-B98A-0CB13D024E27}" name="Column320"/>
    <tableColumn id="326" xr3:uid="{C473CB96-F48C-40C1-B3FD-A2C673FE6CD3}" name="Column321"/>
    <tableColumn id="327" xr3:uid="{7546DC7F-2BB6-4D6A-A92A-4064A325064E}" name="Column322"/>
    <tableColumn id="328" xr3:uid="{DB158ABD-C10C-457E-96CF-441079C573BA}" name="Column323"/>
    <tableColumn id="329" xr3:uid="{7FD93A1F-8911-4F92-9D6B-B2BC23E7520A}" name="Column324"/>
    <tableColumn id="330" xr3:uid="{A4EAAF3F-59D2-401E-BB56-BD2CD5A232D2}" name="Column325"/>
    <tableColumn id="331" xr3:uid="{F5E82C72-92E4-4395-8117-EC5ADB56C2EE}" name="Column326"/>
    <tableColumn id="332" xr3:uid="{A606068E-47CB-4EA3-AE05-1826AEF833A2}" name="Column327"/>
    <tableColumn id="333" xr3:uid="{6C302C60-E42B-45E2-9644-C64786DBC83E}" name="Column328"/>
    <tableColumn id="334" xr3:uid="{35E83C52-5F91-4E24-933E-CA044E30447E}" name="Column329"/>
    <tableColumn id="335" xr3:uid="{961E5F99-CE59-4062-870A-B9F9EB53C918}" name="Column330"/>
    <tableColumn id="336" xr3:uid="{97EE04E2-D506-4960-B05D-63C3E9308853}" name="Column331"/>
    <tableColumn id="337" xr3:uid="{431E1601-E3DB-4E2F-9973-7AFD37A7096F}" name="Column332"/>
    <tableColumn id="338" xr3:uid="{6E9D2F2C-3921-411B-B41C-241800E64F0C}" name="Column333"/>
    <tableColumn id="339" xr3:uid="{D2852049-79AF-4E4D-B1D6-26A95793C8A1}" name="Column334"/>
    <tableColumn id="340" xr3:uid="{B85B797C-7374-410B-A1EF-53333935E8A2}" name="Column335"/>
    <tableColumn id="341" xr3:uid="{C8F93326-BD9C-4B94-9932-212D0F6C05B2}" name="Column336"/>
    <tableColumn id="342" xr3:uid="{0682ACB2-BF09-482E-9DDF-D567D31CF088}" name="Column337"/>
    <tableColumn id="343" xr3:uid="{AF0C3DC6-AC07-4C93-9033-454442280044}" name="Column338"/>
    <tableColumn id="344" xr3:uid="{FD2CEF54-AF03-4CA4-8FF1-B1597CE62BDD}" name="Column339"/>
    <tableColumn id="345" xr3:uid="{6D29C574-1DCB-458A-9A1E-AE778E4CA45B}" name="Column340"/>
    <tableColumn id="346" xr3:uid="{CE4CED64-AC63-4EA3-9832-D4E5D4272DDA}" name="Column341"/>
    <tableColumn id="347" xr3:uid="{115D75F0-E326-4B8F-A65D-E74E500A31CB}" name="Column342"/>
    <tableColumn id="348" xr3:uid="{91F7054A-1BCA-478C-8ADB-4FCC6A2C7726}" name="Column343"/>
    <tableColumn id="349" xr3:uid="{C5A4CA84-F73D-46E7-8665-12DB8262E64D}" name="Column344"/>
    <tableColumn id="350" xr3:uid="{1D3AA139-3CFE-4BC9-A2A7-DF4A6800F186}" name="Column345"/>
    <tableColumn id="351" xr3:uid="{D4DDB530-2A0F-4954-8FB7-7A1DF0E6D0BB}" name="Column346"/>
    <tableColumn id="352" xr3:uid="{77CED6A6-9E32-4C5D-A43E-4A006BB12070}" name="Column347"/>
    <tableColumn id="353" xr3:uid="{F8D3CF88-F6AC-4341-A773-E70AF4DE3341}" name="Column348"/>
    <tableColumn id="354" xr3:uid="{7F2D35B4-F307-4FEE-BEF7-E61EDD60C71E}" name="Column349"/>
    <tableColumn id="355" xr3:uid="{AF3B782C-B4D6-4C50-B31A-FA9630244FDB}" name="Column350"/>
    <tableColumn id="356" xr3:uid="{FDB1A788-465E-42F4-923A-39129B151A99}" name="Column351"/>
    <tableColumn id="357" xr3:uid="{2B8416B7-860F-4C77-B146-5FBE58629FD0}" name="Column352"/>
    <tableColumn id="358" xr3:uid="{007EF6C6-CA09-47BE-8E82-ADA1D1DD8277}" name="Column353"/>
    <tableColumn id="359" xr3:uid="{3948B277-0785-4DD7-8B0C-782F0830ED48}" name="Column354"/>
    <tableColumn id="360" xr3:uid="{317024AB-C346-4BBB-9608-3A9807D1702C}" name="Column355"/>
    <tableColumn id="361" xr3:uid="{1472706D-B9F2-4AEB-8318-28402CD7CBD1}" name="Column356"/>
    <tableColumn id="362" xr3:uid="{75B6F3BB-95A6-4AFB-A737-02790F2D25FB}" name="Column357"/>
    <tableColumn id="363" xr3:uid="{46BAC631-F1EB-4F29-B95C-19D29F9C61BD}" name="Column358"/>
    <tableColumn id="364" xr3:uid="{B0765FD9-CAE6-4161-B6AC-622A943B1820}" name="Column359"/>
    <tableColumn id="365" xr3:uid="{C2285584-978E-4886-89A5-F2A0A30318DB}" name="Column360"/>
    <tableColumn id="366" xr3:uid="{853E3F80-CE21-4C5E-A462-F921BBC20D3A}" name="Column361"/>
    <tableColumn id="367" xr3:uid="{791EA171-7552-4C0D-A685-7740DDD866B1}" name="Column362"/>
    <tableColumn id="368" xr3:uid="{3D31D108-D4C0-4A45-8DF8-D14C0EEB4304}" name="Column363"/>
    <tableColumn id="369" xr3:uid="{84C14F6F-704B-4C5A-A9BA-DA7D5A1DD192}" name="Column364"/>
    <tableColumn id="370" xr3:uid="{FAE0EAF7-0F30-42DA-AF7F-774B1E967D27}" name="Column365"/>
    <tableColumn id="371" xr3:uid="{3039F033-2522-409A-BEA8-9A2CD12B4970}" name="Column366"/>
    <tableColumn id="372" xr3:uid="{4EF5BD67-D306-466E-B083-FDBC5FD7AF0E}" name="Column367"/>
    <tableColumn id="373" xr3:uid="{83A2DB69-1FB3-4877-A390-CF21E67EFEF2}" name="Column368"/>
    <tableColumn id="374" xr3:uid="{650BCD57-1496-4355-9F5F-083D597461C9}" name="Column369"/>
    <tableColumn id="375" xr3:uid="{C3E229E7-303B-4314-B341-101110CFCEC2}" name="Column370"/>
    <tableColumn id="376" xr3:uid="{936EA2DA-8B92-40DB-83AE-A4E07072B0CE}" name="Column371"/>
    <tableColumn id="377" xr3:uid="{D75C499A-7505-4994-92EC-55966C1B8C88}" name="Column372"/>
    <tableColumn id="378" xr3:uid="{E5517001-971C-470B-A79B-EF93C9441879}" name="Column373"/>
    <tableColumn id="379" xr3:uid="{641F7BB6-4216-490C-ADDD-3E592379E740}" name="Column374"/>
    <tableColumn id="380" xr3:uid="{8299A616-DB5D-40F8-B8E3-FCAD7B350081}" name="Column375"/>
    <tableColumn id="381" xr3:uid="{6C5F10F6-15EE-455F-8723-0170585847F5}" name="Column376"/>
    <tableColumn id="382" xr3:uid="{88E74C34-14C9-4C1D-84CA-327D90095A34}" name="Column377"/>
    <tableColumn id="383" xr3:uid="{5855480A-86C3-41F0-9C32-F162DE9D8CFD}" name="Column378"/>
    <tableColumn id="384" xr3:uid="{294AD960-BD9A-41D6-AB4E-90B499A5A717}" name="Column379"/>
    <tableColumn id="385" xr3:uid="{7E845A8E-7B2A-4810-8416-48C9265B9C1A}" name="Column380"/>
    <tableColumn id="386" xr3:uid="{4AA51B94-09CB-4076-BA99-36D8E419CCE5}" name="Column381"/>
    <tableColumn id="387" xr3:uid="{62BF0D0F-075F-433F-A858-F425CF344DD1}" name="Column382"/>
    <tableColumn id="388" xr3:uid="{0FE82A6C-2AF0-47B3-B573-E797D76FFD59}" name="Column383"/>
    <tableColumn id="389" xr3:uid="{CEB4251E-5E3D-445A-A652-58A4712389C1}" name="Column384"/>
    <tableColumn id="390" xr3:uid="{D88803CB-9D5C-4141-9B9E-94131AD23831}" name="Column385"/>
    <tableColumn id="391" xr3:uid="{B52740C7-200D-4486-9D92-2234B9744837}" name="Column386"/>
    <tableColumn id="392" xr3:uid="{3788F7A4-72BA-47A2-825D-9B869D3A1B16}" name="Column387"/>
    <tableColumn id="393" xr3:uid="{857AEE85-FCD8-4207-ACE3-172980EABE80}" name="Column388"/>
    <tableColumn id="394" xr3:uid="{659CCEB8-A059-43B6-BA64-E355877F58DB}" name="Column389"/>
    <tableColumn id="395" xr3:uid="{799D06F2-7344-4857-9DB9-D01DBB70DCA1}" name="Column390"/>
    <tableColumn id="396" xr3:uid="{1BBF9991-CE10-458A-9670-F81DBD9E0B60}" name="Column391"/>
    <tableColumn id="397" xr3:uid="{04402C9C-0EDB-42B7-B563-01CAEEACAC4A}" name="Column392"/>
    <tableColumn id="398" xr3:uid="{C34D2202-50D1-479F-BE84-3C34598563A9}" name="Column393"/>
    <tableColumn id="399" xr3:uid="{E79C18B0-5972-42A0-A1F7-78D3F050CCEE}" name="Column394"/>
    <tableColumn id="400" xr3:uid="{E5BE07EE-3EAC-470F-BAFE-3CFA0AA060DC}" name="Column395"/>
    <tableColumn id="401" xr3:uid="{0AA5E0F7-E0B8-4F51-8EBE-21C8BC4DA9AC}" name="Column396"/>
    <tableColumn id="402" xr3:uid="{E29FB67D-D9A2-48A4-A959-355BD9ADA684}" name="Column397"/>
    <tableColumn id="403" xr3:uid="{7013B4F0-8C02-4AFE-A73C-79B920959538}" name="Column398"/>
    <tableColumn id="404" xr3:uid="{C5CF9F02-1C35-4725-A027-1A9F162A57AD}" name="Column399"/>
    <tableColumn id="405" xr3:uid="{B41F9D8B-A6B0-4D23-B928-B8BBE0EFC881}" name="Column400"/>
    <tableColumn id="406" xr3:uid="{78B9DC2E-B883-4C05-ACBF-6D164FFEE710}" name="Column401"/>
    <tableColumn id="407" xr3:uid="{B9636DBC-F517-4855-AC98-DD11CAE8B5CE}" name="Column402"/>
    <tableColumn id="408" xr3:uid="{7B67434B-8AB9-4FC0-9E8D-1EA6C3554BD4}" name="Column403"/>
    <tableColumn id="409" xr3:uid="{C50307A6-7CA4-46AB-9A87-40373C7B0DE9}" name="Column404"/>
    <tableColumn id="410" xr3:uid="{57B886BA-8D02-4E2F-A90F-ED00207FE767}" name="Column405"/>
    <tableColumn id="411" xr3:uid="{6D13BF2D-DD84-4AD0-816A-DFEB30CE152D}" name="Column406"/>
    <tableColumn id="412" xr3:uid="{73699726-675B-4A18-9C58-4B1613D3F68C}" name="Column407"/>
    <tableColumn id="413" xr3:uid="{BC90C598-1B9D-455F-897B-F0F79BAE58CD}" name="Column408"/>
    <tableColumn id="414" xr3:uid="{6490A9FA-E584-496F-9164-01F81A58B536}" name="Column409"/>
    <tableColumn id="415" xr3:uid="{74204227-F5F5-4661-88DD-FB053229F607}" name="Column410"/>
    <tableColumn id="416" xr3:uid="{6ABAD7A5-58D6-48A2-BE44-1EE02F249E28}" name="Column411"/>
    <tableColumn id="417" xr3:uid="{5F1DAB80-0EF8-4E6A-8E77-462CD517B909}" name="Column412"/>
    <tableColumn id="418" xr3:uid="{68E946BD-1FD6-4EF3-A507-9F46DF187A46}" name="Column413"/>
    <tableColumn id="419" xr3:uid="{020112C8-83F4-40E9-A342-0B5A4198CA32}" name="Column414"/>
    <tableColumn id="420" xr3:uid="{D45ADA1D-FD83-4CC8-9F6F-EB0450770ACE}" name="Column415"/>
    <tableColumn id="421" xr3:uid="{3B4F8047-683C-4DC2-A407-891ABA2645E4}" name="Column416"/>
    <tableColumn id="422" xr3:uid="{1E225914-0C45-48B8-97AE-4177AD843E6C}" name="Column417"/>
    <tableColumn id="423" xr3:uid="{69959462-B53D-4645-9551-22635DB85BAD}" name="Column418"/>
    <tableColumn id="424" xr3:uid="{1BC8043F-0260-494A-BA16-3128B8ADAA92}" name="Column419"/>
    <tableColumn id="425" xr3:uid="{498D388D-C218-445A-957C-C92605CDFFF5}" name="Column420"/>
    <tableColumn id="426" xr3:uid="{50F1ECF6-4C66-4787-9358-52874949B2C5}" name="Column421"/>
    <tableColumn id="427" xr3:uid="{FF9EFAA7-DA84-48D8-B2D6-609EAC9CF7D2}" name="Column422"/>
    <tableColumn id="428" xr3:uid="{7A109530-6094-45B4-B5EF-2581F99B7793}" name="Column423"/>
    <tableColumn id="429" xr3:uid="{4282BB17-F7AB-45C5-80FA-C484C19B4342}" name="Column424"/>
    <tableColumn id="430" xr3:uid="{E939B81F-A3E1-44A8-B855-746732CE2A08}" name="Column425"/>
    <tableColumn id="431" xr3:uid="{A1205318-6025-4C70-B50A-4B3B2A608FE7}" name="Column426"/>
    <tableColumn id="432" xr3:uid="{650A491D-FEC7-4010-BF20-04126A6FBCAE}" name="Column427"/>
    <tableColumn id="433" xr3:uid="{8FA9819A-0940-4B0B-877A-EE47CC533FEC}" name="Column428"/>
    <tableColumn id="434" xr3:uid="{9EFA7A2A-95C2-4ED7-A9B0-CF32129ADC8B}" name="Column429"/>
    <tableColumn id="435" xr3:uid="{9B031143-0E70-4EBE-AD45-CAC6648A44F8}" name="Column430"/>
    <tableColumn id="436" xr3:uid="{5E906DA9-F3D7-4901-B63D-6DAB3B4D90BA}" name="Column431"/>
    <tableColumn id="437" xr3:uid="{8D46B006-CC0A-4656-A92C-65E5CCE17883}" name="Column432"/>
    <tableColumn id="438" xr3:uid="{863843ED-9AF2-4336-8B0C-B35161B112A3}" name="Column433"/>
    <tableColumn id="439" xr3:uid="{40A31AA2-41E8-4E4D-9B21-562FD0C8F0E5}" name="Column434"/>
    <tableColumn id="440" xr3:uid="{C4F6DE07-B0F5-4374-ABC9-2688D81308E3}" name="Column435"/>
    <tableColumn id="441" xr3:uid="{66DDC1DE-0522-4318-B409-382F72148DA7}" name="Column436"/>
    <tableColumn id="442" xr3:uid="{374469DC-5726-4CF0-AD64-2677B7B80BE9}" name="Column437"/>
    <tableColumn id="443" xr3:uid="{43182A24-9109-488F-BD5B-F59BB8E8918A}" name="Column438"/>
    <tableColumn id="444" xr3:uid="{EFDB20D4-79EA-4A56-8741-01B41DD329ED}" name="Column439"/>
    <tableColumn id="445" xr3:uid="{3D4C5BCC-4CF5-41F6-B43C-9CED536B30FE}" name="Column440"/>
    <tableColumn id="446" xr3:uid="{67333632-8C6B-405F-9C75-3FF451706B00}" name="Column441"/>
    <tableColumn id="447" xr3:uid="{396BB10B-B69A-478C-B744-92A29B8AE4E7}" name="Column442"/>
    <tableColumn id="448" xr3:uid="{35E2B520-B5D2-44B2-84C4-45DC664E736E}" name="Column443"/>
    <tableColumn id="449" xr3:uid="{6ABDF5AD-2E36-4D38-80D2-5C724173F5BB}" name="Column444"/>
    <tableColumn id="450" xr3:uid="{2315F295-1674-48BC-82A2-17CB2F89C779}" name="Column445"/>
    <tableColumn id="451" xr3:uid="{82A8E8FF-1BAB-43C6-B44A-F283BE79AE60}" name="Column446"/>
    <tableColumn id="452" xr3:uid="{61E08C7E-4933-42BF-8694-CD0C4474C42D}" name="Column447"/>
    <tableColumn id="453" xr3:uid="{168EEC50-317D-4396-A528-4A2EBA505848}" name="Column448"/>
    <tableColumn id="454" xr3:uid="{29CA4D63-A3F4-4BC0-B944-559C25C2186C}" name="Column449"/>
    <tableColumn id="455" xr3:uid="{61715B55-FFF2-4DEF-9F7D-02A4561E9F4C}" name="Column450"/>
    <tableColumn id="456" xr3:uid="{9C4B8FFF-8215-4D24-AF6B-CDD8D0222162}" name="Column451"/>
    <tableColumn id="457" xr3:uid="{327CF6D0-0BB0-4722-850F-5074A6E8A9A3}" name="Column452"/>
    <tableColumn id="458" xr3:uid="{CE601E2F-A6C5-4738-BEFB-B510BBC2798C}" name="Column453"/>
    <tableColumn id="459" xr3:uid="{2214EDCA-A24E-4062-A2A4-A397A18FA562}" name="Column454"/>
    <tableColumn id="460" xr3:uid="{04F7A34A-D47B-4467-8F3B-BD26BC0CBF6F}" name="Column455"/>
    <tableColumn id="461" xr3:uid="{68D0B513-BC13-46B8-AE64-0340DCD1EFC1}" name="Column456"/>
    <tableColumn id="462" xr3:uid="{98D6EAB9-AB99-4D1A-96DD-03DE2794F83C}" name="Column457"/>
    <tableColumn id="463" xr3:uid="{1DBCD2F1-0DC7-4155-B32B-5D8D7CA57DE3}" name="Column458"/>
    <tableColumn id="464" xr3:uid="{11F6F80D-4566-4EA8-9337-54E1BDAC73C2}" name="Column459"/>
    <tableColumn id="465" xr3:uid="{FC4E4C64-E04E-4093-98F4-3E15AD03AD83}" name="Column460"/>
    <tableColumn id="466" xr3:uid="{6B4DBE89-B31E-4B19-80F7-5BF671166F76}" name="Column461"/>
    <tableColumn id="467" xr3:uid="{C9D1CF98-A0FD-4378-9EE6-F413955F4D9D}" name="Column462"/>
    <tableColumn id="468" xr3:uid="{1F9E1275-257E-4494-8472-F468618BC43E}" name="Column463"/>
    <tableColumn id="469" xr3:uid="{7AA5C52E-0B66-4E99-873A-B7D5973D7FF9}" name="Column464"/>
    <tableColumn id="470" xr3:uid="{8B9071D0-B070-4D39-9447-F51E0E50399A}" name="Column465"/>
    <tableColumn id="471" xr3:uid="{A40AA65A-ABC9-4F33-A7C8-C51D071AFD62}" name="Column466"/>
    <tableColumn id="472" xr3:uid="{D805143A-2E09-4F65-88F5-9E5F12BA54FF}" name="Column467"/>
    <tableColumn id="473" xr3:uid="{B26BC44E-C415-45B1-9338-7465ECFDF50E}" name="Column468"/>
    <tableColumn id="474" xr3:uid="{5620AEE4-D8A7-4C21-87FD-0DB6CBFDEA3A}" name="Column469"/>
    <tableColumn id="475" xr3:uid="{926C8657-50CF-43DC-99C3-99E7C267F09F}" name="Column470"/>
    <tableColumn id="476" xr3:uid="{4D86EE92-CBC4-405B-9B64-B5CEE11943BC}" name="Column471"/>
    <tableColumn id="477" xr3:uid="{43F9F303-AC15-4579-88A7-2A1152A91D71}" name="Column472"/>
    <tableColumn id="478" xr3:uid="{C6469AC7-A3F3-4EF0-A010-965DEB3E317A}" name="Column473"/>
    <tableColumn id="479" xr3:uid="{9AEDE298-8CB1-46CA-A28D-235F902242C8}" name="Column474"/>
    <tableColumn id="480" xr3:uid="{4534DC6A-EFDA-4AA1-B2CE-A2239F5D78FE}" name="Column475"/>
    <tableColumn id="481" xr3:uid="{E7D71BC0-C4ED-4688-8C02-E052CAC4B210}" name="Column476"/>
    <tableColumn id="482" xr3:uid="{A5782C23-9A28-48F7-AA76-D8DDDB82C492}" name="Column477"/>
    <tableColumn id="483" xr3:uid="{6A88BC2F-5F25-4551-936A-8C98E92472B7}" name="Column478"/>
    <tableColumn id="484" xr3:uid="{6A826970-E006-475E-8240-B6C2C3ADEF6E}" name="Column479"/>
    <tableColumn id="485" xr3:uid="{B248C1D5-E43E-41DC-B1D3-E24B1D7616B9}" name="Column480"/>
    <tableColumn id="486" xr3:uid="{C1FBA26E-F915-4756-AF31-56255795C08A}" name="Column481"/>
    <tableColumn id="487" xr3:uid="{ADE8DE42-177F-4B01-A85F-30CA2C0AD60C}" name="Column482"/>
    <tableColumn id="488" xr3:uid="{83037436-BEE4-4E00-9463-25E254665375}" name="Column483"/>
    <tableColumn id="489" xr3:uid="{D80F2EF8-73BD-4B8B-9941-DE8C3B3A7BF1}" name="Column484"/>
    <tableColumn id="490" xr3:uid="{82001DE5-F7FD-4DCC-AF0D-FE0ED7BB637B}" name="Column485"/>
    <tableColumn id="491" xr3:uid="{4CD72081-06CF-40E9-9248-4453504CDED0}" name="Column486"/>
    <tableColumn id="492" xr3:uid="{335190BC-FC15-4CE6-9C2D-A392E00F1AB0}" name="Column487"/>
    <tableColumn id="493" xr3:uid="{51D8D8D8-7A4E-4F63-8BEB-CF5597073DDD}" name="Column488"/>
    <tableColumn id="494" xr3:uid="{A9933696-6602-429C-AFA8-30B58BAEABAA}" name="Column489"/>
    <tableColumn id="495" xr3:uid="{48A57CE7-6122-4676-9BEF-74023887ACBD}" name="Column490"/>
    <tableColumn id="496" xr3:uid="{FB9CCD71-3146-4896-80BD-6C8C84D97247}" name="Column491"/>
    <tableColumn id="497" xr3:uid="{287F9450-699B-4A8D-B98F-B20986F09866}" name="Column492"/>
    <tableColumn id="498" xr3:uid="{601A7225-EB11-424C-9124-A03E345AF004}" name="Column493"/>
    <tableColumn id="499" xr3:uid="{29F0158D-EDEB-4482-A061-812BF28F820C}" name="Column494"/>
    <tableColumn id="500" xr3:uid="{76EB67B5-B789-4185-BA89-1233D01D8535}" name="Column495"/>
    <tableColumn id="501" xr3:uid="{09FE3BCC-8505-46AA-8C2A-07567DE7C027}" name="Column496"/>
    <tableColumn id="502" xr3:uid="{B8BD778D-F621-4B58-8436-EE843DA5114F}" name="Column497"/>
    <tableColumn id="503" xr3:uid="{4AF83D74-EEBE-480B-80BF-342CF80CAD41}" name="Column498"/>
    <tableColumn id="504" xr3:uid="{6080DF6B-626D-4462-9605-D6D430C17DD2}" name="Column499"/>
    <tableColumn id="505" xr3:uid="{8FDCBC5F-C3C5-4CBF-B881-4951CB00A4AD}" name="Column500"/>
    <tableColumn id="506" xr3:uid="{83F04236-557E-442B-A565-A798B81E1583}" name="Column501"/>
    <tableColumn id="507" xr3:uid="{B855578D-254B-4397-832E-6CF4C2F3001C}" name="Column502"/>
    <tableColumn id="508" xr3:uid="{F0D278AF-531F-4ADA-8A9F-83671D1A918F}" name="Column503"/>
    <tableColumn id="509" xr3:uid="{50648B0F-543A-4F11-AB89-DC8E546DCC43}" name="Column504"/>
    <tableColumn id="510" xr3:uid="{C90A288A-A08F-4CA6-92E2-CAA52E0C996E}" name="Column505"/>
    <tableColumn id="511" xr3:uid="{188D2833-4BF7-4DAE-9C77-22480BB3FD8A}" name="Column506"/>
    <tableColumn id="512" xr3:uid="{38222A55-7EF9-40AF-B3E1-9D76DDB2961A}" name="Column507"/>
    <tableColumn id="513" xr3:uid="{9CBFA4E4-76FB-4529-9521-7D2DD1B09C69}" name="Column508"/>
    <tableColumn id="514" xr3:uid="{61532301-6FF8-4F31-B311-B4F37ECA8C3A}" name="Column509"/>
    <tableColumn id="515" xr3:uid="{90D19CE1-7C46-41AB-83B8-6170BF31433B}" name="Column510"/>
    <tableColumn id="516" xr3:uid="{80F167E9-104D-464A-84A9-315AC05C56EC}" name="Column511"/>
    <tableColumn id="517" xr3:uid="{1F5B81E8-E646-4B57-94C7-C61F00A23CC0}" name="Column512"/>
    <tableColumn id="518" xr3:uid="{7BD5F2E8-44FB-4B83-B608-D09B84406F00}" name="Column513"/>
    <tableColumn id="519" xr3:uid="{4D91D426-E49C-4E38-8198-8EE49389E5E4}" name="Column514"/>
    <tableColumn id="520" xr3:uid="{0B6F11FC-341F-4DDF-BBBC-82E1351DA25F}" name="Column515"/>
    <tableColumn id="521" xr3:uid="{7645644E-0BFD-4FE1-B77D-5CF459ED3CCC}" name="Column516"/>
    <tableColumn id="522" xr3:uid="{0BEC2F33-433B-4FE8-BADD-B58E0B992C35}" name="Column517"/>
    <tableColumn id="523" xr3:uid="{FD896B8A-7102-4254-BD5A-C6F109EFA92B}" name="Column518"/>
    <tableColumn id="524" xr3:uid="{F1188184-53F4-44E1-BF94-3ADA38165D72}" name="Column519"/>
    <tableColumn id="525" xr3:uid="{42B470E2-AC03-4640-82BD-10600BA2DF95}" name="Column520"/>
    <tableColumn id="526" xr3:uid="{DB665BE8-A735-43C4-B3A1-D53E6E588FC1}" name="Column521"/>
    <tableColumn id="527" xr3:uid="{8513C937-82A4-41FD-B0F8-F1B6102F3E3F}" name="Column522"/>
    <tableColumn id="528" xr3:uid="{C02B2103-58A8-45BA-9353-6E9FCE289401}" name="Column523"/>
    <tableColumn id="529" xr3:uid="{33ACFBA0-A09F-417E-B311-9150A58C35F3}" name="Column524"/>
    <tableColumn id="530" xr3:uid="{C6FBDFC0-38CA-4AE8-8C51-E6B85AD76BA8}" name="Column525"/>
    <tableColumn id="531" xr3:uid="{21244B3D-8008-412E-AA22-1D0495A13177}" name="Column526"/>
    <tableColumn id="532" xr3:uid="{212D0928-550E-42BB-9CA0-253A15ADFFCC}" name="Column527"/>
    <tableColumn id="533" xr3:uid="{DF9C0F15-AC5D-4089-B645-6B96354A575E}" name="Column528"/>
    <tableColumn id="534" xr3:uid="{6504F027-70E9-47ED-9ECC-1A2B5083FAE2}" name="Column529"/>
    <tableColumn id="535" xr3:uid="{2649EFFA-EBB4-4424-9BCB-EF5B8A2A2139}" name="Column530"/>
    <tableColumn id="536" xr3:uid="{C4AE0330-DBCC-437F-B405-CC370065A128}" name="Column531"/>
    <tableColumn id="537" xr3:uid="{EE255F15-1936-42CD-9E04-1D54499BE1B3}" name="Column532"/>
    <tableColumn id="538" xr3:uid="{55D99C8F-7EA1-4DFC-A90F-78D293F6F186}" name="Column533"/>
    <tableColumn id="539" xr3:uid="{BF1B45C6-7DA9-4B64-A520-E1C03BE69F7C}" name="Column534"/>
    <tableColumn id="540" xr3:uid="{645A7AA5-03C6-4F0E-A36D-22F16C0295FF}" name="Column535"/>
    <tableColumn id="541" xr3:uid="{CB001304-B5F6-4148-B261-B29184172E0F}" name="Column536"/>
    <tableColumn id="542" xr3:uid="{7847132F-599C-45D9-BD80-3380A34489A0}" name="Column537"/>
    <tableColumn id="543" xr3:uid="{4A846B5D-8E73-49EA-A9E4-13936C08676A}" name="Column538"/>
    <tableColumn id="544" xr3:uid="{EA5B0060-2A98-4095-8CF9-C92F6D7CC1EB}" name="Column539"/>
    <tableColumn id="545" xr3:uid="{B1D67251-1C7D-4A1F-8A2D-AE31A088D17D}" name="Column540"/>
    <tableColumn id="546" xr3:uid="{168FA6DA-C9C6-4981-B21D-0A983A0E326E}" name="Column541"/>
    <tableColumn id="547" xr3:uid="{4D5FA8D6-0CF9-4BDD-9C8C-8EAB62635769}" name="Column542"/>
    <tableColumn id="548" xr3:uid="{822C45B5-F5E3-4A4E-8776-24FF9F6A8A45}" name="Column543"/>
    <tableColumn id="549" xr3:uid="{0C7E5EF2-B6D4-4E20-B508-F0936D7CA3FC}" name="Column544"/>
    <tableColumn id="550" xr3:uid="{23903D33-F200-4174-A70B-A78DCDA95901}" name="Column545"/>
    <tableColumn id="551" xr3:uid="{B508C1F3-890C-4877-998B-0D65AF8EDFCC}" name="Column546"/>
    <tableColumn id="552" xr3:uid="{8779B30A-BC55-4326-B0C2-8DFBA8B2F4CE}" name="Column547"/>
    <tableColumn id="553" xr3:uid="{1E9D6383-1FA9-4438-AFE3-477D1A3C5276}" name="Column548"/>
    <tableColumn id="554" xr3:uid="{8AF0F551-EDF2-448D-99FE-66B9457B3C88}" name="Column549"/>
    <tableColumn id="555" xr3:uid="{52B84044-870A-4E95-8C63-770BC6FB206A}" name="Column550"/>
    <tableColumn id="556" xr3:uid="{C7AB37F0-33CD-4980-A693-F8511CC9D001}" name="Column551"/>
    <tableColumn id="557" xr3:uid="{FF6D60DA-DB86-415C-9798-4193E9718803}" name="Column552"/>
    <tableColumn id="558" xr3:uid="{F309D2AB-7FA4-4681-B039-10B7EEC2A899}" name="Column553"/>
    <tableColumn id="559" xr3:uid="{0FB25ABA-3C1A-49B7-9613-8C4C3D22B9EB}" name="Column554"/>
    <tableColumn id="560" xr3:uid="{ADC9C8A6-37DA-401F-A4D8-F75F440079A3}" name="Column555"/>
    <tableColumn id="561" xr3:uid="{2E2C8384-EBF4-4BB1-9662-F335F3CCDA91}" name="Column556"/>
    <tableColumn id="562" xr3:uid="{841941E5-A260-499A-81D0-D714ADAC48B9}" name="Column557"/>
    <tableColumn id="563" xr3:uid="{EF6B10E8-77ED-4C8D-B811-26BFC5999F3E}" name="Column558"/>
    <tableColumn id="564" xr3:uid="{B51F9372-65ED-4625-8F1A-DABDC69C059B}" name="Column559"/>
    <tableColumn id="565" xr3:uid="{A7001D65-6CB0-4483-BA08-C531A253E741}" name="Column560"/>
    <tableColumn id="566" xr3:uid="{A7733946-FE4D-4E2E-B87C-0FC69BF5EA22}" name="Column561"/>
    <tableColumn id="567" xr3:uid="{284FDDF8-B4C2-4256-95E0-67CA0AF644F9}" name="Column562"/>
    <tableColumn id="568" xr3:uid="{CD229093-E5A1-48A6-8350-D3B9CD0789D0}" name="Column563"/>
    <tableColumn id="569" xr3:uid="{84E26CC2-8F56-4909-9707-6A7778891CA4}" name="Column564"/>
    <tableColumn id="570" xr3:uid="{8E15965A-9819-40BB-B74E-C2DB42B5EC20}" name="Column565"/>
    <tableColumn id="571" xr3:uid="{66868D02-DBC4-466C-A1DF-B11DB640223F}" name="Column566"/>
    <tableColumn id="572" xr3:uid="{EF01AC4D-CB10-4DBB-9866-E061A8258194}" name="Column567"/>
    <tableColumn id="573" xr3:uid="{5207D73A-3E3B-4099-AB3C-4BA18502F710}" name="Column568"/>
    <tableColumn id="574" xr3:uid="{39B13871-2A89-46C8-B271-EE27F020CD70}" name="Column569"/>
    <tableColumn id="575" xr3:uid="{E7B407D9-17DE-4588-A8AA-380E66C60D93}" name="Column570"/>
    <tableColumn id="576" xr3:uid="{8D8E1BD5-0CA0-47A3-8E2C-E866DA19A2B2}" name="Column571"/>
    <tableColumn id="577" xr3:uid="{99945076-6648-42C7-BDCC-57D254E53973}" name="Column572"/>
    <tableColumn id="578" xr3:uid="{A8CB08C8-8C3C-4F70-B11D-05C0B7017443}" name="Column573"/>
    <tableColumn id="579" xr3:uid="{C3BDBF0F-A349-4A8A-94F3-1B1255058025}" name="Column574"/>
    <tableColumn id="580" xr3:uid="{658606F0-9982-4D67-84A1-2B6BCFF1820C}" name="Column575"/>
    <tableColumn id="581" xr3:uid="{504972D9-6DEF-4AE0-9162-0397D79CBFAB}" name="Column576"/>
    <tableColumn id="582" xr3:uid="{98F8CBF8-C4E3-485C-A9FD-F9FA984E1BB5}" name="Column577"/>
    <tableColumn id="583" xr3:uid="{B5579434-ED2C-4307-88F8-8634815C97F3}" name="Column578"/>
    <tableColumn id="584" xr3:uid="{1C86054C-6B91-45E1-B205-2EF362F2E8DB}" name="Column579"/>
    <tableColumn id="585" xr3:uid="{3531B50B-1DDB-4BF5-AC35-26A79E003F80}" name="Column580"/>
    <tableColumn id="586" xr3:uid="{5DB1DA40-7B67-4899-B67A-9216B3D3EDB0}" name="Column581"/>
    <tableColumn id="587" xr3:uid="{86FBA33F-8FC9-4A16-A8F6-191BB5DA8971}" name="Column582"/>
    <tableColumn id="588" xr3:uid="{062F1387-5ABE-40D0-98FE-701EDAE3F3BE}" name="Column583"/>
    <tableColumn id="589" xr3:uid="{D270E2EA-8963-4625-AC81-1E89AA8D740D}" name="Column584"/>
    <tableColumn id="590" xr3:uid="{65CF14DD-2595-49FF-BB8B-81D02724800F}" name="Column585"/>
    <tableColumn id="591" xr3:uid="{87456ABC-7CE4-4955-8CB3-F9E1F1F873F6}" name="Column586"/>
    <tableColumn id="592" xr3:uid="{56CCF456-E0FC-48F1-B2C4-A006B3EF8902}" name="Column587"/>
    <tableColumn id="593" xr3:uid="{48FDA2B6-EAB7-4C80-AEC7-87774940DB15}" name="Column588"/>
    <tableColumn id="594" xr3:uid="{988BC63A-C749-4D6A-94D7-EE4284B4DC0C}" name="Column589"/>
    <tableColumn id="595" xr3:uid="{D2B9CF85-3EED-4607-9238-EA979AAEC14F}" name="Column590"/>
    <tableColumn id="596" xr3:uid="{78F8E3FD-B568-4EA9-A0E2-1F418B7F8559}" name="Column591"/>
    <tableColumn id="597" xr3:uid="{570A8A20-6318-4849-933A-4D8027520EF7}" name="Column592"/>
    <tableColumn id="598" xr3:uid="{414D4659-CF64-4135-A806-C7AB324752C2}" name="Column593"/>
    <tableColumn id="599" xr3:uid="{F8C949E9-483E-4AA1-890D-C2FD6DBC9B7A}" name="Column594"/>
    <tableColumn id="600" xr3:uid="{9C212247-B4E4-48CE-A124-C1E7DBCA4D90}" name="Column595"/>
    <tableColumn id="601" xr3:uid="{61C09D2D-D96C-4BFF-ADD0-75237B229523}" name="Column596"/>
    <tableColumn id="602" xr3:uid="{28B0B23A-380B-4FFC-9485-8EAF2EBD01AD}" name="Column597"/>
    <tableColumn id="603" xr3:uid="{5A9F40C6-4FB4-48C9-8B4F-7D858FC2AFCC}" name="Column598"/>
    <tableColumn id="604" xr3:uid="{75F09D76-E8B5-46B2-8CE3-4B6D1C5A5037}" name="Column599"/>
    <tableColumn id="605" xr3:uid="{4F174E12-DC4D-4B6F-9772-2D413B52C5E8}" name="Column600"/>
    <tableColumn id="606" xr3:uid="{223BDB18-F899-4C30-80AE-7EF338FB35BD}" name="Column601"/>
    <tableColumn id="607" xr3:uid="{DFFB3BD5-E20F-45D9-8AEA-BEDA8A4883A8}" name="Column602"/>
    <tableColumn id="608" xr3:uid="{D724BA53-C79C-4E49-A0A8-013A2D69B69B}" name="Column603"/>
    <tableColumn id="609" xr3:uid="{CADDE492-7D80-4259-A8A0-0BF9A9D4A4F2}" name="Column604"/>
    <tableColumn id="610" xr3:uid="{E2FA597D-D904-4FB2-9035-BFECE8B8ED57}" name="Column605"/>
    <tableColumn id="611" xr3:uid="{011357FE-E277-4BAF-A608-168C080940CA}" name="Column606"/>
    <tableColumn id="612" xr3:uid="{A975E17D-6EBA-43F3-B78E-6116A48DBC2F}" name="Column607"/>
    <tableColumn id="613" xr3:uid="{59ED7750-11A8-454A-823B-22D4BDAE8015}" name="Column608"/>
    <tableColumn id="614" xr3:uid="{56A696A0-9AFD-49B4-A213-25D043492775}" name="Column609"/>
    <tableColumn id="615" xr3:uid="{C10AD5D6-90A2-44FC-A75B-F0A0F3D4E519}" name="Column610"/>
    <tableColumn id="616" xr3:uid="{B75127D2-3FEA-40F9-82C7-81263E332E12}" name="Column611"/>
    <tableColumn id="617" xr3:uid="{7D386BBB-33E0-48C2-91B7-224D8B02FD69}" name="Column612"/>
    <tableColumn id="618" xr3:uid="{301BDAB2-CB5B-441B-982C-BA59F9AF038F}" name="Column613"/>
    <tableColumn id="619" xr3:uid="{9DAEADAC-4783-4B61-8721-1219CDFF367F}" name="Column614"/>
    <tableColumn id="620" xr3:uid="{25729062-A959-44B8-BDAB-09D8B6100A66}" name="Column615"/>
    <tableColumn id="621" xr3:uid="{9A463CB4-FE14-455F-A33F-EE180D0C62A8}" name="Column616"/>
    <tableColumn id="622" xr3:uid="{92A99872-FBFE-48AE-ADDA-B3A06C0D3C19}" name="Column617"/>
    <tableColumn id="623" xr3:uid="{8DA51B8F-A941-4E01-A702-8DC571C2CB08}" name="Column618"/>
    <tableColumn id="624" xr3:uid="{09688278-6104-4394-8F2D-6FE0A5793695}" name="Column619"/>
    <tableColumn id="625" xr3:uid="{95A50557-842E-4AD7-9EC5-7840B7734CB6}" name="Column620"/>
    <tableColumn id="626" xr3:uid="{66F8D23C-65A6-49DE-9A7E-4C70C1E48F21}" name="Column621"/>
    <tableColumn id="627" xr3:uid="{68C06C1D-2851-4600-8445-C0C58DB0A240}" name="Column622"/>
    <tableColumn id="628" xr3:uid="{324194FA-8D43-4588-BF25-769F0909C3EC}" name="Column623"/>
    <tableColumn id="629" xr3:uid="{89307396-9B6F-4BBD-96EC-053CC3C2B720}" name="Column624"/>
    <tableColumn id="630" xr3:uid="{41B84B29-7263-48BC-9F71-E627DD2295DC}" name="Column625"/>
    <tableColumn id="631" xr3:uid="{DCA54476-C3DC-460E-A0E0-80FE7D2833BF}" name="Column626"/>
    <tableColumn id="632" xr3:uid="{5B516E20-7226-44A7-9FB9-853D9E9F9F59}" name="Column627"/>
    <tableColumn id="633" xr3:uid="{3EC25356-434C-4D52-98F7-3519E2D1DCA5}" name="Column628"/>
    <tableColumn id="634" xr3:uid="{F1986F20-3990-4634-ACDF-110CAEF7A731}" name="Column629"/>
    <tableColumn id="635" xr3:uid="{92C22539-51FA-4421-9914-FA876A34AF93}" name="Column630"/>
    <tableColumn id="636" xr3:uid="{50AC1D62-EC3B-4282-B654-F6A7E570E51F}" name="Column631"/>
    <tableColumn id="637" xr3:uid="{DD8D85F7-DF1F-4CCD-B7BE-F5D96A085DE3}" name="Column632"/>
    <tableColumn id="638" xr3:uid="{6DAADE50-BE69-4973-930E-2448724E6D8E}" name="Column633"/>
    <tableColumn id="639" xr3:uid="{176A6FEC-0E09-4328-8D2D-FA071E4890DB}" name="Column634"/>
    <tableColumn id="640" xr3:uid="{7E7A8A8C-4A37-43C5-9883-F5A82E256FB0}" name="Column635"/>
    <tableColumn id="641" xr3:uid="{F2D15127-AF4A-4C44-8FE0-6AA4491850EB}" name="Column636"/>
    <tableColumn id="642" xr3:uid="{D1EB47EA-FB0F-431D-9ACD-FC674C0B7A50}" name="Column637"/>
    <tableColumn id="643" xr3:uid="{0973A8D5-7CD3-481D-9AAF-08E1B054B9F6}" name="Column638"/>
    <tableColumn id="644" xr3:uid="{9651E6F1-1265-4681-A728-B9A7ECF11A6B}" name="Column639"/>
    <tableColumn id="645" xr3:uid="{2A0F1F8D-025A-4649-9D21-6A67119ED574}" name="Column640"/>
    <tableColumn id="646" xr3:uid="{289243C1-0ACD-460C-89C4-276FF6023BCB}" name="Column641"/>
    <tableColumn id="647" xr3:uid="{E2529C14-045E-4CF9-873E-D4875DA57471}" name="Column642"/>
    <tableColumn id="648" xr3:uid="{0D2844F9-CD50-443B-9633-CEC1EFC470B2}" name="Column643"/>
    <tableColumn id="649" xr3:uid="{A8069097-5919-48F1-B72C-20C7F4174BDC}" name="Column644"/>
    <tableColumn id="650" xr3:uid="{4F4C3861-A549-467F-8012-EC8C534ADA3B}" name="Column645"/>
    <tableColumn id="651" xr3:uid="{E9839542-5965-4239-B7C7-A31749020248}" name="Column646"/>
    <tableColumn id="652" xr3:uid="{31765F54-DCC7-4BD3-9704-60397C6BAD4F}" name="Column647"/>
    <tableColumn id="653" xr3:uid="{73D0C1E4-3C4B-41AA-A117-14284E14CAC3}" name="Column648"/>
    <tableColumn id="654" xr3:uid="{A407FD9D-E6C6-4D3A-8371-D5B49BF06249}" name="Column649"/>
    <tableColumn id="655" xr3:uid="{944DCEB7-B011-4572-B116-583F59684511}" name="Column650"/>
    <tableColumn id="656" xr3:uid="{9C6E88DD-119C-4F82-84B9-EE34FA2E05A2}" name="Column651"/>
    <tableColumn id="657" xr3:uid="{A76BD3D6-14E0-41D3-990C-2993C9E57A1C}" name="Column652"/>
    <tableColumn id="658" xr3:uid="{67FCBA26-E8F8-47B1-B67E-82723C57293C}" name="Column653"/>
    <tableColumn id="659" xr3:uid="{64D7930A-872F-4DB3-8FA9-4B4D59E458E6}" name="Column654"/>
    <tableColumn id="660" xr3:uid="{4B68623C-5CF2-438C-BD5F-67B15D9EE58B}" name="Column655"/>
    <tableColumn id="661" xr3:uid="{F4C9B1DC-8D83-4E35-962A-73A75621DAD1}" name="Column656"/>
    <tableColumn id="662" xr3:uid="{2479082A-4EA9-4F74-8E86-710BBBE167C0}" name="Column657"/>
    <tableColumn id="663" xr3:uid="{DA8B239B-9600-46B5-BA27-94B915112AD7}" name="Column658"/>
    <tableColumn id="664" xr3:uid="{C9954079-FDE8-4B5B-ACAE-42475E231479}" name="Column659"/>
    <tableColumn id="665" xr3:uid="{E1F87CA5-6889-4C7D-8846-34B8C2929B91}" name="Column660"/>
    <tableColumn id="666" xr3:uid="{2DB158C2-B23A-4B5B-A94A-F5D92ABE2316}" name="Column661"/>
    <tableColumn id="667" xr3:uid="{07CD151B-8344-437D-A78B-EE3791640CDA}" name="Column662"/>
    <tableColumn id="668" xr3:uid="{D80317CB-765C-4D46-8B04-BA87C8A721B1}" name="Column663"/>
    <tableColumn id="669" xr3:uid="{D27CF729-7219-4379-B46C-B05D5AD21542}" name="Column664"/>
    <tableColumn id="670" xr3:uid="{C33150A1-917E-4F05-92DC-2E10F29777FF}" name="Column665"/>
    <tableColumn id="671" xr3:uid="{51B9A46B-B5BD-4125-9C25-8CBD048EAC29}" name="Column666"/>
    <tableColumn id="672" xr3:uid="{595728C9-55EB-4AB4-A96A-686DC196491F}" name="Column667"/>
    <tableColumn id="673" xr3:uid="{768D77F0-9589-422E-BDEB-271535DFB9C3}" name="Column668"/>
    <tableColumn id="674" xr3:uid="{69F0D072-85BA-4232-8364-42277B2A353F}" name="Column669"/>
    <tableColumn id="675" xr3:uid="{4A02E533-5740-4F20-A252-B70A018FBEA1}" name="Column670"/>
    <tableColumn id="676" xr3:uid="{8020A994-B398-4FC1-8B17-506381139B61}" name="Column671"/>
    <tableColumn id="677" xr3:uid="{3F9CD97A-F27E-44A8-B15F-1753EF68C2D2}" name="Column672"/>
    <tableColumn id="678" xr3:uid="{A01B896A-C62A-4FF2-A4E9-EC7C8BEB65E2}" name="Column673"/>
    <tableColumn id="679" xr3:uid="{82B95341-B393-4013-BC49-A576D05C1AAF}" name="Column674"/>
    <tableColumn id="680" xr3:uid="{7F5D68B3-DF85-41D2-94D6-AFF684BA334F}" name="Column675"/>
    <tableColumn id="681" xr3:uid="{8024330A-9770-4620-AEE3-9310B824F9EA}" name="Column676"/>
    <tableColumn id="682" xr3:uid="{F5B21282-74BB-4617-8251-F179F019EB5A}" name="Column677"/>
    <tableColumn id="683" xr3:uid="{18969203-7A38-4A84-9BEE-863F3DF6680F}" name="Column678"/>
    <tableColumn id="684" xr3:uid="{3A3995EB-3A03-4E19-80BB-7779E0E6A70C}" name="Column679"/>
    <tableColumn id="685" xr3:uid="{5B50740D-0913-4E3C-850D-E1C329EB23D3}" name="Column680"/>
    <tableColumn id="686" xr3:uid="{73DF0B85-81C0-40D9-9A84-AC630DFD9101}" name="Column681"/>
    <tableColumn id="687" xr3:uid="{DA9EF594-81A2-4DD3-812E-44B767B09B6E}" name="Column682"/>
    <tableColumn id="688" xr3:uid="{870E2188-1F01-4117-8EF6-A728655E644E}" name="Column683"/>
    <tableColumn id="689" xr3:uid="{C445CE9F-7952-437F-A363-74400E1645EB}" name="Column684"/>
    <tableColumn id="690" xr3:uid="{16AC083F-FB24-4E7C-816A-1022E083BD34}" name="Column685"/>
    <tableColumn id="691" xr3:uid="{0216B13C-0872-4AD4-BD83-2D884E9C20B0}" name="Column686"/>
    <tableColumn id="692" xr3:uid="{5EBA1D14-B3A5-4959-AD30-38ABA6C52676}" name="Column687"/>
    <tableColumn id="693" xr3:uid="{0518AE11-D56F-4D0F-A8F0-129E00D63D45}" name="Column688"/>
    <tableColumn id="694" xr3:uid="{4678C900-17C1-4C2B-8480-2362D5F651BA}" name="Column689"/>
    <tableColumn id="695" xr3:uid="{201C9DA7-4CCD-4B44-B3A5-F13AD5459EA1}" name="Column690"/>
    <tableColumn id="696" xr3:uid="{7664E77C-B1A8-45A2-8D7D-8DEF6F1FEDAC}" name="Column691"/>
    <tableColumn id="697" xr3:uid="{1CEA45AD-9FAA-466E-95AC-FE99974DDBC3}" name="Column692"/>
    <tableColumn id="698" xr3:uid="{F02A1B8D-715A-4321-B99A-A4716C856544}" name="Column693"/>
    <tableColumn id="699" xr3:uid="{D4844B99-D9CF-4C82-A2C7-9F05A81E1872}" name="Column694"/>
    <tableColumn id="700" xr3:uid="{8ED24A04-335A-4788-B928-ADD5656987F7}" name="Column695"/>
    <tableColumn id="701" xr3:uid="{7583784C-C67D-4406-A2F6-A8CE080A32E0}" name="Column696"/>
    <tableColumn id="702" xr3:uid="{9A6FB131-EBF1-42AD-9CEE-96BCDF4A9F20}" name="Column697"/>
    <tableColumn id="703" xr3:uid="{CD4DFE27-DAC0-4BF5-9135-49AD75C2D908}" name="Column698"/>
    <tableColumn id="704" xr3:uid="{6445D3A5-B0BE-4A08-8160-BEBD180F06FE}" name="Column699"/>
    <tableColumn id="705" xr3:uid="{446BDC66-AD8F-4FE2-BFA5-F4F61B15D512}" name="Column700"/>
    <tableColumn id="706" xr3:uid="{684D2C42-9BDF-44D0-A786-6262F62D4852}" name="Column701"/>
    <tableColumn id="707" xr3:uid="{347D02C8-7F5E-4F5F-BA8F-8C41CCC0A4EA}" name="Column702"/>
    <tableColumn id="708" xr3:uid="{FAA0BCDE-34B8-4114-9687-E8B27E5E5A74}" name="Column703"/>
    <tableColumn id="709" xr3:uid="{D9FFE38E-2642-44FB-9785-54E282E101F6}" name="Column704"/>
    <tableColumn id="710" xr3:uid="{B430ACAA-7EA6-421E-B9E8-4D0B7E0B469E}" name="Column705"/>
    <tableColumn id="711" xr3:uid="{DEE009A6-E26D-41AE-ABCF-5538920706B9}" name="Column706"/>
    <tableColumn id="712" xr3:uid="{D345F09C-A29C-46DB-8912-1ADBF3F09DB0}" name="Column707"/>
    <tableColumn id="713" xr3:uid="{D12CDA9F-43BD-4030-B54D-FF4C28C6B5D9}" name="Column708"/>
    <tableColumn id="714" xr3:uid="{C5EDA393-EAA9-48B2-A207-1294661C0629}" name="Column709"/>
    <tableColumn id="715" xr3:uid="{310FFE2E-4E4A-4139-92DA-7F999F01A6B3}" name="Column710"/>
    <tableColumn id="716" xr3:uid="{A5C79EC5-5598-4D4B-8BF7-2027946E28BA}" name="Column711"/>
    <tableColumn id="717" xr3:uid="{410D5406-164C-4C4D-87AE-6E7BA10D6A8C}" name="Column712"/>
    <tableColumn id="718" xr3:uid="{922921BC-D000-4754-83DB-E922FF16EA47}" name="Column713"/>
    <tableColumn id="719" xr3:uid="{FC4B2403-8043-4BB4-A13A-C9943FDF127A}" name="Column714"/>
    <tableColumn id="720" xr3:uid="{73224628-45B5-4A65-95F4-9F873121C62B}" name="Column715"/>
    <tableColumn id="721" xr3:uid="{3B1AE741-5298-4621-AB90-35123CA1F673}" name="Column716"/>
    <tableColumn id="722" xr3:uid="{E3FC019A-32FA-4918-A4E0-BA3CB90E3A46}" name="Column717"/>
    <tableColumn id="723" xr3:uid="{BB4B9526-1BFA-46FB-9E3F-C8A2D02015BB}" name="Column718"/>
    <tableColumn id="724" xr3:uid="{E582CF10-0FDF-4F15-B3D0-C45291351E60}" name="Column719"/>
    <tableColumn id="725" xr3:uid="{0145DECF-31C7-4F5E-A776-3738DA43CA06}" name="Column720"/>
    <tableColumn id="726" xr3:uid="{B2A8C937-BADE-4862-8DD8-9BC440ABEBA2}" name="Column721"/>
    <tableColumn id="727" xr3:uid="{A9170C4E-F2B3-442A-92D6-EB976A7E1833}" name="Column722"/>
    <tableColumn id="728" xr3:uid="{DAC1CAB4-6F00-40E7-B1DC-B4AD3F4CB777}" name="Column723"/>
    <tableColumn id="729" xr3:uid="{CB3792F9-BDAA-454C-99B1-3B4A35C297E8}" name="Column724"/>
    <tableColumn id="730" xr3:uid="{14BD59E5-EDE5-408E-A593-0D9BE7C4572F}" name="Column725"/>
    <tableColumn id="731" xr3:uid="{A12F9F7A-CF43-4916-8E52-4C84BC37839D}" name="Column726"/>
    <tableColumn id="732" xr3:uid="{B9BB8B9F-62C8-486A-9C31-DDD482AD47A3}" name="Column727"/>
    <tableColumn id="733" xr3:uid="{6783293E-2974-4074-B98E-602DC458A64E}" name="Column728"/>
    <tableColumn id="734" xr3:uid="{0A1A4423-566F-4839-9884-F783548D4F4B}" name="Column729"/>
    <tableColumn id="735" xr3:uid="{1EB819F2-E408-4A11-B680-FCDC726EFCC1}" name="Column730"/>
    <tableColumn id="736" xr3:uid="{7AE37070-D4FB-4579-B6ED-C454A6AC8F68}" name="Column731"/>
    <tableColumn id="737" xr3:uid="{8DB9C527-F711-4F42-B3EF-0D9E7C49F001}" name="Column732"/>
    <tableColumn id="738" xr3:uid="{90125DB9-3A99-46EA-AFA1-390BC944ADAC}" name="Column733"/>
    <tableColumn id="739" xr3:uid="{B74977D4-8A68-44E2-B79C-F1CDC34DF85D}" name="Column734"/>
    <tableColumn id="740" xr3:uid="{EBC9F056-C30A-4EAE-858F-0A8470348209}" name="Column735"/>
    <tableColumn id="741" xr3:uid="{2FB6619C-9E7F-4B62-9C96-6A073332D234}" name="Column736"/>
    <tableColumn id="742" xr3:uid="{086CBFE3-93A1-4F15-AA2C-B7BB7FADDB80}" name="Column737"/>
    <tableColumn id="743" xr3:uid="{682080C6-1BEE-4CEA-820C-8A8A74A5C289}" name="Column738"/>
    <tableColumn id="744" xr3:uid="{1BD557D7-3EA2-49D8-9941-93DE1197A1CA}" name="Column739"/>
    <tableColumn id="745" xr3:uid="{35094F23-BE01-42F2-B792-70E670670888}" name="Column740"/>
    <tableColumn id="746" xr3:uid="{99050411-6230-4169-B0DF-32782C3C3E56}" name="Column741"/>
    <tableColumn id="747" xr3:uid="{267B3E76-C883-4ED4-829E-0485266D035A}" name="Column742"/>
    <tableColumn id="748" xr3:uid="{22F94B7A-EC37-46ED-85DC-A37D165F7421}" name="Column743"/>
    <tableColumn id="749" xr3:uid="{3F504905-9D01-4554-A6EB-A163227BB90C}" name="Column744"/>
    <tableColumn id="750" xr3:uid="{CCA2B1ED-EFD1-40CB-BB16-6385E638949F}" name="Column745"/>
    <tableColumn id="751" xr3:uid="{81EDF49E-B1E2-40D5-9947-C36E8095BEED}" name="Column746"/>
    <tableColumn id="752" xr3:uid="{F4C2AF13-BDBC-4EEC-B5CD-36A7516F16D9}" name="Column747"/>
    <tableColumn id="753" xr3:uid="{3000388A-71FE-4422-B44C-2ACD6768E42C}" name="Column748"/>
    <tableColumn id="754" xr3:uid="{4EF702B2-F761-4F8A-84A5-A1E6ED7686AF}" name="Column749"/>
    <tableColumn id="755" xr3:uid="{8E63A17F-C69F-4464-9713-4F60994153D2}" name="Column750"/>
    <tableColumn id="756" xr3:uid="{2619132A-E4EB-4B5C-821F-8D68B6026879}" name="Column751"/>
    <tableColumn id="757" xr3:uid="{797D40D2-DD27-4129-9F85-AE6DFF9DC823}" name="Column752"/>
    <tableColumn id="758" xr3:uid="{BB425386-F61A-4C19-9581-B96ABF209B53}" name="Column753"/>
    <tableColumn id="759" xr3:uid="{DE565C12-EEBA-4CEA-9238-E7180A7657E7}" name="Column754"/>
    <tableColumn id="760" xr3:uid="{55A499CF-823E-4815-8F0C-8A532950DCAC}" name="Column755"/>
    <tableColumn id="761" xr3:uid="{AB99E423-5F62-4B8C-B2BB-5C4608A360F1}" name="Column756"/>
    <tableColumn id="762" xr3:uid="{DFCAEA81-1B79-4383-BD84-ACAB33E6D847}" name="Column757"/>
    <tableColumn id="763" xr3:uid="{F39390A6-FEFA-4BAF-8F5A-D3E7BCC4FDE4}" name="Column758"/>
    <tableColumn id="764" xr3:uid="{E3C7B91B-7B0C-4944-A00E-ADE006FEDAFD}" name="Column759"/>
    <tableColumn id="765" xr3:uid="{805464C9-13CF-4901-A0BB-C45A9EDA7F70}" name="Column760"/>
    <tableColumn id="766" xr3:uid="{B1523C88-578E-457A-84EC-4BCA580162FC}" name="Column761"/>
    <tableColumn id="767" xr3:uid="{0C9B451F-4E5B-4C80-8B96-B73E82CF257C}" name="Column762"/>
    <tableColumn id="768" xr3:uid="{64BEE225-7B8C-4D74-88AC-8076ED22DCF5}" name="Column763"/>
    <tableColumn id="769" xr3:uid="{104AFC21-BE31-4A61-8F76-AC8292FAD961}" name="Column764"/>
    <tableColumn id="770" xr3:uid="{2200AE19-CB9B-41F5-86C8-D18333700EB4}" name="Column765"/>
    <tableColumn id="771" xr3:uid="{B53DE4EB-1032-4B09-83EC-350DA539A968}" name="Column766"/>
    <tableColumn id="772" xr3:uid="{466B7BC7-A791-4FCC-8406-D45405AFA44C}" name="Column767"/>
    <tableColumn id="773" xr3:uid="{5B6AEC34-BB79-4228-BF5D-C92654CA9BF0}" name="Column768"/>
    <tableColumn id="774" xr3:uid="{1FF60ABD-EED8-48EF-AB78-449DA0C8093B}" name="Column769"/>
    <tableColumn id="775" xr3:uid="{41D7E014-07E8-4948-BF05-7F621F7C8E4A}" name="Column770"/>
    <tableColumn id="776" xr3:uid="{726B324A-1B45-470E-AA2C-908A6AFA3C11}" name="Column771"/>
    <tableColumn id="777" xr3:uid="{0298044A-ED43-44AD-BD10-F31F5BCCB437}" name="Column772"/>
    <tableColumn id="778" xr3:uid="{0F6A430A-C6D9-478A-AFFD-D5F3A2376A6D}" name="Column773"/>
    <tableColumn id="779" xr3:uid="{A1617BBB-6620-45D6-8B3C-CB62EB8E4E7D}" name="Column774"/>
    <tableColumn id="780" xr3:uid="{029840C6-E084-4DA8-980D-583547501DA0}" name="Column775"/>
    <tableColumn id="781" xr3:uid="{AAE25EB8-7847-4662-866B-C5D13630A9BD}" name="Column776"/>
    <tableColumn id="782" xr3:uid="{D17FF79B-85CE-473E-AEFA-4862D167BD06}" name="Column777"/>
    <tableColumn id="783" xr3:uid="{B68061C3-E9F7-4260-A9FA-1DF9BED55579}" name="Column778"/>
    <tableColumn id="784" xr3:uid="{32D621F0-980A-4E97-BA84-60EB09F0DE59}" name="Column779"/>
    <tableColumn id="785" xr3:uid="{8365C26F-0D4E-4370-94AF-517EE280F188}" name="Column780"/>
    <tableColumn id="786" xr3:uid="{20B536ED-C0C6-43A2-88E2-D905EEC2CC41}" name="Column781"/>
    <tableColumn id="787" xr3:uid="{E6585285-E18D-46B0-940C-A7E436FE2AAB}" name="Column782"/>
    <tableColumn id="788" xr3:uid="{9138EBD0-59F5-4C8A-A2CF-DD33DB783C04}" name="Column783"/>
    <tableColumn id="789" xr3:uid="{2397D78C-2F3D-4437-A967-A47307D5EB97}" name="Column784"/>
    <tableColumn id="790" xr3:uid="{D3DCCE6C-FBC6-4479-A7B1-EABADBBC447A}" name="Column785"/>
    <tableColumn id="791" xr3:uid="{7B76C8CC-0652-4678-855A-FD3ECC8F3137}" name="Column786"/>
    <tableColumn id="792" xr3:uid="{8FD9A50C-48F8-41F5-B9CD-CA2221FBDA8B}" name="Column787"/>
    <tableColumn id="793" xr3:uid="{5FB4DD67-627B-4C84-9D33-7875BF713390}" name="Column788"/>
    <tableColumn id="794" xr3:uid="{20DF94C3-8769-4342-B81F-8C1308EA0EC7}" name="Column789"/>
    <tableColumn id="795" xr3:uid="{244EC3AA-BD5B-4690-83F8-0048E5E2A1D9}" name="Column790"/>
    <tableColumn id="796" xr3:uid="{767DEBC4-0B11-4F85-A719-33098F3D37A6}" name="Column791"/>
    <tableColumn id="797" xr3:uid="{BAB94495-331D-46E7-B0A4-C080EEB92F8E}" name="Column792"/>
    <tableColumn id="798" xr3:uid="{5CED1475-B3DE-4191-BF6A-8B3DEF474A49}" name="Column793"/>
    <tableColumn id="799" xr3:uid="{A885152F-0E19-4C2F-9C5A-EB368402BD85}" name="Column794"/>
    <tableColumn id="800" xr3:uid="{92650C82-3F36-4791-AE4E-5EEC7F703326}" name="Column795"/>
    <tableColumn id="801" xr3:uid="{973246BA-B1CE-4EC5-ADD7-45369CE475DE}" name="Column796"/>
    <tableColumn id="802" xr3:uid="{FD3B88FE-094A-4449-91F8-E7754E6C14BB}" name="Column797"/>
    <tableColumn id="803" xr3:uid="{75636E68-B6F9-4ABA-8153-E44BB4613D03}" name="Column798"/>
    <tableColumn id="804" xr3:uid="{A6E0C23E-CFD3-48EF-8A0D-26C5AD71DCC9}" name="Column799"/>
    <tableColumn id="805" xr3:uid="{39B0C178-D70F-490B-9425-AA7970FA1263}" name="Column800"/>
    <tableColumn id="806" xr3:uid="{8514D411-EB31-489F-AFEB-C470B96BFADC}" name="Column801"/>
    <tableColumn id="807" xr3:uid="{8CD543A1-CA29-4C35-8A08-42D96F44C3DF}" name="Column802"/>
    <tableColumn id="808" xr3:uid="{CB406B60-295E-4552-A1D9-1422B5C37F56}" name="Column803"/>
    <tableColumn id="809" xr3:uid="{5A402C03-EACF-4AD8-8FBA-EF8BB46D8961}" name="Column804"/>
    <tableColumn id="810" xr3:uid="{1BB6F6C2-C1B6-43BB-AC9E-68E68E810583}" name="Column805"/>
    <tableColumn id="811" xr3:uid="{4B117B92-B8A6-4558-82AF-76E751077B87}" name="Column806"/>
    <tableColumn id="812" xr3:uid="{C5C09270-B100-4ED9-B9F3-D8C26CAED402}" name="Column807"/>
    <tableColumn id="813" xr3:uid="{0E140FA7-1704-4949-A9DB-009D9B1EBA71}" name="Column808"/>
    <tableColumn id="814" xr3:uid="{FCC9DD41-550C-44D7-982F-1A0BDC5655EE}" name="Column809"/>
    <tableColumn id="815" xr3:uid="{DEEF9B0E-EB0F-4043-B8E8-DAC329153E20}" name="Column810"/>
    <tableColumn id="816" xr3:uid="{4785C4BF-B70A-45CA-94BB-4FD2AD8C61A2}" name="Column811"/>
    <tableColumn id="817" xr3:uid="{8703AE20-802B-462F-862F-321572F83E43}" name="Column812"/>
    <tableColumn id="818" xr3:uid="{50A737C6-BFA5-4C22-A4FA-92690D95792A}" name="Column813"/>
    <tableColumn id="819" xr3:uid="{2C4E14F6-E632-4C2C-BFFA-B2A33CBFFEB5}" name="Column814"/>
    <tableColumn id="820" xr3:uid="{8199DF7E-5C37-4BA9-82DD-63340F0A4422}" name="Column815"/>
    <tableColumn id="821" xr3:uid="{F6C6566D-3E14-4FFC-915F-7428BAFFD5F9}" name="Column816"/>
    <tableColumn id="822" xr3:uid="{7C0C3A09-5225-4BF8-807A-B7652931E58B}" name="Column817"/>
    <tableColumn id="823" xr3:uid="{D5C2B311-E5B4-4F10-A72B-FEB691C80A38}" name="Column818"/>
    <tableColumn id="824" xr3:uid="{484DDC78-AD98-4363-B26C-61533B1FA0D4}" name="Column819"/>
    <tableColumn id="825" xr3:uid="{1AA37E79-E8C7-45F9-864C-FDE31AD22FDF}" name="Column820"/>
    <tableColumn id="826" xr3:uid="{9D545E1C-1C0D-43E5-8279-3EEAB9E488CA}" name="Column821"/>
    <tableColumn id="827" xr3:uid="{9ADCE4F9-FB47-4EE9-9C12-C53C05A346AE}" name="Column822"/>
    <tableColumn id="828" xr3:uid="{8941A1B3-C3F6-498B-8D7D-8F37549A4B5D}" name="Column823"/>
    <tableColumn id="829" xr3:uid="{BB316C4D-9001-4839-A0F4-9E10713C2E8F}" name="Column824"/>
    <tableColumn id="830" xr3:uid="{D9D49166-50FB-4A08-84AD-AF82B5EDF00F}" name="Column825"/>
    <tableColumn id="831" xr3:uid="{D9B2431B-BFCB-47AE-AF96-080891C51ED4}" name="Column826"/>
    <tableColumn id="832" xr3:uid="{24F25E6E-7436-4C75-80EB-940E156DBC08}" name="Column827"/>
    <tableColumn id="833" xr3:uid="{04B51D96-AE32-461B-B9CC-3747D7EDE901}" name="Column828"/>
    <tableColumn id="834" xr3:uid="{0E96D3EF-FE8D-4CAC-82DC-829342D9EE39}" name="Column829"/>
    <tableColumn id="835" xr3:uid="{042B119C-FEAD-4CE1-B7A8-FC42448062B6}" name="Column830"/>
    <tableColumn id="836" xr3:uid="{D3461D96-E185-448B-9A0E-74A68D609370}" name="Column831"/>
    <tableColumn id="837" xr3:uid="{199EBFB5-4A47-444E-A75C-767E6F5638E0}" name="Column832"/>
    <tableColumn id="838" xr3:uid="{978365E8-80F8-4CB6-BCB4-CB63FCECDA1A}" name="Column833"/>
    <tableColumn id="839" xr3:uid="{294D9EEA-9C89-4661-8BCF-FC144F0BE8AD}" name="Column834"/>
    <tableColumn id="840" xr3:uid="{E729119D-75D7-45EB-91E6-F250DA09F98E}" name="Column835"/>
    <tableColumn id="841" xr3:uid="{3B53112E-C0B5-4EEF-B5CA-E912B3985CDE}" name="Column836"/>
    <tableColumn id="842" xr3:uid="{2BD46B9B-34EF-40D5-9422-2C433CFD100F}" name="Column837"/>
    <tableColumn id="843" xr3:uid="{71EC9378-F947-4891-884C-789DF040D694}" name="Column838"/>
    <tableColumn id="844" xr3:uid="{983BB329-1A35-45CA-A8B1-8DE5ACC86EC9}" name="Column839"/>
    <tableColumn id="845" xr3:uid="{16AC53C7-690E-4637-BB4E-ED34D3F5871B}" name="Column840"/>
    <tableColumn id="846" xr3:uid="{2549EA79-4F32-42B0-A556-FFBDF59D9452}" name="Column841"/>
    <tableColumn id="847" xr3:uid="{BA02D1B5-7E61-44A7-BD72-A78BBE041805}" name="Column842"/>
    <tableColumn id="848" xr3:uid="{D78C0770-B882-4F17-9F37-A53C42AB81C8}" name="Column843"/>
    <tableColumn id="849" xr3:uid="{B975C5CB-C7ED-4471-997A-449B50978676}" name="Column844"/>
    <tableColumn id="850" xr3:uid="{870C33E0-7D2D-4773-B587-F897DCFBEA66}" name="Column845"/>
    <tableColumn id="851" xr3:uid="{0F3FDA23-EF96-47A9-8FC5-82FE93A79706}" name="Column846"/>
    <tableColumn id="852" xr3:uid="{BAAC06C4-7D59-4BC4-8C8F-4FE18666224A}" name="Column847"/>
    <tableColumn id="853" xr3:uid="{6C4DD989-F313-420B-B73F-800662AF6986}" name="Column848"/>
    <tableColumn id="854" xr3:uid="{41157EEC-E0D5-4092-A0B6-D6E97379BB58}" name="Column849"/>
    <tableColumn id="855" xr3:uid="{C1E30079-CFD3-4DAA-BFA2-758A384D011C}" name="Column850"/>
    <tableColumn id="856" xr3:uid="{38258996-0C3C-47CD-B495-DD6D63D56218}" name="Column851"/>
    <tableColumn id="857" xr3:uid="{0BD7F558-EE15-422B-9D0F-E9C6EC47F2FD}" name="Column852"/>
    <tableColumn id="858" xr3:uid="{1A9BB4F5-5A8B-4511-9B1A-81C47B1C24B1}" name="Column853"/>
    <tableColumn id="859" xr3:uid="{89DE1196-5EEE-4113-A054-59801D62D032}" name="Column854"/>
    <tableColumn id="860" xr3:uid="{5F41323C-2C71-4258-A6E0-6D93F82A2BD4}" name="Column855"/>
    <tableColumn id="861" xr3:uid="{C18C4E54-E6BA-4CF2-AEBB-0710B925DE6B}" name="Column856"/>
    <tableColumn id="862" xr3:uid="{B3BC1CED-E1B7-4D7F-A6FA-22E70E2E2EAA}" name="Column857"/>
    <tableColumn id="863" xr3:uid="{6726277B-AA59-4DE7-92D7-7983D4A2F011}" name="Column858"/>
    <tableColumn id="864" xr3:uid="{6C7AF2C2-CB61-47B2-A13D-158EB48DF6AE}" name="Column859"/>
    <tableColumn id="865" xr3:uid="{F1EFD428-DC07-462E-B1B1-7526DB409A5B}" name="Column860"/>
    <tableColumn id="866" xr3:uid="{9BFDCF82-9B80-42B1-824B-1E4851F729FE}" name="Column861"/>
    <tableColumn id="867" xr3:uid="{530EEB9D-4911-4661-A361-8B792D8977F9}" name="Column862"/>
    <tableColumn id="868" xr3:uid="{69EBAB57-D49F-42A3-BB6B-FDABB8CC4D4C}" name="Column863"/>
    <tableColumn id="869" xr3:uid="{24CB1FEA-98F8-4D6F-9B93-8B31AFF8A0FD}" name="Column864"/>
    <tableColumn id="870" xr3:uid="{B6806A04-B8DD-409A-B8CA-C72576EA86B7}" name="Column865"/>
    <tableColumn id="871" xr3:uid="{E365A8F4-055F-4A53-88BA-F269DADE38A6}" name="Column866"/>
    <tableColumn id="872" xr3:uid="{886A07D5-7EEB-4ECB-A385-98515302BB02}" name="Column867"/>
    <tableColumn id="873" xr3:uid="{D5710113-B4A2-499B-8F25-5CFE9C69486C}" name="Column868"/>
    <tableColumn id="874" xr3:uid="{6FC516B2-67FD-4E8D-9EFF-8951359776E4}" name="Column869"/>
    <tableColumn id="875" xr3:uid="{F1A57159-D319-4667-8B7D-0B444E0283BA}" name="Column870"/>
    <tableColumn id="876" xr3:uid="{964F479F-2853-4F8F-A459-D66F91E281CF}" name="Column871"/>
    <tableColumn id="877" xr3:uid="{FA095F6F-0840-4D21-81C3-3FBC5B02C5F9}" name="Column872"/>
    <tableColumn id="878" xr3:uid="{4BEB5130-5098-435B-A028-73008B30403D}" name="Column873"/>
    <tableColumn id="879" xr3:uid="{047F1B74-0A6C-41D3-A326-A3AF1518470A}" name="Column874"/>
    <tableColumn id="880" xr3:uid="{E4FB4090-9211-40B3-9DA2-0AB7EDF7E3C2}" name="Column875"/>
    <tableColumn id="881" xr3:uid="{D1198F59-4FB3-4BFC-B3DE-A16BFB7985CA}" name="Column876"/>
    <tableColumn id="882" xr3:uid="{3D91C801-F8F8-4B0B-9E18-2761C8C7CA27}" name="Column877"/>
    <tableColumn id="883" xr3:uid="{459FBD54-E2D1-4165-A755-A92E4A476DFE}" name="Column878"/>
    <tableColumn id="884" xr3:uid="{4DA9DB2E-7268-4DBF-B216-02B4177454C6}" name="Column879"/>
    <tableColumn id="885" xr3:uid="{951F3E9A-861F-49D9-B4B0-B1F9152AC161}" name="Column880"/>
    <tableColumn id="886" xr3:uid="{CB6DFF69-BBB8-4F04-9A0A-EA5CAE76D5BE}" name="Column881"/>
    <tableColumn id="887" xr3:uid="{AF45FB78-3063-438C-86CA-6AA5AFCFCC5B}" name="Column882"/>
    <tableColumn id="888" xr3:uid="{3F73D581-BDA1-4B3D-B29E-3A2A36F02C19}" name="Column883"/>
    <tableColumn id="889" xr3:uid="{54D46612-CFF9-4D1D-AA8A-440D74400F48}" name="Column884"/>
    <tableColumn id="890" xr3:uid="{F73ED80C-F7D1-44F5-85FE-8CB6170B51A4}" name="Column885"/>
    <tableColumn id="891" xr3:uid="{02AA4E81-319D-40CA-B655-168A27304DA5}" name="Column886"/>
    <tableColumn id="892" xr3:uid="{EC6309C3-FE25-4FAB-A32E-DCD2955AEF67}" name="Column887"/>
    <tableColumn id="893" xr3:uid="{4BC3EB25-FBFE-4980-A948-B14D2B197971}" name="Column888"/>
    <tableColumn id="894" xr3:uid="{E3DE24ED-9903-49B5-A9E1-EE95C6D3F63F}" name="Column889"/>
    <tableColumn id="895" xr3:uid="{33109412-B91E-493C-B016-7871CC01AE2A}" name="Column890"/>
    <tableColumn id="896" xr3:uid="{C7307EFF-4D29-483B-8CAE-74D62DD68B0A}" name="Column891"/>
    <tableColumn id="897" xr3:uid="{3C879E89-28F6-49AB-8E44-9119FF7974CE}" name="Column892"/>
    <tableColumn id="898" xr3:uid="{69053CEC-D06F-4BB4-A561-F68EBEB94AE9}" name="Column893"/>
    <tableColumn id="899" xr3:uid="{8A484385-B538-448C-A87A-534A212C3743}" name="Column894"/>
    <tableColumn id="900" xr3:uid="{6D6AD1AF-0523-482F-B8B4-52BB4D3F533D}" name="Column895"/>
    <tableColumn id="901" xr3:uid="{94B74331-98ED-48A2-9F11-DF4233943ACF}" name="Column896"/>
    <tableColumn id="902" xr3:uid="{6C2FF6DB-E001-4414-A12B-C41E909D151D}" name="Column897"/>
    <tableColumn id="903" xr3:uid="{BB019350-B35B-4BC8-9990-0EDDE96474BE}" name="Column898"/>
    <tableColumn id="904" xr3:uid="{7FB7AD3F-5626-4757-BFAD-21466B6C28C8}" name="Column899"/>
    <tableColumn id="905" xr3:uid="{6EC91E08-7170-4C2C-AB25-29AEC35B0CBE}" name="Column900"/>
    <tableColumn id="906" xr3:uid="{92927C59-4F10-4BA5-B503-884EE25BF5A4}" name="Column901"/>
    <tableColumn id="907" xr3:uid="{F185D1D1-3FEF-4C48-887F-D889ABC7094F}" name="Column902"/>
    <tableColumn id="908" xr3:uid="{1282D06E-ADDE-4D04-A8DB-7AA7FCE02545}" name="Column903"/>
    <tableColumn id="909" xr3:uid="{ED207894-5F64-49E1-B8E8-5762359BC49E}" name="Column904"/>
    <tableColumn id="910" xr3:uid="{50398CD0-68C7-4BAB-AE75-665860FA1F36}" name="Column905"/>
    <tableColumn id="911" xr3:uid="{B8CA4AD5-D130-4FFA-872C-BA178B69C9A8}" name="Column906"/>
    <tableColumn id="912" xr3:uid="{37E9D82C-F196-447E-B524-64757B83CC51}" name="Column907"/>
    <tableColumn id="913" xr3:uid="{963D4D65-9336-4EF7-8ECF-75A3A4F86518}" name="Column908"/>
    <tableColumn id="914" xr3:uid="{9551E464-593B-4AAF-B5E2-139A424D34B4}" name="Column909"/>
    <tableColumn id="915" xr3:uid="{CF385B26-85C9-4F0A-A3A7-2D41F11F8E87}" name="Column910"/>
    <tableColumn id="916" xr3:uid="{E49863C1-1E81-4368-822F-D7BC465DC81C}" name="Column911"/>
    <tableColumn id="917" xr3:uid="{DFE1ACCE-4B52-4DFA-98C8-CD4B654D2C98}" name="Column912"/>
    <tableColumn id="918" xr3:uid="{3D5B11CF-28BB-4E8C-B510-1EF81CEF4744}" name="Column913"/>
    <tableColumn id="919" xr3:uid="{D41F8FCE-E4EE-4E26-A39E-5D87F0FDE81F}" name="Column914"/>
    <tableColumn id="920" xr3:uid="{3299CB06-3A9B-4512-A284-7D3DFC1BF184}" name="Column915"/>
    <tableColumn id="921" xr3:uid="{140710B7-50D2-4068-A5F6-946C58CECA33}" name="Column916"/>
    <tableColumn id="922" xr3:uid="{B54E5940-7FCC-4C2A-A858-E57E159B77D0}" name="Column917"/>
    <tableColumn id="923" xr3:uid="{E806F41D-03ED-470E-B2E9-5C5C6F9F69B0}" name="Column918"/>
    <tableColumn id="924" xr3:uid="{0E2D4756-AE9B-4C1A-9CC4-338403AA31D1}" name="Column919"/>
    <tableColumn id="925" xr3:uid="{2918CCAC-606A-4F07-9277-E38CA88DEF30}" name="Column920"/>
    <tableColumn id="926" xr3:uid="{6150342B-73E6-4244-8D56-90D13A56E32F}" name="Column921"/>
    <tableColumn id="927" xr3:uid="{7B9CCAC3-5837-4D84-B271-759E0DCC3907}" name="Column922"/>
    <tableColumn id="928" xr3:uid="{B18C73D9-10EC-4A39-A859-BAE920310C7D}" name="Column923"/>
    <tableColumn id="929" xr3:uid="{E6FB1F5D-B0B9-4B5E-AF5C-9B24CCE299CB}" name="Column924"/>
    <tableColumn id="930" xr3:uid="{37529862-E1B4-46CA-B63F-01721791938A}" name="Column925"/>
    <tableColumn id="931" xr3:uid="{BBDA2C70-64D7-49B9-9E09-54064DDB3560}" name="Column926"/>
    <tableColumn id="932" xr3:uid="{B8D0FB02-85CD-4D81-B58C-15EE5FA01CAF}" name="Column927"/>
    <tableColumn id="933" xr3:uid="{E934D451-9B35-48F9-B573-322BDC4F866C}" name="Column928"/>
    <tableColumn id="934" xr3:uid="{33427EDC-9DC9-49FE-B6C6-F6A943123732}" name="Column929"/>
    <tableColumn id="935" xr3:uid="{2ABA9FFA-2E05-47F1-AA52-86C93BBED2ED}" name="Column930"/>
    <tableColumn id="936" xr3:uid="{E5A418AA-DE8A-413D-A343-73BC864E4764}" name="Column931"/>
    <tableColumn id="937" xr3:uid="{07B31398-92B6-43CB-AE62-029F70EC2CC2}" name="Column932"/>
    <tableColumn id="938" xr3:uid="{BA0104C8-C0AA-43E2-8111-9D0D5380CBEF}" name="Column933"/>
    <tableColumn id="939" xr3:uid="{111D11E2-C049-4A3B-A483-FCBBB4835557}" name="Column934"/>
    <tableColumn id="940" xr3:uid="{89EFEC80-4D3F-4642-BB8D-F8F8D00D6E5C}" name="Column935"/>
    <tableColumn id="941" xr3:uid="{1A806D4F-F806-4C97-B2AC-EDE6419EF2F9}" name="Column936"/>
    <tableColumn id="942" xr3:uid="{8E41084F-C6D9-4668-AD7B-F1968B155DF6}" name="Column937"/>
    <tableColumn id="943" xr3:uid="{555038D2-17BA-4429-84BE-2508C4F21C96}" name="Column938"/>
    <tableColumn id="944" xr3:uid="{7630EB26-7F34-4D0A-9028-09453E88C8AB}" name="Column939"/>
    <tableColumn id="945" xr3:uid="{3892FCA8-37EF-4508-8D5C-819304F7C2A5}" name="Column940"/>
    <tableColumn id="946" xr3:uid="{9E33E47F-2740-4745-BB92-5FAE5785F66C}" name="Column941"/>
    <tableColumn id="947" xr3:uid="{CE30B21B-09A0-4D6D-BED7-8F53AEDB3E60}" name="Column942"/>
    <tableColumn id="948" xr3:uid="{4AAF04AA-5F69-4EDF-8EEE-9D0D0A0DF0DF}" name="Column943"/>
    <tableColumn id="949" xr3:uid="{A7EE36DF-6D11-45B6-B64D-0BE08C0BF01A}" name="Column944"/>
    <tableColumn id="950" xr3:uid="{A91429D0-246D-445C-B4B9-392CB4DE739F}" name="Column945"/>
    <tableColumn id="951" xr3:uid="{E1CB59DE-B9FE-4A31-991E-F0597F15F491}" name="Column946"/>
    <tableColumn id="952" xr3:uid="{BE7EA21A-C3AE-4470-B697-1D639460EC88}" name="Column947"/>
    <tableColumn id="953" xr3:uid="{98A59D15-CD72-4AC7-94D1-E58F1DC949AA}" name="Column948"/>
    <tableColumn id="954" xr3:uid="{DFD8FC93-EBDA-4AB0-8098-C127ED91FB14}" name="Column949"/>
    <tableColumn id="955" xr3:uid="{AC51A258-C0D7-45DC-B929-8B554333ECE1}" name="Column950"/>
    <tableColumn id="956" xr3:uid="{ED07D584-3654-4BD4-89BE-F3B249BFB19B}" name="Column951"/>
    <tableColumn id="957" xr3:uid="{3CD06F7E-6638-4F73-A879-5F6290A9772E}" name="Column952"/>
    <tableColumn id="958" xr3:uid="{7AB01208-BE24-41CC-B53D-1BBB8C654673}" name="Column953"/>
    <tableColumn id="959" xr3:uid="{6359230D-B5F2-43F9-A67A-97592066E7B7}" name="Column954"/>
    <tableColumn id="960" xr3:uid="{D62CB3FA-307B-49F2-B295-0B6BC2055B55}" name="Column955"/>
    <tableColumn id="961" xr3:uid="{5B09034D-58AC-4353-8C8F-8798EAA57E92}" name="Column956"/>
    <tableColumn id="962" xr3:uid="{8FE748CD-258C-4246-8783-8FE4CD716BD3}" name="Column957"/>
    <tableColumn id="963" xr3:uid="{A7E57CBE-B83E-4A96-85C6-395F99DF3388}" name="Column958"/>
    <tableColumn id="964" xr3:uid="{62B7E9D6-B7D0-41B2-AC08-E0BA4858BEF1}" name="Column959"/>
    <tableColumn id="965" xr3:uid="{F3E0AF4E-2068-45DD-8019-D806DFB16E66}" name="Column960"/>
    <tableColumn id="966" xr3:uid="{D8BCA204-F13E-4DC4-9232-119CB319F490}" name="Column961"/>
    <tableColumn id="967" xr3:uid="{16AE4568-86B3-4ABA-BA7F-A7D4EF074EB3}" name="Column962"/>
    <tableColumn id="968" xr3:uid="{F665D1A4-BDDB-46E0-8565-5F3A800C839D}" name="Column963"/>
    <tableColumn id="969" xr3:uid="{9D900C6B-0F1F-4972-A7AE-85B29B9E52FE}" name="Column964"/>
    <tableColumn id="970" xr3:uid="{FA7AEC2A-8348-4B62-89FC-7DC5283623FB}" name="Column965"/>
    <tableColumn id="971" xr3:uid="{BFC1C036-AFEE-412E-B94A-45C3159E681E}" name="Column966"/>
    <tableColumn id="972" xr3:uid="{B84A8206-7D0C-4A43-952C-2BDB20AAD144}" name="Column967"/>
    <tableColumn id="973" xr3:uid="{F8C88F99-C27E-4C69-B438-9F8B369B8CFE}" name="Column968"/>
    <tableColumn id="974" xr3:uid="{FB287950-5401-45CA-866E-502231DAD223}" name="Column969"/>
    <tableColumn id="975" xr3:uid="{063B8D11-399D-4AE3-AC66-28CBFE91A918}" name="Column970"/>
    <tableColumn id="976" xr3:uid="{49EEE0C9-693F-4DD0-A482-3B07D08046BF}" name="Column971"/>
    <tableColumn id="977" xr3:uid="{22E9E919-BB82-4417-A4A0-20425F64E38C}" name="Column972"/>
    <tableColumn id="978" xr3:uid="{42C6F75F-235E-4CB5-8A93-BF14FD9A5D62}" name="Column973"/>
    <tableColumn id="979" xr3:uid="{0B2A1268-E810-4BD9-B189-17DDF33CD2AB}" name="Column974"/>
    <tableColumn id="980" xr3:uid="{E2D47552-1EB0-41FD-BB03-95ABE3F457D4}" name="Column975"/>
    <tableColumn id="981" xr3:uid="{F07D9892-4D8D-4538-A7AA-36B7315B23E1}" name="Column976"/>
    <tableColumn id="982" xr3:uid="{C3039003-A613-42C9-A420-02140472CD75}" name="Column977"/>
    <tableColumn id="983" xr3:uid="{A05D7A2E-5074-4DC9-A095-692443CAE570}" name="Column978"/>
    <tableColumn id="984" xr3:uid="{F0B1E2D6-3CBF-43C5-AD9E-5D7F4E2C8E9E}" name="Column979"/>
    <tableColumn id="985" xr3:uid="{DAD507C4-48BD-4F33-8DB9-39F8FC2D77FF}" name="Column980"/>
    <tableColumn id="986" xr3:uid="{7440D2D9-6A1A-475B-B35A-B00021495374}" name="Column981"/>
    <tableColumn id="987" xr3:uid="{96DDF2E8-24A4-4EFE-9A0A-E018F3423ADF}" name="Column982"/>
    <tableColumn id="988" xr3:uid="{3AA2AC5C-D04E-4666-BDAB-C0A4B2C464F7}" name="Column983"/>
    <tableColumn id="989" xr3:uid="{5D54CD97-AF5C-47D8-8256-68A60FB53A47}" name="Column984"/>
    <tableColumn id="990" xr3:uid="{0E2541B9-EDB7-4FE4-B617-E4FB08FE9B74}" name="Column985"/>
    <tableColumn id="991" xr3:uid="{BFFC8B9D-E2A5-4B79-AA1A-927ACBE53919}" name="Column986"/>
    <tableColumn id="992" xr3:uid="{3277CA3B-862A-4C36-BB41-524B737FFE0E}" name="Column987"/>
    <tableColumn id="993" xr3:uid="{917EE329-640B-4F72-B6A5-83077214C1A9}" name="Column988"/>
    <tableColumn id="994" xr3:uid="{FF2A495D-9C8E-4525-A6B2-6DDAB99064E4}" name="Column989"/>
    <tableColumn id="995" xr3:uid="{06027891-258E-4371-93CA-EEADE7C47CF0}" name="Column990"/>
    <tableColumn id="996" xr3:uid="{91D2332C-1335-42D1-AB32-CA6354EB061A}" name="Column991"/>
    <tableColumn id="997" xr3:uid="{9F87815B-EE09-4EF2-B36A-24C6AFEF98EA}" name="Column992"/>
    <tableColumn id="998" xr3:uid="{E4C71F54-B757-4060-9804-DDC901DDFD7A}" name="Column993"/>
    <tableColumn id="999" xr3:uid="{DBF54228-432B-4427-8172-9B778018B49C}" name="Column994"/>
    <tableColumn id="1000" xr3:uid="{3E22227C-3BFA-44A3-BE26-81253859C20D}" name="Column995"/>
    <tableColumn id="1001" xr3:uid="{D7CE574E-99AA-4174-8482-C7EFAC9127AC}" name="Column996"/>
    <tableColumn id="1002" xr3:uid="{83060E85-7DA6-4292-BDF4-8B5F9A9A2007}" name="Column997"/>
    <tableColumn id="1003" xr3:uid="{A308277E-3233-4FCB-A708-C6DC30C39B51}" name="Column998"/>
    <tableColumn id="1004" xr3:uid="{CD1361CF-35E2-453F-97E3-04E81DA24345}" name="Column999"/>
    <tableColumn id="1005" xr3:uid="{0B4CBC0F-A9D5-4EEB-AD72-E55BBA967385}" name="Column1000"/>
    <tableColumn id="1006" xr3:uid="{C06A55FE-CE0C-415E-9FCE-52BD033A76CE}" name="Column1001"/>
    <tableColumn id="1007" xr3:uid="{881CAA8D-B7C2-40C7-9FAC-F803E06FFCBF}" name="Column1002"/>
    <tableColumn id="1008" xr3:uid="{53BD77A2-45CA-4238-867D-A73DFA9F74CE}" name="Column1003"/>
    <tableColumn id="1009" xr3:uid="{BE45FECA-0561-4285-9306-D65EDCFE4C5B}" name="Column1004"/>
    <tableColumn id="1010" xr3:uid="{CBF0F545-6833-4DF2-8EE1-753B23B40F58}" name="Column1005"/>
    <tableColumn id="1011" xr3:uid="{118AC832-6FCC-4BDF-B222-78874F2D807B}" name="Column1006"/>
    <tableColumn id="1012" xr3:uid="{076C5AD7-02CD-4119-88FE-6C9732E1EEA2}" name="Column1007"/>
    <tableColumn id="1013" xr3:uid="{7B413A89-63DB-4F3C-A01D-2D261D31B574}" name="Column1008"/>
    <tableColumn id="1014" xr3:uid="{7864E30F-6ED0-4A25-B5DE-44E1F03FED5B}" name="Column1009"/>
    <tableColumn id="1015" xr3:uid="{576A3E77-2B00-403E-8C22-F2F56D3ADCEA}" name="Column1010"/>
    <tableColumn id="1016" xr3:uid="{4029D563-68EB-4791-A683-17E737A4CE0E}" name="Column1011"/>
    <tableColumn id="1017" xr3:uid="{E59ADABB-BAE2-4B90-84EE-63509D37508F}" name="Column1012"/>
    <tableColumn id="1018" xr3:uid="{1FB47479-CFED-4228-AAFD-48DCE2CE1CAD}" name="Column1013"/>
    <tableColumn id="1019" xr3:uid="{44ACFA5C-1BF3-4CC9-9EBE-08FD6A87E41D}" name="Column1014"/>
    <tableColumn id="1020" xr3:uid="{563C1AFF-DFB8-4070-8A29-7FEE743061BA}" name="Column1015"/>
    <tableColumn id="1021" xr3:uid="{07910B2F-69B6-4597-8894-89A762FF5D34}" name="Column1016"/>
    <tableColumn id="1022" xr3:uid="{287404C8-339A-4DD9-BD99-8D8DD069EC21}" name="Column1017"/>
    <tableColumn id="1023" xr3:uid="{5D7CF46B-410F-4123-AFF9-897C1332BE7A}" name="Column1018"/>
    <tableColumn id="1024" xr3:uid="{EC027B11-56EB-4D39-80B8-17D9A1DB99BE}" name="Column1019"/>
    <tableColumn id="1025" xr3:uid="{F8FC4D25-BD32-4581-A1DC-C66487CB8150}" name="Column1020"/>
    <tableColumn id="1026" xr3:uid="{B20B2B20-0B11-48FA-8A34-6710C4256751}" name="Column1021"/>
    <tableColumn id="1027" xr3:uid="{66D76A80-2439-4F5F-BD06-5C4B8D442C97}" name="Column1022"/>
    <tableColumn id="1028" xr3:uid="{30C859A4-4131-41BA-9D08-511C65E16BAF}" name="Column1023"/>
    <tableColumn id="1029" xr3:uid="{0F612AC3-365F-4A09-B076-AFFFC9D1B333}" name="Column1024"/>
    <tableColumn id="1030" xr3:uid="{11235AAE-2DE8-4EBA-857E-BCB6517DC5C4}" name="Column1025"/>
    <tableColumn id="1031" xr3:uid="{252AFD14-73F4-4A26-89B7-006DE30DB7BC}" name="Column1026"/>
    <tableColumn id="1032" xr3:uid="{12C60B33-8809-4F03-9263-9CA37B06F598}" name="Column1027"/>
    <tableColumn id="1033" xr3:uid="{5E357267-F742-45FB-AA7B-EBB9E2716018}" name="Column1028"/>
    <tableColumn id="1034" xr3:uid="{A9197741-B2A3-42A6-9C15-6823E713C62E}" name="Column1029"/>
    <tableColumn id="1035" xr3:uid="{B354E818-AE4E-4E41-A873-94ECB5BDE9BB}" name="Column1030"/>
    <tableColumn id="1036" xr3:uid="{1434563D-304F-438B-9BA0-5DF33E8987C4}" name="Column1031"/>
    <tableColumn id="1037" xr3:uid="{CD56F8FE-FC71-4D01-B11C-C2F6D57C16FD}" name="Column1032"/>
    <tableColumn id="1038" xr3:uid="{94A50E10-576D-440B-B91D-4B2282DBCAD1}" name="Column1033"/>
    <tableColumn id="1039" xr3:uid="{D5BAD970-AE93-4C6C-8D6C-17F518D72164}" name="Column1034"/>
    <tableColumn id="1040" xr3:uid="{20CA100E-2EC6-434B-B82A-2F5DC2975CC3}" name="Column1035"/>
    <tableColumn id="1041" xr3:uid="{BD86C35C-025A-4702-A510-2B2D98F96CB3}" name="Column1036"/>
    <tableColumn id="1042" xr3:uid="{9F202106-E7F3-4DCB-A376-54B522109683}" name="Column1037"/>
    <tableColumn id="1043" xr3:uid="{70418818-10F4-4984-BD08-3E630DCAC458}" name="Column1038"/>
    <tableColumn id="1044" xr3:uid="{DDA18C89-F469-4701-992C-1A0BD2B8B356}" name="Column1039"/>
    <tableColumn id="1045" xr3:uid="{83CD5669-6BD9-4A93-8B31-7459956C32BE}" name="Column1040"/>
    <tableColumn id="1046" xr3:uid="{6BC4A3E2-6F2B-4E49-97A7-DF8B263A79E0}" name="Column1041"/>
    <tableColumn id="1047" xr3:uid="{10DB35B0-184C-4C4D-B497-B413FDF66381}" name="Column1042"/>
    <tableColumn id="1048" xr3:uid="{2EEBAC15-E92E-4327-80C4-DF641EB37802}" name="Column1043"/>
    <tableColumn id="1049" xr3:uid="{6307EFAF-6427-4518-9889-654E3E561BC0}" name="Column1044"/>
    <tableColumn id="1050" xr3:uid="{98DFA926-6487-4D9B-A9CD-8A2BD5FD562A}" name="Column1045"/>
    <tableColumn id="1051" xr3:uid="{F1220A86-1515-4BD5-B733-4F3C6E2B19B1}" name="Column1046"/>
    <tableColumn id="1052" xr3:uid="{577D766C-BBFE-4AE4-A27A-CB9E3FF07A27}" name="Column1047"/>
    <tableColumn id="1053" xr3:uid="{198944B7-825F-4DB5-896F-11F197A13E0D}" name="Column1048"/>
    <tableColumn id="1054" xr3:uid="{95216BE4-DB42-4C94-9FB0-AA7B1EAE67E2}" name="Column1049"/>
    <tableColumn id="1055" xr3:uid="{D5E30291-FB34-433C-BCC6-DFE43AF92718}" name="Column1050"/>
    <tableColumn id="1056" xr3:uid="{46534049-4D4A-406F-9865-CA48713B91D3}" name="Column1051"/>
    <tableColumn id="1057" xr3:uid="{0A53D18C-0E4D-46B3-AF71-E06517FC89E0}" name="Column1052"/>
    <tableColumn id="1058" xr3:uid="{094D76B2-1963-4D87-9820-F6A53023CF04}" name="Column1053"/>
    <tableColumn id="1059" xr3:uid="{D37C6012-B9F7-453E-A4D6-D20DBCCFC9DA}" name="Column1054"/>
    <tableColumn id="1060" xr3:uid="{20807FD4-E8E3-4AB7-BD50-84C2C405DF60}" name="Column1055"/>
    <tableColumn id="1061" xr3:uid="{8D1DFA7A-B6CA-4543-BE00-94D92FD83301}" name="Column1056"/>
    <tableColumn id="1062" xr3:uid="{DB6796C3-BD2A-48F2-9666-557246583E24}" name="Column1057"/>
    <tableColumn id="1063" xr3:uid="{8398DBD6-D67A-4C86-9A67-AD2AE37CDB7B}" name="Column1058"/>
    <tableColumn id="1064" xr3:uid="{897EDA5A-53C1-4CF0-AB72-6359AC26F12B}" name="Column1059"/>
    <tableColumn id="1065" xr3:uid="{C9BC042C-73BD-407B-9A88-48075ED6FCEF}" name="Column1060"/>
    <tableColumn id="1066" xr3:uid="{A30B5B1E-F641-4DD2-B954-B18F161017F0}" name="Column1061"/>
    <tableColumn id="1067" xr3:uid="{9692E789-6760-4982-A9B5-43AF48EF1D50}" name="Column1062"/>
    <tableColumn id="1068" xr3:uid="{BA08FEF6-8B96-40D5-8146-4B8E3E387FA0}" name="Column1063"/>
    <tableColumn id="1069" xr3:uid="{9442A45B-62D4-4318-9217-A6B53F5ECCB1}" name="Column1064"/>
    <tableColumn id="1070" xr3:uid="{336D8FC2-47FF-45DB-ABE3-9A8BF85F13C4}" name="Column1065"/>
    <tableColumn id="1071" xr3:uid="{1FEBE6B8-B111-44F2-9DD0-9D32909B1D0B}" name="Column1066"/>
    <tableColumn id="1072" xr3:uid="{19B222D8-FD48-42C8-81DF-46D7295C5EA5}" name="Column1067"/>
    <tableColumn id="1073" xr3:uid="{7633A43F-ACBB-49DB-9D9A-F585DD00B756}" name="Column1068"/>
    <tableColumn id="1074" xr3:uid="{ABC9E5F2-0610-49A6-BF33-C7A409D5300C}" name="Column1069"/>
    <tableColumn id="1075" xr3:uid="{6A56471D-E6E9-4476-A5B1-65438089D73C}" name="Column1070"/>
    <tableColumn id="1076" xr3:uid="{2A41B603-7708-4A8B-8AE1-2E99CF154A81}" name="Column1071"/>
    <tableColumn id="1077" xr3:uid="{E558277D-687E-4201-8C81-AD7F1D323A4B}" name="Column1072"/>
    <tableColumn id="1078" xr3:uid="{197F1A9D-51CC-4F56-9AE7-FACD42877B58}" name="Column1073"/>
    <tableColumn id="1079" xr3:uid="{0E589F0E-D9EA-4983-B42F-821711E60AD1}" name="Column1074"/>
    <tableColumn id="1080" xr3:uid="{DCB55E6E-E91B-47B5-A685-0E46A492DA64}" name="Column1075"/>
    <tableColumn id="1081" xr3:uid="{8190D12C-7F1A-4BF2-827B-D1C79CF739FB}" name="Column1076"/>
    <tableColumn id="1082" xr3:uid="{3D3F4B0D-D4FC-4B0D-9490-8494B957F8D7}" name="Column1077"/>
    <tableColumn id="1083" xr3:uid="{D6075CEE-12AC-49B7-8B10-8D2E49C93B91}" name="Column1078"/>
    <tableColumn id="1084" xr3:uid="{76983F3E-BDF5-402C-BB84-C06DCB0BA564}" name="Column1079"/>
    <tableColumn id="1085" xr3:uid="{DC1E9AEC-1552-4D08-B001-3969C762300E}" name="Column1080"/>
    <tableColumn id="1086" xr3:uid="{ECBFD16A-D399-4A0B-8AB7-361B51F64AEE}" name="Column1081"/>
    <tableColumn id="1087" xr3:uid="{6FAD67C0-0506-4938-8E79-892045016F79}" name="Column1082"/>
    <tableColumn id="1088" xr3:uid="{1900DBEA-571B-4EAF-9083-665772F08C6F}" name="Column1083"/>
    <tableColumn id="1089" xr3:uid="{762CFC7B-01A6-4CF0-9981-80428283C9E6}" name="Column1084"/>
    <tableColumn id="1090" xr3:uid="{984AA4E3-CDE9-4E82-85C6-2C81FBE89D39}" name="Column1085"/>
    <tableColumn id="1091" xr3:uid="{043ADF2C-1216-427F-9D3E-D003C7EE1CCA}" name="Column1086"/>
    <tableColumn id="1092" xr3:uid="{87DBB7AB-6F43-44AD-BB75-E8D5DD42C565}" name="Column1087"/>
    <tableColumn id="1093" xr3:uid="{C4409052-235F-4A40-A283-DB12F17BB4AF}" name="Column1088"/>
    <tableColumn id="1094" xr3:uid="{4391D3A1-176C-4C63-A398-D2F87BFE39AE}" name="Column1089"/>
    <tableColumn id="1095" xr3:uid="{5258EA66-1955-48BC-ADA6-614CEF2B3621}" name="Column1090"/>
    <tableColumn id="1096" xr3:uid="{274AE751-5095-4378-8B1E-71A44C273924}" name="Column1091"/>
    <tableColumn id="1097" xr3:uid="{5AF295FA-4F71-4949-8678-08100ECE7835}" name="Column1092"/>
    <tableColumn id="1098" xr3:uid="{E56565A0-3C9A-44E7-9E0C-B3C07391EE73}" name="Column1093"/>
    <tableColumn id="1099" xr3:uid="{F3C5E2B5-13BF-42B5-95C2-A360E5D0F7EA}" name="Column1094"/>
    <tableColumn id="1100" xr3:uid="{D623AA2E-243F-41C4-8B94-62D5DC53CD84}" name="Column1095"/>
    <tableColumn id="1101" xr3:uid="{30943F73-29ED-49F7-BD8E-70E8D8C917BA}" name="Column1096"/>
    <tableColumn id="1102" xr3:uid="{E1947E4E-C071-4B68-8AE5-02CC317DD6B2}" name="Column1097"/>
    <tableColumn id="1103" xr3:uid="{9B91C1FD-95BB-4899-AB1F-F135CCC49655}" name="Column1098"/>
    <tableColumn id="1104" xr3:uid="{D3DE29AB-3F91-4410-9D00-D4AFE15032BD}" name="Column1099"/>
    <tableColumn id="1105" xr3:uid="{0C96F7EA-2A78-4FDC-A3FB-74FB8D00A4EA}" name="Column1100"/>
    <tableColumn id="1106" xr3:uid="{FA44FA00-1959-4E76-B78E-57BAF8814487}" name="Column1101"/>
    <tableColumn id="1107" xr3:uid="{B1F0F8B3-9EE0-4813-9F0F-8D24C5F98B72}" name="Column1102"/>
    <tableColumn id="1108" xr3:uid="{6AA50AB2-3324-473B-AF29-3A32117A0525}" name="Column1103"/>
    <tableColumn id="1109" xr3:uid="{A41C819D-8A1F-4161-8E2B-782253F8952B}" name="Column1104"/>
    <tableColumn id="1110" xr3:uid="{EE228C79-6540-475F-8B45-6554BA97DE46}" name="Column1105"/>
    <tableColumn id="1111" xr3:uid="{12AFA13C-69EE-44B5-8C31-FB81A8444E4B}" name="Column1106"/>
    <tableColumn id="1112" xr3:uid="{BD7EF428-F7A5-4C6B-856E-ABC3154D2149}" name="Column1107"/>
    <tableColumn id="1113" xr3:uid="{46E1AE0C-3749-4B8E-8787-A1A58306A639}" name="Column1108"/>
    <tableColumn id="1114" xr3:uid="{926F52C9-0667-4B8A-B66E-1171ED038115}" name="Column1109"/>
    <tableColumn id="1115" xr3:uid="{AF0A7C12-E54C-47F6-8580-063E26C77EAB}" name="Column1110"/>
    <tableColumn id="1116" xr3:uid="{D43EB043-ABC2-4B76-8BEC-1F2302FBB1B7}" name="Column1111"/>
    <tableColumn id="1117" xr3:uid="{80F23E73-2DFD-4D24-9B01-29C7A2380847}" name="Column1112"/>
    <tableColumn id="1118" xr3:uid="{D7D0EC43-C680-4EF4-96AD-3B8480470EDE}" name="Column1113"/>
    <tableColumn id="1119" xr3:uid="{2F8390A7-D017-4385-8961-E455010AF33C}" name="Column1114"/>
    <tableColumn id="1120" xr3:uid="{7F2C00B1-A64C-459A-8186-1738B506F4C0}" name="Column1115"/>
    <tableColumn id="1121" xr3:uid="{DB5F5F73-4169-49E5-89A3-00F492EFA203}" name="Column1116"/>
    <tableColumn id="1122" xr3:uid="{86797531-125B-459A-B933-D13D84A98BC1}" name="Column1117"/>
    <tableColumn id="1123" xr3:uid="{5455BFCD-1AEE-4E92-8F60-E6C3EA73B452}" name="Column1118"/>
    <tableColumn id="1124" xr3:uid="{1177ADA2-E9AD-4C96-8C0D-DC739D46AD8E}" name="Column1119"/>
    <tableColumn id="1125" xr3:uid="{9ECB751D-111E-4191-A42D-AF864904957E}" name="Column1120"/>
    <tableColumn id="1126" xr3:uid="{40F7ED26-C869-425D-B6E9-E53F6CBC91DE}" name="Column1121"/>
    <tableColumn id="1127" xr3:uid="{5EBD0590-6251-44F8-AB15-6D1DCE758588}" name="Column1122"/>
    <tableColumn id="1128" xr3:uid="{31609913-1059-43D1-9836-D9A7E0C9DC4B}" name="Column1123"/>
    <tableColumn id="1129" xr3:uid="{FC01E4F3-EB00-4373-85D8-E02BEDE21F4C}" name="Column1124"/>
    <tableColumn id="1130" xr3:uid="{7CED533F-9D9E-403B-84D1-4984B94E9ECB}" name="Column1125"/>
    <tableColumn id="1131" xr3:uid="{56276AE0-B664-4AF9-BAED-C03EB1175811}" name="Column1126"/>
    <tableColumn id="1132" xr3:uid="{8A3D4DB0-F9DE-40CC-BAB6-4FE62FEC91FC}" name="Column1127"/>
    <tableColumn id="1133" xr3:uid="{8C47D3B1-740A-4F9B-9D0A-702869010298}" name="Column1128"/>
    <tableColumn id="1134" xr3:uid="{847FA0B4-4ED9-4A6C-9030-826495842968}" name="Column1129"/>
    <tableColumn id="1135" xr3:uid="{AD270C90-A252-4B7F-A7B2-13951CFA7969}" name="Column1130"/>
    <tableColumn id="1136" xr3:uid="{E254BB27-F06B-41E9-90F6-FC219E0EB2FC}" name="Column1131"/>
    <tableColumn id="1137" xr3:uid="{BFCBE08E-0A84-4541-A64E-94FB6D810181}" name="Column1132"/>
    <tableColumn id="1138" xr3:uid="{CC6BE8B6-2E45-4B81-8478-66B4346CE183}" name="Column1133"/>
    <tableColumn id="1139" xr3:uid="{B70817E4-2AB0-4216-BE7D-2474BFB4B026}" name="Column1134"/>
    <tableColumn id="1140" xr3:uid="{3DBFF567-A5BF-4EAA-9674-5F778A49FDD7}" name="Column1135"/>
    <tableColumn id="1141" xr3:uid="{1AD790EA-5FD1-4AC4-8E1B-4631C141F491}" name="Column1136"/>
    <tableColumn id="1142" xr3:uid="{455AF16D-686A-41EE-9FA1-90C60B3C184E}" name="Column1137"/>
    <tableColumn id="1143" xr3:uid="{0E7D62D6-F187-41D6-A5E0-D02A7994124D}" name="Column1138"/>
    <tableColumn id="1144" xr3:uid="{E5F1C8DB-EEFB-4313-BAC3-EAF4DE5B789C}" name="Column1139"/>
    <tableColumn id="1145" xr3:uid="{12DDABC2-4388-46AC-BD69-30F88A10452E}" name="Column1140"/>
    <tableColumn id="1146" xr3:uid="{3ADE8006-285F-4168-9957-FD75AECDC229}" name="Column1141"/>
    <tableColumn id="1147" xr3:uid="{FCB41549-22F4-455B-874E-47B4D47A73C0}" name="Column1142"/>
    <tableColumn id="1148" xr3:uid="{4F1D548C-3086-43F3-AFDE-C6485CEAC6B1}" name="Column1143"/>
    <tableColumn id="1149" xr3:uid="{1DDD7713-D7A1-4D0B-8615-A8BD41E3ECD5}" name="Column1144"/>
    <tableColumn id="1150" xr3:uid="{45AC811F-4CC8-44DB-A19A-87E784C897E6}" name="Column1145"/>
    <tableColumn id="1151" xr3:uid="{1F56E657-685C-421B-B70E-DE414D487234}" name="Column1146"/>
    <tableColumn id="1152" xr3:uid="{822754BA-0F18-4745-B5F9-6E0E1E662D63}" name="Column1147"/>
    <tableColumn id="1153" xr3:uid="{D9789004-CC19-46E6-8564-20A848634693}" name="Column1148"/>
    <tableColumn id="1154" xr3:uid="{65B7BCC7-029E-4A81-8D89-3A0FC18B5A8C}" name="Column1149"/>
    <tableColumn id="1155" xr3:uid="{FF728EAF-92B6-4A21-A949-BF908B147201}" name="Column1150"/>
    <tableColumn id="1156" xr3:uid="{8469CDEF-78C5-4939-B16D-2DF0BA87EF57}" name="Column1151"/>
    <tableColumn id="1157" xr3:uid="{22EF647F-5DC3-4FC2-99C7-D992A903BD05}" name="Column1152"/>
    <tableColumn id="1158" xr3:uid="{7AC75BEF-63F9-4B7B-B3D6-F8F3B4D23AD4}" name="Column1153"/>
    <tableColumn id="1159" xr3:uid="{0E53A235-DB9A-4519-B821-8ABD440D9549}" name="Column1154"/>
    <tableColumn id="1160" xr3:uid="{A465414A-826B-464C-8625-FB17B4FC638D}" name="Column1155"/>
    <tableColumn id="1161" xr3:uid="{A10906CA-D00A-4C59-ABB3-D5CD10CB1681}" name="Column1156"/>
    <tableColumn id="1162" xr3:uid="{8A20EC0A-19E3-4B59-93FE-347679A2D4D4}" name="Column1157"/>
    <tableColumn id="1163" xr3:uid="{A84163E5-72E0-48CC-9A1F-381FD41C09B2}" name="Column1158"/>
    <tableColumn id="1164" xr3:uid="{C00530F0-7137-4216-AF54-7D309D890FE2}" name="Column1159"/>
    <tableColumn id="1165" xr3:uid="{2090450C-65E9-4B05-846A-D828BAAB4F5B}" name="Column1160"/>
    <tableColumn id="1166" xr3:uid="{35E29835-F5A2-4B01-8408-E10E5931E280}" name="Column1161"/>
    <tableColumn id="1167" xr3:uid="{196CC32D-046F-4D2E-8105-3725676C804F}" name="Column1162"/>
    <tableColumn id="1168" xr3:uid="{BEB08E8D-C272-4B39-A8E7-2206FE868E10}" name="Column1163"/>
    <tableColumn id="1169" xr3:uid="{1FEE52D2-E899-438E-8FE3-9269904EB583}" name="Column1164"/>
    <tableColumn id="1170" xr3:uid="{CFCB61E4-E499-4468-96A7-AFA386BB488E}" name="Column1165"/>
    <tableColumn id="1171" xr3:uid="{873E5F28-2EA2-4C04-A36A-F7BF8CB905E6}" name="Column1166"/>
    <tableColumn id="1172" xr3:uid="{529B09E3-DDFD-4D3B-9099-BD2AE6B55C8F}" name="Column1167"/>
    <tableColumn id="1173" xr3:uid="{99C5A6FD-95BA-4050-8905-9E37D284ECB5}" name="Column1168"/>
    <tableColumn id="1174" xr3:uid="{A717F9CF-59CD-46FC-8C9B-EAB8102F5E6C}" name="Column1169"/>
    <tableColumn id="1175" xr3:uid="{C5E2F1E2-2014-4578-808D-1444048B0597}" name="Column1170"/>
    <tableColumn id="1176" xr3:uid="{9A631B45-C51B-4310-BC86-7DF036F8C655}" name="Column1171"/>
    <tableColumn id="1177" xr3:uid="{D3F3943C-A089-446D-847F-2F3B08B744FF}" name="Column1172"/>
    <tableColumn id="1178" xr3:uid="{BDC803FB-C889-40A4-8961-329158A54240}" name="Column1173"/>
    <tableColumn id="1179" xr3:uid="{46ED8981-88F3-46E7-9B4C-D4A0948FFD5E}" name="Column1174"/>
    <tableColumn id="1180" xr3:uid="{10D5BB49-A028-46B4-9D6E-65B0FA341F22}" name="Column1175"/>
    <tableColumn id="1181" xr3:uid="{A9DF6B13-A833-4EF2-A300-0EAF3CE52D33}" name="Column1176"/>
    <tableColumn id="1182" xr3:uid="{9FB7E24A-8F88-4A5A-86CA-F42E93C405C3}" name="Column1177"/>
    <tableColumn id="1183" xr3:uid="{AF9FBA4B-76EA-4C41-BA54-76508407C4A4}" name="Column1178"/>
    <tableColumn id="1184" xr3:uid="{138509AE-2BDD-48EF-95AD-DDDBDC7C8A64}" name="Column1179"/>
    <tableColumn id="1185" xr3:uid="{B87B092F-F32D-459C-912D-38A9D6ABB478}" name="Column1180"/>
    <tableColumn id="1186" xr3:uid="{8FC135CE-98F4-41C6-A493-CFECED0E3C92}" name="Column1181"/>
    <tableColumn id="1187" xr3:uid="{2E4A2E64-7DCE-48D4-81B6-04EB6B34BD75}" name="Column1182"/>
    <tableColumn id="1188" xr3:uid="{AFE7763D-B5E9-4A70-BF01-9A8D281A4F2C}" name="Column1183"/>
    <tableColumn id="1189" xr3:uid="{F5C54938-242A-4761-879E-B8CE411A00D1}" name="Column1184"/>
    <tableColumn id="1190" xr3:uid="{48337C3E-B566-46B6-85FC-7D95C75A6B5A}" name="Column1185"/>
    <tableColumn id="1191" xr3:uid="{EC82DF05-9AE1-4258-9080-37895B3FE6D6}" name="Column1186"/>
    <tableColumn id="1192" xr3:uid="{BAEE0BCC-548F-4F81-B7AB-18F2D68CF789}" name="Column1187"/>
    <tableColumn id="1193" xr3:uid="{68DB167D-B278-4F73-948A-92621507F8D0}" name="Column1188"/>
    <tableColumn id="1194" xr3:uid="{EA2FDB62-AA1D-40F8-97D8-0C4C368CF628}" name="Column1189"/>
    <tableColumn id="1195" xr3:uid="{4FC0CB42-6F66-4C1A-B528-8C1DD5D91430}" name="Column1190"/>
    <tableColumn id="1196" xr3:uid="{65ED75BE-E2CD-4CF6-8B45-4268A9A0F1F8}" name="Column1191"/>
    <tableColumn id="1197" xr3:uid="{6B7B193B-9923-49E7-BD3A-20BFFED664B9}" name="Column1192"/>
    <tableColumn id="1198" xr3:uid="{FC84AD48-2162-4EA0-A7F1-9FB29E9DED7D}" name="Column1193"/>
    <tableColumn id="1199" xr3:uid="{69233336-53F3-49F9-9D86-B93C9C161882}" name="Column1194"/>
    <tableColumn id="1200" xr3:uid="{75FCBB70-C1FF-4A02-9CC1-1A5F5D1174EE}" name="Column1195"/>
    <tableColumn id="1201" xr3:uid="{83258C36-A618-4FD6-AEC4-6AF78AD0D232}" name="Column1196"/>
    <tableColumn id="1202" xr3:uid="{F2BA6FBF-D867-4D9E-A0A0-143E9E1318F7}" name="Column1197"/>
    <tableColumn id="1203" xr3:uid="{5C07A70C-D8A6-4742-85D0-F32A10D20FA4}" name="Column1198"/>
    <tableColumn id="1204" xr3:uid="{0FA39FC3-7DF7-4F97-A521-B959BB163815}" name="Column1199"/>
    <tableColumn id="1205" xr3:uid="{00EA8723-E8CE-4E76-B696-03DFA282756F}" name="Column1200"/>
    <tableColumn id="1206" xr3:uid="{0A121A8E-59EC-465F-B341-6C28C94FCB00}" name="Column1201"/>
    <tableColumn id="1207" xr3:uid="{E44B9A31-D5F9-4806-9ECF-07D525990216}" name="Column1202"/>
    <tableColumn id="1208" xr3:uid="{0CF9C906-46C0-4E1C-BB97-4FF8A9344B4A}" name="Column1203"/>
    <tableColumn id="1209" xr3:uid="{FCF9F617-64D3-419C-8657-D2A2BB6528E7}" name="Column1204"/>
    <tableColumn id="1210" xr3:uid="{B04699EE-FC86-4694-AA21-8200281D1D38}" name="Column1205"/>
    <tableColumn id="1211" xr3:uid="{4ED9B359-E0F7-467B-B4DD-D735750AA239}" name="Column1206"/>
    <tableColumn id="1212" xr3:uid="{BE3B121F-BF3E-4550-BB93-4BC33FC759ED}" name="Column1207"/>
    <tableColumn id="1213" xr3:uid="{34919F14-F8D1-4C5C-9FC0-435BDDDD16FF}" name="Column1208"/>
    <tableColumn id="1214" xr3:uid="{1A3C38BF-BE78-4B76-9E9B-ACD67234A7AC}" name="Column1209"/>
    <tableColumn id="1215" xr3:uid="{3D844F86-E537-42F7-83D9-7F80870C1010}" name="Column1210"/>
    <tableColumn id="1216" xr3:uid="{BF8EA014-EB27-4EAE-9210-E4A3242BD4F7}" name="Column1211"/>
    <tableColumn id="1217" xr3:uid="{7C7A687D-5A57-4BD7-964A-92E79B4F498F}" name="Column1212"/>
    <tableColumn id="1218" xr3:uid="{40F44C13-3973-41EB-B776-4961DB60942E}" name="Column1213"/>
    <tableColumn id="1219" xr3:uid="{9E5345C6-C98C-4A4E-9367-2DDCA768E151}" name="Column1214"/>
    <tableColumn id="1220" xr3:uid="{9DE6FB9E-83B7-47B4-8BF0-03ABB3DF58D7}" name="Column1215"/>
    <tableColumn id="1221" xr3:uid="{B2987FDE-866A-4BBE-8076-F6582A07E4C6}" name="Column1216"/>
    <tableColumn id="1222" xr3:uid="{A75B5A95-D6F4-485C-9676-042FD8B2C555}" name="Column1217"/>
    <tableColumn id="1223" xr3:uid="{7D9A0F46-8EF4-4E96-9E8B-016CBB1024DF}" name="Column1218"/>
    <tableColumn id="1224" xr3:uid="{226F575F-2DDF-4F31-9B58-01D9E2391F09}" name="Column1219"/>
    <tableColumn id="1225" xr3:uid="{B2A51B45-EE11-4B2C-AB78-B21CDEDB3FFD}" name="Column1220"/>
    <tableColumn id="1226" xr3:uid="{9D1E8706-7288-4D58-A4C6-4008160E786D}" name="Column1221"/>
    <tableColumn id="1227" xr3:uid="{C238C86E-33C2-4334-B257-2BEEA3D8CFCA}" name="Column1222"/>
    <tableColumn id="1228" xr3:uid="{7545F0D3-CA35-4E67-9062-4C5D2637DBBE}" name="Column1223"/>
    <tableColumn id="1229" xr3:uid="{F8F28CF1-28A1-4CBE-B12C-1CF59B4AF73F}" name="Column1224"/>
    <tableColumn id="1230" xr3:uid="{81A65497-3C74-412B-8189-E41D35791A41}" name="Column1225"/>
    <tableColumn id="1231" xr3:uid="{2432BAC5-FF23-40BB-B068-F694F502C059}" name="Column1226"/>
    <tableColumn id="1232" xr3:uid="{40F2B571-51E6-42B7-A48A-5383A6024697}" name="Column1227"/>
    <tableColumn id="1233" xr3:uid="{10861690-D72B-41B3-BAD0-6D00A5F5029B}" name="Column1228"/>
    <tableColumn id="1234" xr3:uid="{13E23036-81F9-4181-8FCB-29959ECFBA71}" name="Column1229"/>
    <tableColumn id="1235" xr3:uid="{7B3FD2F7-050A-40A4-A727-BAE31077983F}" name="Column1230"/>
    <tableColumn id="1236" xr3:uid="{36788B68-70C0-430D-90FF-824DF4F0B700}" name="Column1231"/>
    <tableColumn id="1237" xr3:uid="{E4797A1B-07AF-4A78-90E4-01740141AB71}" name="Column1232"/>
    <tableColumn id="1238" xr3:uid="{1C770717-743B-49B5-A3C5-EF7A7B65931F}" name="Column1233"/>
    <tableColumn id="1239" xr3:uid="{C4CB800D-D46F-4A6D-9BAA-52A6592BF7E1}" name="Column1234"/>
    <tableColumn id="1240" xr3:uid="{64B296D0-8356-40EB-AC1A-F83ED2D42CAD}" name="Column1235"/>
    <tableColumn id="1241" xr3:uid="{5276F4E0-5E3D-4B2F-A9EF-0B402F9EF8CB}" name="Column1236"/>
    <tableColumn id="1242" xr3:uid="{D957E959-A46F-4A98-B6DD-A92C6EC1F98E}" name="Column1237"/>
    <tableColumn id="1243" xr3:uid="{458E6BB4-7D46-462A-8E64-82B50F39B562}" name="Column1238"/>
    <tableColumn id="1244" xr3:uid="{0D043EAE-B350-4387-9B50-FD2279E7440D}" name="Column1239"/>
    <tableColumn id="1245" xr3:uid="{C2FCB920-90AE-481A-BF05-3E98FD624BD6}" name="Column1240"/>
    <tableColumn id="1246" xr3:uid="{8DE087B0-127F-4C73-9423-C1D83F3FC9D8}" name="Column1241"/>
    <tableColumn id="1247" xr3:uid="{1C895C5B-9A14-4227-A074-1DB47394C8F3}" name="Column1242"/>
    <tableColumn id="1248" xr3:uid="{165214B7-7E07-44C9-8346-7CC35AB879B1}" name="Column1243"/>
    <tableColumn id="1249" xr3:uid="{18804375-501F-4CBA-B58C-4A9912582036}" name="Column1244"/>
    <tableColumn id="1250" xr3:uid="{CA274C3C-A244-444D-93B1-FD1E86B28ADC}" name="Column1245"/>
    <tableColumn id="1251" xr3:uid="{023D1EE3-EE8C-421A-917F-B7AB5069DF8E}" name="Column1246"/>
    <tableColumn id="1252" xr3:uid="{1D81676F-BB6B-4DF1-9850-8EC4B2DA855A}" name="Column1247"/>
    <tableColumn id="1253" xr3:uid="{AF31C0C2-9526-42D9-B57F-F61D9C9DE2B5}" name="Column1248"/>
    <tableColumn id="1254" xr3:uid="{C336AECD-0631-40C4-8F97-4F89AE529367}" name="Column1249"/>
    <tableColumn id="1255" xr3:uid="{BA1D451F-C2C0-4958-B226-C09B5FF5A790}" name="Column1250"/>
    <tableColumn id="1256" xr3:uid="{97AC42C1-7DAA-477B-BFF2-7384865AA759}" name="Column1251"/>
    <tableColumn id="1257" xr3:uid="{685B2DFB-5FBE-4C6E-8A78-71C79D9EC952}" name="Column1252"/>
    <tableColumn id="1258" xr3:uid="{EC9B1F63-0178-40DB-920D-CEE0B1538BF2}" name="Column1253"/>
    <tableColumn id="1259" xr3:uid="{D28E033B-BF6B-4249-9CFA-F97200CCD6EB}" name="Column1254"/>
    <tableColumn id="1260" xr3:uid="{A364E546-7D44-485D-B6B1-72523B7408D5}" name="Column1255"/>
    <tableColumn id="1261" xr3:uid="{7249BD8F-6094-47E3-AB0C-21144CABCF61}" name="Column1256"/>
    <tableColumn id="1262" xr3:uid="{CAB711B6-52FA-41AD-9047-903DA84D7C95}" name="Column1257"/>
    <tableColumn id="1263" xr3:uid="{3A29F93E-3955-49DE-B7C7-1EF57539CA05}" name="Column1258"/>
    <tableColumn id="1264" xr3:uid="{84C4BB66-A55F-4E0F-950C-ECD2BC3A059B}" name="Column1259"/>
    <tableColumn id="1265" xr3:uid="{99E6A1C2-7A41-4538-A87D-29071FC27077}" name="Column1260"/>
    <tableColumn id="1266" xr3:uid="{7F3B2830-B144-46FC-99EB-4ABD1FA29FB3}" name="Column1261"/>
    <tableColumn id="1267" xr3:uid="{DC315E3D-287E-4DFF-AE94-E92BB4C1D9E8}" name="Column1262"/>
    <tableColumn id="1268" xr3:uid="{E478F095-4D92-4E9E-9ACE-DE8835F7AF8C}" name="Column1263"/>
    <tableColumn id="1269" xr3:uid="{BA7BBC29-4EA5-4058-86B0-6660FC69457F}" name="Column1264"/>
    <tableColumn id="1270" xr3:uid="{62D84243-E2F4-442D-8799-2DCA6C07FC3F}" name="Column1265"/>
    <tableColumn id="1271" xr3:uid="{AB636DEA-33F2-4464-9A28-68FF7D3B6E33}" name="Column1266"/>
    <tableColumn id="1272" xr3:uid="{0A5F8C1D-ACD2-4A84-97AA-09A9EEAE3261}" name="Column1267"/>
    <tableColumn id="1273" xr3:uid="{B1373F89-A67D-400A-BE73-ACF3A706DB47}" name="Column1268"/>
    <tableColumn id="1274" xr3:uid="{FCDA84E8-E55E-440C-9B1B-F584A0C47DFF}" name="Column1269"/>
    <tableColumn id="1275" xr3:uid="{6C1ECE72-97A8-4643-B9EF-C7FCB8B28C00}" name="Column1270"/>
    <tableColumn id="1276" xr3:uid="{85E3A623-E393-45BC-B6C3-1B52DFE49ED4}" name="Column1271"/>
    <tableColumn id="1277" xr3:uid="{3C37BE3E-1FC3-4646-9E7A-16FA200AD91D}" name="Column1272"/>
    <tableColumn id="1278" xr3:uid="{7F8105D2-6524-47A4-82DA-3A00436A0888}" name="Column1273"/>
    <tableColumn id="1279" xr3:uid="{664281DB-EC40-41AE-922E-9761A4AC9380}" name="Column1274"/>
    <tableColumn id="1280" xr3:uid="{94715EF7-6F52-4294-AC7B-53D2ADCB61F9}" name="Column1275"/>
    <tableColumn id="1281" xr3:uid="{5E0C916D-BA25-40C9-BDAF-C7C5B685D564}" name="Column1276"/>
    <tableColumn id="1282" xr3:uid="{6FE57222-ED1D-487B-A90E-4E56F8691EBF}" name="Column1277"/>
    <tableColumn id="1283" xr3:uid="{BFEF97F9-088A-430E-933C-28D64A91D780}" name="Column1278"/>
    <tableColumn id="1284" xr3:uid="{EF58919E-B778-45AD-8249-C87711E99028}" name="Column1279"/>
    <tableColumn id="1285" xr3:uid="{DA396324-FB0D-4524-910B-C244DEC1D941}" name="Column1280"/>
    <tableColumn id="1286" xr3:uid="{F314BFCC-0955-4BBB-9A85-10FDFA10C7C0}" name="Column1281"/>
    <tableColumn id="1287" xr3:uid="{EF289E18-636E-47B5-BB8B-675DB2D7ACD3}" name="Column1282"/>
    <tableColumn id="1288" xr3:uid="{1F5E1BEA-A5AC-4757-B6C1-DEEA0549511F}" name="Column1283"/>
    <tableColumn id="1289" xr3:uid="{C56FE0A6-5272-4F91-88BD-97A8BE0B7560}" name="Column1284"/>
    <tableColumn id="1290" xr3:uid="{6452F154-369E-4B65-A24E-0561B267A2FD}" name="Column1285"/>
    <tableColumn id="1291" xr3:uid="{7BF7D796-CBA3-4781-A137-73959545CCC3}" name="Column1286"/>
    <tableColumn id="1292" xr3:uid="{A7345BED-13A0-4FCD-8C3E-9DF035F47476}" name="Column1287"/>
    <tableColumn id="1293" xr3:uid="{47662FAE-BA42-4C48-A51F-7CF46969CB69}" name="Column1288"/>
    <tableColumn id="1294" xr3:uid="{5BF5165F-E093-4DD2-86C8-91028EBE6478}" name="Column1289"/>
    <tableColumn id="1295" xr3:uid="{3ECD9FD5-07D4-4D63-9246-9687D9D084F8}" name="Column1290"/>
    <tableColumn id="1296" xr3:uid="{4523655A-0014-4052-B6F7-CF83433427D6}" name="Column1291"/>
    <tableColumn id="1297" xr3:uid="{67932574-F8E5-4817-8930-B758B76F8BF9}" name="Column1292"/>
    <tableColumn id="1298" xr3:uid="{94E1D8EC-37A6-49D1-8A82-0317EEEF9DCD}" name="Column1293"/>
    <tableColumn id="1299" xr3:uid="{92CD63DA-A91B-480A-ACA5-A45806EB04AC}" name="Column1294"/>
    <tableColumn id="1300" xr3:uid="{1A879596-335F-49AE-AAD6-7193068A739B}" name="Column1295"/>
    <tableColumn id="1301" xr3:uid="{7A30352A-BE58-4FCE-967C-8072C1F49077}" name="Column1296"/>
    <tableColumn id="1302" xr3:uid="{8402AA17-99A2-4232-9F44-220F5B6D55DF}" name="Column1297"/>
    <tableColumn id="1303" xr3:uid="{BB756165-67DD-4540-9E81-C6641CEF9A5F}" name="Column1298"/>
    <tableColumn id="1304" xr3:uid="{72E9889C-2733-47AC-A382-5D267C81F2BD}" name="Column1299"/>
    <tableColumn id="1305" xr3:uid="{DEC5484D-68AE-475D-B9A8-83FA4AA35363}" name="Column1300"/>
    <tableColumn id="1306" xr3:uid="{29ECB479-1239-4671-BFA6-5CFAF82500C8}" name="Column1301"/>
    <tableColumn id="1307" xr3:uid="{DD011A08-64C9-4823-8848-069D339F291F}" name="Column1302"/>
    <tableColumn id="1308" xr3:uid="{475AC8AB-D096-4973-8E2D-81DF7E76020A}" name="Column1303"/>
    <tableColumn id="1309" xr3:uid="{D94D3D48-EAFB-468B-9D55-7E67301C94C3}" name="Column1304"/>
    <tableColumn id="1310" xr3:uid="{9DE07098-A5D3-43B5-9D51-C1E36D90D296}" name="Column1305"/>
    <tableColumn id="1311" xr3:uid="{77606CE7-CBE4-40DA-BE21-9C67641E60AC}" name="Column1306"/>
    <tableColumn id="1312" xr3:uid="{9557DA96-22DE-4C52-91FA-672B87233717}" name="Column1307"/>
    <tableColumn id="1313" xr3:uid="{B52D01A1-225F-4C8A-8FF0-6AA32D748E2A}" name="Column1308"/>
    <tableColumn id="1314" xr3:uid="{8C9EF03E-5346-4DB5-BE5C-3F3D53CDB7D8}" name="Column1309"/>
    <tableColumn id="1315" xr3:uid="{D5BBD369-E775-436C-8A62-9AB374497F37}" name="Column1310"/>
    <tableColumn id="1316" xr3:uid="{DB9B0595-A553-4591-A177-E8FF481DAE37}" name="Column1311"/>
    <tableColumn id="1317" xr3:uid="{6CEFD72E-BCCA-4F00-9CF3-C2AFD9EB0F7B}" name="Column1312"/>
    <tableColumn id="1318" xr3:uid="{85464F15-9874-42F1-99AF-6DBB0E8F6850}" name="Column1313"/>
    <tableColumn id="1319" xr3:uid="{322D2442-E710-435E-88C7-920D9E490231}" name="Column1314"/>
    <tableColumn id="1320" xr3:uid="{656A5E7C-59EA-4C32-B48B-ECA1AA2967FF}" name="Column1315"/>
    <tableColumn id="1321" xr3:uid="{0F376090-47F6-43E9-8BD4-87965A10E96E}" name="Column1316"/>
    <tableColumn id="1322" xr3:uid="{63FB45A4-D4FF-486E-A10B-7586EEF23396}" name="Column1317"/>
    <tableColumn id="1323" xr3:uid="{51F8BA49-342D-4EA8-BBD5-019090CC0270}" name="Column1318"/>
    <tableColumn id="1324" xr3:uid="{C06F9C36-3627-4F20-822C-2E7066950849}" name="Column1319"/>
    <tableColumn id="1325" xr3:uid="{8F85E3D5-61B7-4A6C-8BBA-00A601C01D43}" name="Column1320"/>
    <tableColumn id="1326" xr3:uid="{DF6CFE0B-D61D-4BC2-AB8C-D1A66686FA3D}" name="Column1321"/>
    <tableColumn id="1327" xr3:uid="{558BEF5C-FEDC-45D9-88C6-A71E712B97F1}" name="Column1322"/>
    <tableColumn id="1328" xr3:uid="{9ECC6113-EB45-421C-A2A0-6D3814B8C804}" name="Column1323"/>
    <tableColumn id="1329" xr3:uid="{49B45823-718A-4F48-83EB-E5B0B02F6182}" name="Column1324"/>
    <tableColumn id="1330" xr3:uid="{858FFB01-397D-46FF-B16E-99730EA3A1BF}" name="Column1325"/>
    <tableColumn id="1331" xr3:uid="{03B7632B-821C-4128-A3CD-1B1382432CAA}" name="Column1326"/>
    <tableColumn id="1332" xr3:uid="{CB21C04E-41CC-4EF0-B109-40D1CE21D92E}" name="Column1327"/>
    <tableColumn id="1333" xr3:uid="{4940B1D0-FF60-4264-B41F-9665F0537A29}" name="Column1328"/>
    <tableColumn id="1334" xr3:uid="{E6D6C67F-35E4-41D2-909A-3CC719A35A7D}" name="Column1329"/>
    <tableColumn id="1335" xr3:uid="{974011BF-98A1-4EF4-9473-71C9CED1A740}" name="Column1330"/>
    <tableColumn id="1336" xr3:uid="{1AF3BCB7-9C9B-4C85-BB6E-FA0E1C7D50FD}" name="Column1331"/>
    <tableColumn id="1337" xr3:uid="{E2DD5B9F-FDBC-4A62-A02F-CB7F2E3FAD88}" name="Column1332"/>
    <tableColumn id="1338" xr3:uid="{96071039-8C26-40F8-9C16-69B712209FBC}" name="Column1333"/>
    <tableColumn id="1339" xr3:uid="{B09D2AD1-4C10-4A30-B500-4D3AADB9C39B}" name="Column1334"/>
    <tableColumn id="1340" xr3:uid="{56C04E87-5F60-42A7-A8A0-2F3BE6EEE627}" name="Column1335"/>
    <tableColumn id="1341" xr3:uid="{8446F635-93A2-4AF4-AA68-A1FD0BA283D2}" name="Column1336"/>
    <tableColumn id="1342" xr3:uid="{E2835B14-6F37-4A5C-97F3-A270EB8FFD3D}" name="Column1337"/>
    <tableColumn id="1343" xr3:uid="{9258B4EB-9C5C-49A8-A4E9-8369E3C2D442}" name="Column1338"/>
    <tableColumn id="1344" xr3:uid="{30D01F4D-A907-4372-865D-1FB3AE9328F9}" name="Column1339"/>
    <tableColumn id="1345" xr3:uid="{3DA1C12A-2606-4FF5-8633-F65067658129}" name="Column1340"/>
    <tableColumn id="1346" xr3:uid="{FB285466-6872-4713-9D62-889DE144C63E}" name="Column1341"/>
    <tableColumn id="1347" xr3:uid="{EBEA7970-5198-49C2-BDED-011487CB475E}" name="Column1342"/>
    <tableColumn id="1348" xr3:uid="{F4252A64-A31C-484F-AABA-BD8B3808A9B4}" name="Column1343"/>
    <tableColumn id="1349" xr3:uid="{64CB9D32-0AAF-4A23-93F8-9B8D71D59B7D}" name="Column1344"/>
    <tableColumn id="1350" xr3:uid="{C201A17F-6A5D-4B42-9BB7-534527E1F174}" name="Column1345"/>
    <tableColumn id="1351" xr3:uid="{9F599EA2-FF8B-4E33-BE87-74A6888C17D6}" name="Column1346"/>
    <tableColumn id="1352" xr3:uid="{632A4A60-D325-46B0-8F93-8B6BDA371C0B}" name="Column1347"/>
    <tableColumn id="1353" xr3:uid="{63A7FB71-E46E-41B2-93BA-272651A2B814}" name="Column1348"/>
    <tableColumn id="1354" xr3:uid="{BDCAA315-41B6-4CAD-B04C-B49780E85924}" name="Column1349"/>
    <tableColumn id="1355" xr3:uid="{CE7232A1-ABA0-4676-A072-FA1691CEFC74}" name="Column1350"/>
    <tableColumn id="1356" xr3:uid="{822485D2-9CB0-4C6B-A8BE-A6DBF538B39D}" name="Column1351"/>
    <tableColumn id="1357" xr3:uid="{3343B477-EA50-4A42-BC25-CDF1DA640595}" name="Column1352"/>
    <tableColumn id="1358" xr3:uid="{B0CAF880-5FBA-4012-A5D4-13BB24A0F2FB}" name="Column1353"/>
    <tableColumn id="1359" xr3:uid="{66C3AEFA-541F-4427-B0FD-8BC7B45A8C0A}" name="Column1354"/>
    <tableColumn id="1360" xr3:uid="{208E87D7-E557-473C-82E7-76CD53FFED0E}" name="Column1355"/>
    <tableColumn id="1361" xr3:uid="{02495638-D7F7-4814-B893-347D209E7918}" name="Column1356"/>
    <tableColumn id="1362" xr3:uid="{6DFBDC49-9A7F-40EF-B68C-038C927B1AC5}" name="Column1357"/>
    <tableColumn id="1363" xr3:uid="{9924D109-3D86-4D97-A0BA-B8495F6C0F06}" name="Column1358"/>
    <tableColumn id="1364" xr3:uid="{5CC924EC-2932-47E4-9AE7-D83CC22A9FD3}" name="Column1359"/>
    <tableColumn id="1365" xr3:uid="{5EC4BEED-8487-4E24-96B7-4193437D9994}" name="Column1360"/>
    <tableColumn id="1366" xr3:uid="{2DF605B5-954B-416E-8C0C-49D923BA65DB}" name="Column1361"/>
    <tableColumn id="1367" xr3:uid="{BAA36D1F-7C40-4C43-B630-1C84C4428AE0}" name="Column1362"/>
    <tableColumn id="1368" xr3:uid="{817F3642-AB5B-46A2-B01C-B12A86D570F2}" name="Column1363"/>
    <tableColumn id="1369" xr3:uid="{EF0FF65C-2A4F-44EB-98ED-6A950050AC4E}" name="Column1364"/>
    <tableColumn id="1370" xr3:uid="{030AB02A-C735-4B17-88AC-475891699C10}" name="Column1365"/>
    <tableColumn id="1371" xr3:uid="{8F233CBA-1214-400E-B245-41F1BE2919AC}" name="Column1366"/>
    <tableColumn id="1372" xr3:uid="{A2126768-23A9-4DA3-B6F8-C0AA66B99FC5}" name="Column1367"/>
    <tableColumn id="1373" xr3:uid="{61DF48D9-518C-410C-A816-9BDEFB0EA056}" name="Column1368"/>
    <tableColumn id="1374" xr3:uid="{E963E6A4-B8BB-45A6-86B7-7CBCA5ED20CD}" name="Column1369"/>
    <tableColumn id="1375" xr3:uid="{88410910-20F4-4D1C-8BEB-4D9611AADF90}" name="Column1370"/>
    <tableColumn id="1376" xr3:uid="{5BE4650E-F71B-4818-BDDA-FE15B4775C06}" name="Column1371"/>
    <tableColumn id="1377" xr3:uid="{9D52F6A9-A66A-41E4-9B93-5D45327C5EEA}" name="Column1372"/>
    <tableColumn id="1378" xr3:uid="{C7A63AF5-2C5F-473C-BD25-B5C8B3348A65}" name="Column1373"/>
    <tableColumn id="1379" xr3:uid="{73D0617E-D213-4F66-8394-BD8EC5EAFF37}" name="Column1374"/>
    <tableColumn id="1380" xr3:uid="{B4CEF233-6AD3-415C-8D2C-79E0369E48BC}" name="Column1375"/>
    <tableColumn id="1381" xr3:uid="{53D8B587-CD77-4C7D-8B73-2CFED8B6CDF4}" name="Column1376"/>
    <tableColumn id="1382" xr3:uid="{B91439F0-623F-4C2F-8399-7F306FF660FC}" name="Column1377"/>
    <tableColumn id="1383" xr3:uid="{1A531976-5F90-46BD-9808-D60D499969A7}" name="Column1378"/>
    <tableColumn id="1384" xr3:uid="{9BED169C-F7B0-42BC-B4A8-412540D6B487}" name="Column1379"/>
    <tableColumn id="1385" xr3:uid="{50773D6B-BD1D-4F2A-AF16-92A6BD6F9426}" name="Column1380"/>
    <tableColumn id="1386" xr3:uid="{730575E3-A2E2-4F65-A1C3-A2D3956BC523}" name="Column1381"/>
    <tableColumn id="1387" xr3:uid="{1C0F480B-65A2-465E-B414-599F666D7D57}" name="Column1382"/>
    <tableColumn id="1388" xr3:uid="{3D92A1A7-75F9-4BEC-8CA0-EA35526D8233}" name="Column1383"/>
    <tableColumn id="1389" xr3:uid="{7BA8ED5C-985B-429D-8483-B7CCA9FF4E68}" name="Column1384"/>
    <tableColumn id="1390" xr3:uid="{ACE061BA-AE5A-4D24-AF9D-AA87E27F621A}" name="Column1385"/>
    <tableColumn id="1391" xr3:uid="{888CE139-1B85-475C-87F4-DF853AF26D90}" name="Column1386"/>
    <tableColumn id="1392" xr3:uid="{979EFCA1-CF16-4896-BFF3-47628560D517}" name="Column1387"/>
    <tableColumn id="1393" xr3:uid="{442302C2-CCFC-4A81-8F79-989BD08C68EE}" name="Column1388"/>
    <tableColumn id="1394" xr3:uid="{86500B26-AA97-442C-8D09-68E93B4B971D}" name="Column1389"/>
    <tableColumn id="1395" xr3:uid="{7F39FD44-A0E2-4674-9CED-B1F7F2A289CA}" name="Column1390"/>
    <tableColumn id="1396" xr3:uid="{9142C05F-6A00-47F4-8736-387EE5A98372}" name="Column1391"/>
    <tableColumn id="1397" xr3:uid="{B021B582-CAEF-4B85-96C2-16A752A7E629}" name="Column1392"/>
    <tableColumn id="1398" xr3:uid="{063A0FC1-0A5A-44BD-8ED2-85FD5A19E4A7}" name="Column1393"/>
    <tableColumn id="1399" xr3:uid="{9707C5DA-31F8-44C8-BC92-46647D7F78BE}" name="Column1394"/>
    <tableColumn id="1400" xr3:uid="{313B2811-338D-46B4-B991-85F385FB1FF8}" name="Column1395"/>
    <tableColumn id="1401" xr3:uid="{2787F00D-5461-4C67-8FF4-75D62A82569B}" name="Column1396"/>
    <tableColumn id="1402" xr3:uid="{60D05DEC-208E-445B-AEBF-2C47D450F930}" name="Column1397"/>
    <tableColumn id="1403" xr3:uid="{49105160-371A-4304-8A47-18A4F5D850E9}" name="Column1398"/>
    <tableColumn id="1404" xr3:uid="{C5338CC4-B3E3-427E-AE8D-C94B81A73F17}" name="Column1399"/>
    <tableColumn id="1405" xr3:uid="{0E66FD32-4022-430B-8F5C-CED005CFE14E}" name="Column1400"/>
    <tableColumn id="1406" xr3:uid="{A72F2F8D-63F5-47FE-B66D-3ADAF1CB7B6D}" name="Column1401"/>
    <tableColumn id="1407" xr3:uid="{CC510974-EA52-464B-867B-ACF581C77624}" name="Column1402"/>
    <tableColumn id="1408" xr3:uid="{A3109D2D-4022-438E-A708-8AF40A2A2008}" name="Column1403"/>
    <tableColumn id="1409" xr3:uid="{A59C166A-76DD-41F4-95E0-66E16F7C91DE}" name="Column1404"/>
    <tableColumn id="1410" xr3:uid="{2C5A82E3-2B37-41EE-BC2F-BE559AC3561B}" name="Column1405"/>
    <tableColumn id="1411" xr3:uid="{470DD392-5A1D-4273-A723-F379DEEF32EC}" name="Column1406"/>
    <tableColumn id="1412" xr3:uid="{F7445304-78A4-4518-93C8-0BBCF6F74EEC}" name="Column1407"/>
    <tableColumn id="1413" xr3:uid="{E0E8D335-9632-4E55-9D6B-DCD5D54239E2}" name="Column1408"/>
    <tableColumn id="1414" xr3:uid="{3EA4A96E-4ED9-4966-9F2E-996E0AB866B0}" name="Column1409"/>
    <tableColumn id="1415" xr3:uid="{9DC763C0-A95E-49EE-92E6-2AB1D9BFFF26}" name="Column1410"/>
    <tableColumn id="1416" xr3:uid="{43A29A9B-279D-4262-B602-ED4CE0DC8645}" name="Column1411"/>
    <tableColumn id="1417" xr3:uid="{006EE013-C074-4AF2-8456-7059159D49AB}" name="Column1412"/>
    <tableColumn id="1418" xr3:uid="{B3FE78B2-7A42-4CDB-84E9-A578ABE00C2F}" name="Column1413"/>
    <tableColumn id="1419" xr3:uid="{81B85BBA-E659-4B1F-AC50-273116694507}" name="Column1414"/>
    <tableColumn id="1420" xr3:uid="{E2A24704-96A7-448F-8646-C650C8E416A8}" name="Column1415"/>
    <tableColumn id="1421" xr3:uid="{555D3B4D-A2BE-4ED7-A94A-AD5B1C177F95}" name="Column1416"/>
    <tableColumn id="1422" xr3:uid="{2FF6E16F-C418-4F98-A34B-5A4CF505678E}" name="Column1417"/>
    <tableColumn id="1423" xr3:uid="{8FCB2946-BCCF-40F4-80AB-EE69F25ADA5F}" name="Column1418"/>
    <tableColumn id="1424" xr3:uid="{6C856A5D-865B-4E3A-A3CE-91039DA026CE}" name="Column1419"/>
    <tableColumn id="1425" xr3:uid="{681D2857-6095-4868-8796-606686596422}" name="Column1420"/>
    <tableColumn id="1426" xr3:uid="{3CFF8B33-3695-446F-B415-7183B86FC17D}" name="Column1421"/>
    <tableColumn id="1427" xr3:uid="{386C03F1-5256-44CF-A207-EBD588F7CC40}" name="Column1422"/>
    <tableColumn id="1428" xr3:uid="{FB2AFF05-442F-4CC8-8A8B-9F825DF803FA}" name="Column1423"/>
    <tableColumn id="1429" xr3:uid="{77E6A125-5EDC-4473-A717-E510E5C9DE4A}" name="Column1424"/>
    <tableColumn id="1430" xr3:uid="{D5C8064F-0CB7-4C09-A2C4-8BAC3F9F5EE3}" name="Column1425"/>
    <tableColumn id="1431" xr3:uid="{D83168D6-2A6B-4DFE-AC44-D30A7472BBB5}" name="Column1426"/>
    <tableColumn id="1432" xr3:uid="{D6E4F428-1EF5-45C8-A930-E6CC39C7A04C}" name="Column1427"/>
    <tableColumn id="1433" xr3:uid="{BBC703CE-7E35-4BC3-B125-F797B88C929A}" name="Column1428"/>
    <tableColumn id="1434" xr3:uid="{51D2B95E-E7C9-4B60-82AF-089AC775DC7C}" name="Column1429"/>
    <tableColumn id="1435" xr3:uid="{980F80F8-573C-4E9C-ABA3-376F0B863B2E}" name="Column1430"/>
    <tableColumn id="1436" xr3:uid="{7E0B09ED-A2C5-429F-B68E-6DB788120511}" name="Column1431"/>
    <tableColumn id="1437" xr3:uid="{C3F0633A-4F96-4E11-939A-879624D40184}" name="Column1432"/>
    <tableColumn id="1438" xr3:uid="{C130560A-A3D9-4C45-8FBB-056E1D0E3393}" name="Column1433"/>
    <tableColumn id="1439" xr3:uid="{1C990F0F-9BE1-434B-9C41-F40796D9085C}" name="Column1434"/>
    <tableColumn id="1440" xr3:uid="{64BB026A-B4B8-4B5C-A0B8-38500A7BEAEB}" name="Column1435"/>
    <tableColumn id="1441" xr3:uid="{4DAD42A2-0AFC-4D78-9850-D3043E84A1A9}" name="Column1436"/>
    <tableColumn id="1442" xr3:uid="{D839D7C6-A044-4095-8DC1-B54AD4457354}" name="Column1437"/>
    <tableColumn id="1443" xr3:uid="{516757E9-0230-4C73-AC1D-32B94F4989BD}" name="Column1438"/>
    <tableColumn id="1444" xr3:uid="{CB2ADB80-1F19-40ED-BF14-EDB96604DB01}" name="Column1439"/>
    <tableColumn id="1445" xr3:uid="{9EFAE293-4E3A-462E-B57E-16A25F99D4D3}" name="Column1440"/>
    <tableColumn id="1446" xr3:uid="{87EE52DF-16DA-4851-92D9-D2E53BD442C2}" name="Column1441"/>
    <tableColumn id="1447" xr3:uid="{D96B388F-B717-457B-96AD-E46A5D550A1F}" name="Column1442"/>
    <tableColumn id="1448" xr3:uid="{ED9B968A-5651-4FBF-83EF-AC65B596C57F}" name="Column1443"/>
    <tableColumn id="1449" xr3:uid="{D67B2BE4-21AA-4FA5-839E-C6BBACE0A8BF}" name="Column1444"/>
    <tableColumn id="1450" xr3:uid="{BF0ABFE2-2A65-4DF1-AA04-4280B2B1BED1}" name="Column1445"/>
    <tableColumn id="1451" xr3:uid="{B955F5DE-F539-4DD7-9132-5D5114D41FBA}" name="Column1446"/>
    <tableColumn id="1452" xr3:uid="{28689A6A-C55A-4B08-A456-3454A5E605DD}" name="Column1447"/>
    <tableColumn id="1453" xr3:uid="{B424F4CE-C3CF-49BA-954D-9DC4A70F8E0D}" name="Column1448"/>
    <tableColumn id="1454" xr3:uid="{33AFA1CF-96DE-4AD9-A6F7-F368687B2C77}" name="Column1449"/>
    <tableColumn id="1455" xr3:uid="{C8B2CB3D-4266-488D-9F75-C994C80554E9}" name="Column1450"/>
    <tableColumn id="1456" xr3:uid="{529ABAFA-76BC-4AC6-8592-7DA5C5766547}" name="Column1451"/>
    <tableColumn id="1457" xr3:uid="{1911A36B-8BB1-4C94-9950-F55B5C3BC65C}" name="Column1452"/>
    <tableColumn id="1458" xr3:uid="{CF13A716-75CD-4C21-8564-174D5745BBD6}" name="Column1453"/>
    <tableColumn id="1459" xr3:uid="{3B852C31-44C3-4AD2-963C-A825CB05CB62}" name="Column1454"/>
    <tableColumn id="1460" xr3:uid="{91A9EDD9-DD35-49B0-989A-3C414554A218}" name="Column1455"/>
    <tableColumn id="1461" xr3:uid="{CBE4B395-46DC-4A2F-A82A-6F99348BD7DB}" name="Column1456"/>
    <tableColumn id="1462" xr3:uid="{A354A87B-8277-4AA7-8013-AF0CD91CCE93}" name="Column1457"/>
    <tableColumn id="1463" xr3:uid="{E4AD13E4-1A07-47AC-B0A7-0C36827B4173}" name="Column1458"/>
    <tableColumn id="1464" xr3:uid="{EAACA3E2-6C4E-4312-BCAB-C22C5A8CB31F}" name="Column1459"/>
    <tableColumn id="1465" xr3:uid="{2440C9E0-AF20-485D-93E0-FC69898B7880}" name="Column1460"/>
    <tableColumn id="1466" xr3:uid="{460E127D-31E6-4E6B-BAB3-17ADAB1A1993}" name="Column1461"/>
    <tableColumn id="1467" xr3:uid="{74B1F998-88E5-447C-895F-EB74BC16CB18}" name="Column1462"/>
    <tableColumn id="1468" xr3:uid="{6377A15A-DA87-4C86-A9FA-B60614C57A37}" name="Column1463"/>
    <tableColumn id="1469" xr3:uid="{3C4B487C-30BC-436D-94FD-1014A9D43113}" name="Column1464"/>
    <tableColumn id="1470" xr3:uid="{C77AD057-F5CB-44BA-AEB8-B9B2BB70D636}" name="Column1465"/>
    <tableColumn id="1471" xr3:uid="{CE9F698E-66AA-4032-BFF0-648E95CA2254}" name="Column1466"/>
    <tableColumn id="1472" xr3:uid="{54CACE32-FE16-483D-BCC1-E56216F7FC03}" name="Column1467"/>
    <tableColumn id="1473" xr3:uid="{79C2C960-F97E-4AFE-BCCB-72A7CD69B81F}" name="Column1468"/>
    <tableColumn id="1474" xr3:uid="{4D33A9CD-9FF7-4AA0-B02A-D19C57E27F64}" name="Column1469"/>
    <tableColumn id="1475" xr3:uid="{102A4B2B-C892-4B82-BC61-65DD6204BA7E}" name="Column1470"/>
    <tableColumn id="1476" xr3:uid="{0161351E-0733-4A98-B0D0-EFBC4FD5EDCF}" name="Column1471"/>
    <tableColumn id="1477" xr3:uid="{C6FCE3D3-684E-4BE7-84CD-6F81CE88F279}" name="Column1472"/>
    <tableColumn id="1478" xr3:uid="{F547040F-0BAE-45C2-B32B-4718DDF8010B}" name="Column1473"/>
    <tableColumn id="1479" xr3:uid="{D30EA4B9-56BF-44CB-9BAA-782ED165CA81}" name="Column1474"/>
    <tableColumn id="1480" xr3:uid="{4C039D81-55CE-4B52-A2D2-6A3F9EAAF309}" name="Column1475"/>
    <tableColumn id="1481" xr3:uid="{F81CC2B6-6C98-42DB-A5A6-1F36B138CC50}" name="Column1476"/>
    <tableColumn id="1482" xr3:uid="{7B0139FE-F3F6-45CA-9526-5E2C75ECB94E}" name="Column1477"/>
    <tableColumn id="1483" xr3:uid="{BB62B53C-8362-4043-B656-29A75BE6529C}" name="Column1478"/>
    <tableColumn id="1484" xr3:uid="{CCD06811-E808-427A-ABE9-BB1028808731}" name="Column1479"/>
    <tableColumn id="1485" xr3:uid="{A6693FAF-24B8-4506-BA2F-38E69945A2C3}" name="Column1480"/>
    <tableColumn id="1486" xr3:uid="{9CB95F41-A876-44D5-A8FB-E59B2196C536}" name="Column1481"/>
    <tableColumn id="1487" xr3:uid="{AB75DD52-5254-4332-A183-DD5DCE91DFD1}" name="Column1482"/>
    <tableColumn id="1488" xr3:uid="{94255A94-95CB-4600-A481-FA8197242436}" name="Column1483"/>
    <tableColumn id="1489" xr3:uid="{DC0E0C6C-3BD6-459E-87AD-6C0CCA89B6A3}" name="Column1484"/>
    <tableColumn id="1490" xr3:uid="{F82F1CED-1B57-4DBB-ACC7-D938A6EE9FC6}" name="Column1485"/>
    <tableColumn id="1491" xr3:uid="{51C5625C-0E64-4FA5-AB80-3708AB3EBB3D}" name="Column1486"/>
    <tableColumn id="1492" xr3:uid="{B5627752-D770-490F-B005-FF3E0C5E8497}" name="Column1487"/>
    <tableColumn id="1493" xr3:uid="{EF116B6A-DE53-4233-9028-1E13A173993F}" name="Column1488"/>
    <tableColumn id="1494" xr3:uid="{64A72A04-BED0-4EB9-8CE2-93F13B4CA526}" name="Column1489"/>
    <tableColumn id="1495" xr3:uid="{4AA3CD32-183F-4728-8E4B-E8ABCB0266A5}" name="Column1490"/>
    <tableColumn id="1496" xr3:uid="{E9EA113F-2592-40D7-9ACE-DC65EEC42E28}" name="Column1491"/>
    <tableColumn id="1497" xr3:uid="{3A360F8E-58C8-426B-BF7B-F87557467382}" name="Column1492"/>
    <tableColumn id="1498" xr3:uid="{CFE44AF1-80B3-40E0-8A3E-B3128B94D710}" name="Column1493"/>
    <tableColumn id="1499" xr3:uid="{D2219185-3BD4-46A6-BB77-A2F2DC75C694}" name="Column1494"/>
    <tableColumn id="1500" xr3:uid="{7E9803DE-E827-463A-B5E1-6086CCAB2EE2}" name="Column1495"/>
    <tableColumn id="1501" xr3:uid="{55503C37-5A75-4FCA-96AB-718F1098EBA6}" name="Column1496"/>
    <tableColumn id="1502" xr3:uid="{74211C58-1C73-49A8-9B02-40D67C98ADE0}" name="Column1497"/>
    <tableColumn id="1503" xr3:uid="{BAC796D3-8AF3-40AD-A4D4-4150DA3B90AE}" name="Column1498"/>
    <tableColumn id="1504" xr3:uid="{A8812085-764C-4E8B-AF15-1C3C1191219E}" name="Column1499"/>
    <tableColumn id="1505" xr3:uid="{42E7155C-28F2-47F3-8D46-46B1272170A4}" name="Column1500"/>
    <tableColumn id="1506" xr3:uid="{8AB9125E-9EEE-4D27-89DE-668151FDCCCC}" name="Column1501"/>
    <tableColumn id="1507" xr3:uid="{9D980FC6-9009-4511-9B16-62DB63D7B741}" name="Column1502"/>
    <tableColumn id="1508" xr3:uid="{FDF7815C-85CA-40E7-8A69-CBB582A7489B}" name="Column1503"/>
    <tableColumn id="1509" xr3:uid="{F64C1B36-7E9E-437F-8C99-7A7A9F1519FD}" name="Column1504"/>
    <tableColumn id="1510" xr3:uid="{22FB5DA6-8BB0-4298-B741-203C4852C30A}" name="Column1505"/>
    <tableColumn id="1511" xr3:uid="{7882CCE5-3918-4C09-AB70-FF264BB2E704}" name="Column1506"/>
    <tableColumn id="1512" xr3:uid="{C8EC47C5-01FB-4414-B874-050F261B849F}" name="Column1507"/>
    <tableColumn id="1513" xr3:uid="{997B51BD-DF83-4E39-83BB-880A921A4FB8}" name="Column1508"/>
    <tableColumn id="1514" xr3:uid="{D3D7ED05-52A6-42F9-95D4-3055CB5BE327}" name="Column1509"/>
    <tableColumn id="1515" xr3:uid="{80529590-DCE6-4AAC-989D-586924F7CDF4}" name="Column1510"/>
    <tableColumn id="1516" xr3:uid="{9657ECCF-83FA-422C-9E83-E1585B1D395F}" name="Column1511"/>
    <tableColumn id="1517" xr3:uid="{EAE97D3A-3944-4D7E-9804-300E7C2B18FB}" name="Column1512"/>
    <tableColumn id="1518" xr3:uid="{97590E2D-249A-4102-8615-92513A442678}" name="Column1513"/>
    <tableColumn id="1519" xr3:uid="{04D30721-99E0-488C-BA9A-D52B637BB27A}" name="Column1514"/>
    <tableColumn id="1520" xr3:uid="{ECD3C5BA-C153-4242-B388-D3357F1665F2}" name="Column1515"/>
    <tableColumn id="1521" xr3:uid="{05D6A5DC-3EC8-4767-8441-F6668AD4041C}" name="Column1516"/>
    <tableColumn id="1522" xr3:uid="{1A5C4696-706F-4FFA-8769-0D2EDA759F3A}" name="Column1517"/>
    <tableColumn id="1523" xr3:uid="{E9EED2D3-A198-42D2-B1DB-B6AD149DB86D}" name="Column1518"/>
    <tableColumn id="1524" xr3:uid="{B37B3977-30B8-4BCA-BF54-6D6F25BE60F4}" name="Column1519"/>
    <tableColumn id="1525" xr3:uid="{936CBD20-E89F-40F3-89A9-265F6D8FC41F}" name="Column1520"/>
    <tableColumn id="1526" xr3:uid="{2EA7CB7C-4644-49DF-9D9F-3D25551CF048}" name="Column1521"/>
    <tableColumn id="1527" xr3:uid="{73B21D91-C34E-4443-9BE9-EAD36163FE69}" name="Column1522"/>
    <tableColumn id="1528" xr3:uid="{2E742700-461A-4728-AA00-A2657588BD1B}" name="Column1523"/>
    <tableColumn id="1529" xr3:uid="{FC9E4B20-F6F8-426E-B753-0E8D41EBF620}" name="Column1524"/>
    <tableColumn id="1530" xr3:uid="{791315CE-B3BE-4D70-9FC2-79272E0DF2C4}" name="Column1525"/>
    <tableColumn id="1531" xr3:uid="{37B9C9A3-76C1-4D4B-9674-A1E8F37431C3}" name="Column1526"/>
    <tableColumn id="1532" xr3:uid="{28559AB2-68C3-4075-B071-47E94C78AE89}" name="Column1527"/>
    <tableColumn id="1533" xr3:uid="{B4CC4B46-016B-45B5-BF3A-3AF2D542E23D}" name="Column1528"/>
    <tableColumn id="1534" xr3:uid="{66AF5F96-5CAA-4F6B-8CBA-8576BB8167BF}" name="Column1529"/>
    <tableColumn id="1535" xr3:uid="{7DA54E6F-E183-4828-85F4-2EFDFBB40BFB}" name="Column1530"/>
    <tableColumn id="1536" xr3:uid="{9080823C-58CC-4EF5-8EDE-5E5A6D73745E}" name="Column1531"/>
    <tableColumn id="1537" xr3:uid="{4EFDF9FD-7A6A-4E91-9C50-A424F47C08FF}" name="Column1532"/>
    <tableColumn id="1538" xr3:uid="{05423682-2342-4B4A-8EEB-81C80153C705}" name="Column1533"/>
    <tableColumn id="1539" xr3:uid="{9FED4B26-394C-4FC3-A24F-E48EEA115C6D}" name="Column1534"/>
    <tableColumn id="1540" xr3:uid="{F89C61AF-9AC5-4762-BBE4-E511284DFF5F}" name="Column1535"/>
    <tableColumn id="1541" xr3:uid="{D0602935-0DE6-4949-B5D0-A4ABB8729E04}" name="Column1536"/>
    <tableColumn id="1542" xr3:uid="{009FA925-0DF4-4CB0-BE11-BC04B898F1A1}" name="Column1537"/>
    <tableColumn id="1543" xr3:uid="{192A11CC-D8B9-4CDC-BEB5-A0CAA024A6D6}" name="Column1538"/>
    <tableColumn id="1544" xr3:uid="{454F67B3-8A29-48BB-805D-964F7A567C77}" name="Column1539"/>
    <tableColumn id="1545" xr3:uid="{F5FD2BBE-B919-4CB7-8354-B1AD47A439DD}" name="Column1540"/>
    <tableColumn id="1546" xr3:uid="{C7A90FF8-2526-4DFB-AA5B-373B1B34B7A5}" name="Column1541"/>
    <tableColumn id="1547" xr3:uid="{979DE9F2-C572-4462-B34B-1BF6217AB17E}" name="Column1542"/>
    <tableColumn id="1548" xr3:uid="{866D673A-BF56-4B32-8A5E-D8CE062265D1}" name="Column1543"/>
    <tableColumn id="1549" xr3:uid="{68AC2CDE-D306-4A0A-AA07-41AB463AA4CB}" name="Column1544"/>
    <tableColumn id="1550" xr3:uid="{353F4CCC-6D57-45CD-AE98-6108AE4FD1EE}" name="Column1545"/>
    <tableColumn id="1551" xr3:uid="{553942BB-E194-42CC-9F68-36938411FC7B}" name="Column1546"/>
    <tableColumn id="1552" xr3:uid="{E70B8207-1341-4930-9811-23463BDA7472}" name="Column1547"/>
    <tableColumn id="1553" xr3:uid="{4F69FAF6-9185-49F8-9016-F961C933B72F}" name="Column1548"/>
    <tableColumn id="1554" xr3:uid="{7E143F11-207F-4774-930B-54E768EA25BF}" name="Column1549"/>
    <tableColumn id="1555" xr3:uid="{37DA9E0C-4521-4DD5-A45B-67BA46E4A043}" name="Column1550"/>
    <tableColumn id="1556" xr3:uid="{E1FD397B-FC37-4FB9-9D50-9E685B8E1497}" name="Column1551"/>
    <tableColumn id="1557" xr3:uid="{A17105C4-276F-4015-8D53-E239B1F3C14E}" name="Column1552"/>
    <tableColumn id="1558" xr3:uid="{94690950-85D2-4941-9949-FBF0FFFC2F08}" name="Column1553"/>
    <tableColumn id="1559" xr3:uid="{B7A1AC7B-B954-4167-86B3-0963737D0796}" name="Column1554"/>
    <tableColumn id="1560" xr3:uid="{C5AD1A77-179C-4B94-A49B-48820989A8A9}" name="Column1555"/>
    <tableColumn id="1561" xr3:uid="{B63C159E-611A-4EAB-8EBB-B1A36F429A1F}" name="Column1556"/>
    <tableColumn id="1562" xr3:uid="{34BA711C-0145-44B2-AFD7-3844BAD3E833}" name="Column1557"/>
    <tableColumn id="1563" xr3:uid="{B5C3764B-51DE-444A-B533-4B3F4B203C12}" name="Column1558"/>
    <tableColumn id="1564" xr3:uid="{C558D512-AC3D-4BC8-A668-44DEE08DF5E4}" name="Column1559"/>
    <tableColumn id="1565" xr3:uid="{43332DF2-B8C8-45A9-AE7D-4EB0B1711FE1}" name="Column1560"/>
    <tableColumn id="1566" xr3:uid="{97020F32-8B3C-45AC-A921-0291E781E9D9}" name="Column1561"/>
    <tableColumn id="1567" xr3:uid="{7F6FEA8F-AC3D-43E0-9EED-4D94D3DA36D3}" name="Column1562"/>
    <tableColumn id="1568" xr3:uid="{73C5DE2F-EA43-416C-934F-21C4E0665BD6}" name="Column1563"/>
    <tableColumn id="1569" xr3:uid="{C7B01D13-D429-4F52-8685-30968544BED6}" name="Column1564"/>
    <tableColumn id="1570" xr3:uid="{03DECE15-D204-4F31-8503-2D45B9BADC95}" name="Column1565"/>
    <tableColumn id="1571" xr3:uid="{5370D526-5AE9-4A36-A48C-EBB920AC22DE}" name="Column1566"/>
    <tableColumn id="1572" xr3:uid="{EB975884-355C-40CA-89FE-50D4FCA55A93}" name="Column1567"/>
    <tableColumn id="1573" xr3:uid="{208E551A-6DCF-439F-AA54-F85781485452}" name="Column1568"/>
    <tableColumn id="1574" xr3:uid="{6176CDC8-B81F-4256-B256-171EA3E145C9}" name="Column1569"/>
    <tableColumn id="1575" xr3:uid="{F405ECDF-A4FD-497A-A797-14D9CD6068E9}" name="Column1570"/>
    <tableColumn id="1576" xr3:uid="{A48D9B28-91C8-4FD2-B297-6F4911D2D47D}" name="Column1571"/>
    <tableColumn id="1577" xr3:uid="{79C08ABB-C446-4489-AC44-9F9D39F9C4F2}" name="Column1572"/>
    <tableColumn id="1578" xr3:uid="{3D9EE7FE-5465-4D9E-9768-16F287AF2CE1}" name="Column1573"/>
    <tableColumn id="1579" xr3:uid="{D55EA9FD-B96F-4A9B-8E65-2592B72F4DCE}" name="Column1574"/>
    <tableColumn id="1580" xr3:uid="{53E02D13-1A7A-4F2E-B0A1-44A65B48A5D0}" name="Column1575"/>
    <tableColumn id="1581" xr3:uid="{2FAF46D6-5B18-414D-B618-113D5AF0D0C4}" name="Column1576"/>
    <tableColumn id="1582" xr3:uid="{AD05055B-18AB-478B-A735-388983D17FD3}" name="Column1577"/>
    <tableColumn id="1583" xr3:uid="{E8BE5C95-539F-4F0B-8CAE-F36DB4C6BBD5}" name="Column1578"/>
    <tableColumn id="1584" xr3:uid="{7000587A-D0C0-4EE8-A9C7-F20A73FA5442}" name="Column1579"/>
    <tableColumn id="1585" xr3:uid="{321AAC79-6C28-4B6C-9C8E-FB721E228F15}" name="Column1580"/>
    <tableColumn id="1586" xr3:uid="{9E994930-6EDE-4319-952D-06EF8BAF7AC9}" name="Column1581"/>
    <tableColumn id="1587" xr3:uid="{7FC34822-9B01-43C1-8714-2FE1BA973156}" name="Column1582"/>
    <tableColumn id="1588" xr3:uid="{8E00DD67-EFCE-479E-8401-9B7C7DC43CC7}" name="Column1583"/>
    <tableColumn id="1589" xr3:uid="{599ADE63-8F36-4701-8AFA-0A319EE78516}" name="Column1584"/>
    <tableColumn id="1590" xr3:uid="{9FCEF97C-8E9F-4A5E-A293-BB7683D6383F}" name="Column1585"/>
    <tableColumn id="1591" xr3:uid="{BADD4667-6793-4CE3-8B44-A336FCA591F4}" name="Column1586"/>
    <tableColumn id="1592" xr3:uid="{902B1B6E-0147-442B-AC70-13F399271336}" name="Column1587"/>
    <tableColumn id="1593" xr3:uid="{336EABA6-3FB4-455A-8331-76D7B1FE0013}" name="Column1588"/>
    <tableColumn id="1594" xr3:uid="{972B20C1-2706-4495-A5EE-40AA3C4A14A1}" name="Column1589"/>
    <tableColumn id="1595" xr3:uid="{84A260EF-5303-498E-8BE1-804F6664E134}" name="Column1590"/>
    <tableColumn id="1596" xr3:uid="{A93E187C-36BB-4ACC-BE81-765F488BE769}" name="Column1591"/>
    <tableColumn id="1597" xr3:uid="{52699CE5-1D0F-40DF-86BE-9F203A8CAF1D}" name="Column1592"/>
    <tableColumn id="1598" xr3:uid="{BDB94159-C81C-42BC-8816-63C06D5B0604}" name="Column1593"/>
    <tableColumn id="1599" xr3:uid="{8816967E-17FB-4074-B9DA-BED929A830B9}" name="Column1594"/>
    <tableColumn id="1600" xr3:uid="{D3CEBC0B-718E-4B38-83E9-7ECB11E4A580}" name="Column1595"/>
    <tableColumn id="1601" xr3:uid="{B493E368-1C15-46BB-B6CC-98FD2DC5E79D}" name="Column1596"/>
    <tableColumn id="1602" xr3:uid="{B1F82250-5BCB-4A97-A552-311CFDEC1C0B}" name="Column1597"/>
    <tableColumn id="1603" xr3:uid="{CEF70F4F-8EB3-4D97-B4F1-BB8261915A80}" name="Column1598"/>
    <tableColumn id="1604" xr3:uid="{499D0256-10A6-4756-A3EF-236AF1CAEDF1}" name="Column1599"/>
    <tableColumn id="1605" xr3:uid="{E2C36D99-859C-4B74-9081-4470A43B5CA3}" name="Column1600"/>
    <tableColumn id="1606" xr3:uid="{864E1701-3ABF-4F5B-93EC-94A78A3DF5D6}" name="Column1601"/>
    <tableColumn id="1607" xr3:uid="{2F002671-AC02-4F57-B7A0-2394515DFA02}" name="Column1602"/>
    <tableColumn id="1608" xr3:uid="{202C5529-3EDE-41AF-B24F-7F4DFD38F761}" name="Column1603"/>
    <tableColumn id="1609" xr3:uid="{112B5857-6661-435A-B7CD-88C6FDE86F5E}" name="Column1604"/>
    <tableColumn id="1610" xr3:uid="{AF2D470F-6CE6-4F27-B29F-3F0C7EB5E07F}" name="Column1605"/>
    <tableColumn id="1611" xr3:uid="{FCB9535F-6568-454C-B3CB-7E4273605171}" name="Column1606"/>
    <tableColumn id="1612" xr3:uid="{0F4C17A5-BB2A-44DB-AD93-10B25A8C539B}" name="Column1607"/>
    <tableColumn id="1613" xr3:uid="{C78565C9-5CBB-4A42-A584-B2AA0D6112C6}" name="Column1608"/>
    <tableColumn id="1614" xr3:uid="{4373CA7F-CEDD-4BA4-92CA-6375096151AC}" name="Column1609"/>
    <tableColumn id="1615" xr3:uid="{5C5FBE40-64DF-464A-8A23-C1F392A61EF7}" name="Column1610"/>
    <tableColumn id="1616" xr3:uid="{72E8A1C0-2477-4996-A418-02BD702C3864}" name="Column1611"/>
    <tableColumn id="1617" xr3:uid="{92A1B29B-F931-4F34-8D6A-E6928849A9BE}" name="Column1612"/>
    <tableColumn id="1618" xr3:uid="{084ECE28-700F-41AA-8CF9-81973020EF69}" name="Column1613"/>
    <tableColumn id="1619" xr3:uid="{1D81357C-CCE3-443D-9FE2-F791F25AF1E1}" name="Column1614"/>
    <tableColumn id="1620" xr3:uid="{EAFB5619-7D98-4F1F-A5A5-20CBE337353E}" name="Column1615"/>
    <tableColumn id="1621" xr3:uid="{F0C68640-E935-4511-8915-40517F8DBA43}" name="Column1616"/>
    <tableColumn id="1622" xr3:uid="{7B9B9009-2D47-4131-9EC2-DEBD870F87EE}" name="Column1617"/>
    <tableColumn id="1623" xr3:uid="{E6F69D7B-6470-4344-B37E-DE581336E875}" name="Column1618"/>
    <tableColumn id="1624" xr3:uid="{8D67E0FC-1F14-4757-BF70-8498404AB5EF}" name="Column1619"/>
    <tableColumn id="1625" xr3:uid="{AC53ED3E-A6A2-4E5F-B0D3-2A6DFDA0C595}" name="Column1620"/>
    <tableColumn id="1626" xr3:uid="{4CBA248B-E067-4BCD-AC80-3280A0CAC344}" name="Column1621"/>
    <tableColumn id="1627" xr3:uid="{86F069E5-B333-44B3-9100-E2F14E968F62}" name="Column1622"/>
    <tableColumn id="1628" xr3:uid="{F0CC17ED-678C-4490-B499-616B5236C416}" name="Column1623"/>
    <tableColumn id="1629" xr3:uid="{32EC8537-0AAB-4861-A841-2BDA6F29773D}" name="Column1624"/>
    <tableColumn id="1630" xr3:uid="{85312BF8-AE5C-473F-9ACC-58009981902C}" name="Column1625"/>
    <tableColumn id="1631" xr3:uid="{F7234CCA-13C5-4D3A-89F3-4B4E51E26F46}" name="Column1626"/>
    <tableColumn id="1632" xr3:uid="{528D2EB0-B176-4189-AA58-BF380194BAF2}" name="Column1627"/>
    <tableColumn id="1633" xr3:uid="{106038CF-C669-4AB1-B322-FFE2E9D5F931}" name="Column1628"/>
    <tableColumn id="1634" xr3:uid="{BEC2CF33-B571-4E95-86B2-A78BF93BE733}" name="Column1629"/>
    <tableColumn id="1635" xr3:uid="{DC5E0D85-7844-48AC-BF89-CA33078A69E8}" name="Column1630"/>
    <tableColumn id="1636" xr3:uid="{4367C9B4-8AF7-4D81-9F81-1B75FEDB6AA2}" name="Column1631"/>
    <tableColumn id="1637" xr3:uid="{1110C98A-B644-4016-8EB6-7685F3DB4CCD}" name="Column1632"/>
    <tableColumn id="1638" xr3:uid="{144F274D-A5EE-4357-9920-31C5A7F4E5B0}" name="Column1633"/>
    <tableColumn id="1639" xr3:uid="{36638F1A-2044-4D5C-8F70-3A2E7FEBF102}" name="Column1634"/>
    <tableColumn id="1640" xr3:uid="{7380E645-F826-4CCA-84C5-FB8128F1664B}" name="Column1635"/>
    <tableColumn id="1641" xr3:uid="{3F578679-6BCA-4CB1-BD3F-83BC3AE9226C}" name="Column1636"/>
    <tableColumn id="1642" xr3:uid="{FE924198-07DE-4F57-8CAA-FE8295850ADF}" name="Column1637"/>
    <tableColumn id="1643" xr3:uid="{678CB545-99C6-45C0-A3E4-B968442A9E37}" name="Column1638"/>
    <tableColumn id="1644" xr3:uid="{ECBA28CF-1ECE-41A6-94C4-BA7EF1C0517A}" name="Column1639"/>
    <tableColumn id="1645" xr3:uid="{1FDBBBA5-3980-4D99-A309-373E9A1D7EC6}" name="Column1640"/>
    <tableColumn id="1646" xr3:uid="{81BE5372-1FBB-4BB0-8907-6D0D25ACD134}" name="Column1641"/>
    <tableColumn id="1647" xr3:uid="{57D579E7-81CC-4818-88B1-AF3CD583B753}" name="Column1642"/>
    <tableColumn id="1648" xr3:uid="{3495F240-E4B9-45E3-809A-3516DFDFB5ED}" name="Column1643"/>
    <tableColumn id="1649" xr3:uid="{6DC59EB3-1E82-43B9-95E2-C17D338AF924}" name="Column1644"/>
    <tableColumn id="1650" xr3:uid="{7957E1DE-AF59-4833-82E1-89B894E7A200}" name="Column1645"/>
    <tableColumn id="1651" xr3:uid="{56808353-5BFC-4B31-8FD9-B31AD74BCEBE}" name="Column1646"/>
    <tableColumn id="1652" xr3:uid="{A7B5B891-70A7-4D40-A983-0127066C0293}" name="Column1647"/>
    <tableColumn id="1653" xr3:uid="{D6D4D341-B817-4979-98E0-F729CF12910F}" name="Column1648"/>
    <tableColumn id="1654" xr3:uid="{7668518A-BE1B-4593-A22F-EC8A383B5DDD}" name="Column1649"/>
    <tableColumn id="1655" xr3:uid="{3A66395F-A66F-4D51-B9C2-2561CA955ACB}" name="Column1650"/>
    <tableColumn id="1656" xr3:uid="{178A991A-F4DC-417F-8BDC-148D2DF26208}" name="Column1651"/>
    <tableColumn id="1657" xr3:uid="{2B9B8431-CF35-4825-B7FC-659A758D5950}" name="Column1652"/>
    <tableColumn id="1658" xr3:uid="{A6E82427-4436-41D6-9202-C06B3BD57D85}" name="Column1653"/>
    <tableColumn id="1659" xr3:uid="{63D00A1D-4134-42C0-9287-B16D6EF130ED}" name="Column1654"/>
    <tableColumn id="1660" xr3:uid="{27CFA601-88C6-4319-89D1-F04C65216D97}" name="Column1655"/>
    <tableColumn id="1661" xr3:uid="{6B1FEFBF-E8D5-486A-8795-7BA622F29C76}" name="Column1656"/>
    <tableColumn id="1662" xr3:uid="{72C74C0B-1261-4D61-BC95-BA89899B9B2D}" name="Column1657"/>
    <tableColumn id="1663" xr3:uid="{42BF14B6-1203-407E-A852-CB84B759AACC}" name="Column1658"/>
    <tableColumn id="1664" xr3:uid="{2CA126D5-112C-4065-ABAA-099BD0979C6D}" name="Column1659"/>
    <tableColumn id="1665" xr3:uid="{DBDA35AB-0B30-4EA3-AA57-C84727316EE1}" name="Column1660"/>
    <tableColumn id="1666" xr3:uid="{AE9F0C80-EC47-4A31-8E46-A9C3B791255F}" name="Column1661"/>
    <tableColumn id="1667" xr3:uid="{93388B4E-DC5A-4BA9-9D4F-209F99CE3866}" name="Column1662"/>
    <tableColumn id="1668" xr3:uid="{B0EA6022-4AFB-45BE-83CE-FA8860A48B68}" name="Column1663"/>
    <tableColumn id="1669" xr3:uid="{1B2AACFD-7020-429C-B66C-6B6BBB9EB46B}" name="Column1664"/>
    <tableColumn id="1670" xr3:uid="{518AF69D-D6F0-4234-90AA-7930710181E3}" name="Column1665"/>
    <tableColumn id="1671" xr3:uid="{53735658-4DED-470F-AEAA-514A265AE8BF}" name="Column1666"/>
    <tableColumn id="1672" xr3:uid="{9A616A02-1745-4F59-9CC5-9153C52CFDEA}" name="Column1667"/>
    <tableColumn id="1673" xr3:uid="{898DF479-D0E5-4C66-AF55-648FF00768DF}" name="Column1668"/>
    <tableColumn id="1674" xr3:uid="{437B0D95-0EEB-4E05-9E58-925BE01561E2}" name="Column1669"/>
    <tableColumn id="1675" xr3:uid="{CF5AF158-0EF7-4DAB-8E29-DCDBB664C92C}" name="Column1670"/>
    <tableColumn id="1676" xr3:uid="{85D709C2-A5A7-47C0-AEF8-9EA9B7571449}" name="Column1671"/>
    <tableColumn id="1677" xr3:uid="{B095C3AA-714C-4F2D-BC4C-A3D6F3C83B7A}" name="Column1672"/>
    <tableColumn id="1678" xr3:uid="{A65724C3-F39B-4268-9857-568AF23389A9}" name="Column1673"/>
    <tableColumn id="1679" xr3:uid="{5CDDE29D-DFCB-4604-8550-C3EBA8305660}" name="Column1674"/>
    <tableColumn id="1680" xr3:uid="{5B38B346-2D97-4CBF-935D-8F154BA4453D}" name="Column1675"/>
    <tableColumn id="1681" xr3:uid="{84C637D8-47FA-4D7A-9F21-B3B5436C1606}" name="Column1676"/>
    <tableColumn id="1682" xr3:uid="{D2A6462F-E0E3-49F7-922E-A5B61D266B88}" name="Column1677"/>
    <tableColumn id="1683" xr3:uid="{459401B0-A38C-4CF8-A315-6A1074E7C367}" name="Column1678"/>
    <tableColumn id="1684" xr3:uid="{0B5EB09B-4E07-457A-8DFE-5E5494C2F58C}" name="Column1679"/>
    <tableColumn id="1685" xr3:uid="{0E09777B-A33F-411E-B359-755FBDBE82BA}" name="Column1680"/>
    <tableColumn id="1686" xr3:uid="{F2348FC2-6C85-4CD6-BD5E-AC2EC0C97D7E}" name="Column1681"/>
    <tableColumn id="1687" xr3:uid="{C03D4AEF-B378-4943-86B7-EC2FF9818173}" name="Column1682"/>
    <tableColumn id="1688" xr3:uid="{142B1A0B-B617-4C00-9B99-5DBFB4CBEAA6}" name="Column1683"/>
    <tableColumn id="1689" xr3:uid="{488A052D-671E-494D-8042-380A89A0B8B6}" name="Column1684"/>
    <tableColumn id="1690" xr3:uid="{B48C3E18-7B69-406F-B9C1-A676DC2F2759}" name="Column1685"/>
    <tableColumn id="1691" xr3:uid="{D0232308-368B-4419-BA69-A8A3D7E6AA6B}" name="Column1686"/>
    <tableColumn id="1692" xr3:uid="{403A7AFF-F12F-4886-8D48-1867A48D36CA}" name="Column1687"/>
    <tableColumn id="1693" xr3:uid="{830126E2-4E5A-44B0-84B1-399F0943F5EE}" name="Column1688"/>
    <tableColumn id="1694" xr3:uid="{7FD3BEC7-6923-4B70-8691-D5A58636082D}" name="Column1689"/>
    <tableColumn id="1695" xr3:uid="{6D599D46-1BF7-43DA-9303-B932F4C316FA}" name="Column1690"/>
    <tableColumn id="1696" xr3:uid="{2D841FBD-CFA6-4F12-9B39-FA5CB172D239}" name="Column1691"/>
    <tableColumn id="1697" xr3:uid="{267CCE1C-BA8A-4D10-B085-6FC6F953CBA2}" name="Column1692"/>
    <tableColumn id="1698" xr3:uid="{47D7A9F1-75B6-430F-8E63-74CF66357FE7}" name="Column1693"/>
    <tableColumn id="1699" xr3:uid="{0CB4804C-1774-4B7B-9740-B492A079C76A}" name="Column1694"/>
    <tableColumn id="1700" xr3:uid="{3CE2ADEF-19F6-432C-BB1E-2E7527523985}" name="Column1695"/>
    <tableColumn id="1701" xr3:uid="{04147567-F5D5-49CD-A17F-80220D3DB1C1}" name="Column1696"/>
    <tableColumn id="1702" xr3:uid="{BFD81D4D-98CB-4767-AE23-0C3989F76F22}" name="Column1697"/>
    <tableColumn id="1703" xr3:uid="{F062A924-FE42-4F60-86A4-7C2ECC5112E6}" name="Column1698"/>
    <tableColumn id="1704" xr3:uid="{304648A3-9FA0-4B2D-AC54-347BF5EAFEA9}" name="Column1699"/>
    <tableColumn id="1705" xr3:uid="{D9BE6F5A-4960-4C4B-B30C-1E9FCB327844}" name="Column1700"/>
    <tableColumn id="1706" xr3:uid="{5E1870F9-8EB6-4AB8-9264-85A103058A38}" name="Column1701"/>
    <tableColumn id="1707" xr3:uid="{79957E1E-A03A-4A21-A16A-7AC4F2C2BFB1}" name="Column1702"/>
    <tableColumn id="1708" xr3:uid="{0F5F9776-E175-4957-BF83-3FCDFE2907CD}" name="Column1703"/>
    <tableColumn id="1709" xr3:uid="{CF1997B9-AA33-4786-BE19-9F7E14DB2453}" name="Column1704"/>
    <tableColumn id="1710" xr3:uid="{54AE1346-DF2F-47E2-ADAA-69898610363D}" name="Column1705"/>
    <tableColumn id="1711" xr3:uid="{77D4C641-E02B-4852-B9C3-2DE3B615A4AD}" name="Column1706"/>
    <tableColumn id="1712" xr3:uid="{F6210E6F-3AAD-4BF0-A8C7-11C8F428EEBD}" name="Column1707"/>
    <tableColumn id="1713" xr3:uid="{B0B1227F-234E-4B76-AEEB-8C08504FD8BE}" name="Column1708"/>
    <tableColumn id="1714" xr3:uid="{285C5F36-FFE3-49FB-94ED-E807314E8F35}" name="Column1709"/>
    <tableColumn id="1715" xr3:uid="{85E92A77-497E-49EE-BF53-0BDFC82CFA93}" name="Column1710"/>
    <tableColumn id="1716" xr3:uid="{B3C29E84-D8DD-4B6A-B48C-422A627AA666}" name="Column1711"/>
    <tableColumn id="1717" xr3:uid="{B2BF2C31-78C6-4778-8B29-39D90E78CF4F}" name="Column1712"/>
    <tableColumn id="1718" xr3:uid="{7F7CF69A-7643-4C0E-8200-AF3708A80CC2}" name="Column1713"/>
    <tableColumn id="1719" xr3:uid="{0A7E7AB1-F89D-4D5E-ACE9-A88458961EF2}" name="Column1714"/>
    <tableColumn id="1720" xr3:uid="{C51B3A1A-C86C-4AAA-A411-6D7B9641B41C}" name="Column1715"/>
    <tableColumn id="1721" xr3:uid="{F866EF96-32AB-41B6-9279-39579106BAB4}" name="Column1716"/>
    <tableColumn id="1722" xr3:uid="{C27B9AAB-24E6-4101-8342-080C11E0ABB9}" name="Column1717"/>
    <tableColumn id="1723" xr3:uid="{41E00A58-F2AA-4173-9A1D-92160CD38B40}" name="Column1718"/>
    <tableColumn id="1724" xr3:uid="{07F07F45-2995-46D7-AF9E-349B3ABC274F}" name="Column1719"/>
    <tableColumn id="1725" xr3:uid="{1A0BFF90-B3F9-454E-BF91-F66C9894CB42}" name="Column1720"/>
    <tableColumn id="1726" xr3:uid="{A1E76125-6D2E-4F37-B17B-A1578AE8276A}" name="Column1721"/>
    <tableColumn id="1727" xr3:uid="{59C64AB2-F6AD-41D1-8E2D-DDE8C3351E64}" name="Column1722"/>
    <tableColumn id="1728" xr3:uid="{145B3C87-F802-4469-8EAE-9DDE90956643}" name="Column1723"/>
    <tableColumn id="1729" xr3:uid="{E50C2F94-6146-4B9F-A2E3-6F0BF1C20C5B}" name="Column1724"/>
    <tableColumn id="1730" xr3:uid="{58E54F4D-E968-4C40-8037-8D45C30300E3}" name="Column1725"/>
    <tableColumn id="1731" xr3:uid="{AEEB1DEA-3436-4ACA-91E8-534C666DA3A4}" name="Column1726"/>
    <tableColumn id="1732" xr3:uid="{453D2D47-88B7-4EC7-99BB-92DB2EF8AB1E}" name="Column1727"/>
    <tableColumn id="1733" xr3:uid="{D5742698-285E-463D-A478-A2C2A5E0D6EA}" name="Column1728"/>
    <tableColumn id="1734" xr3:uid="{F2E008DD-86E3-4E5B-A862-A3786F6E9F46}" name="Column1729"/>
    <tableColumn id="1735" xr3:uid="{612191A7-B00A-4CA4-AC29-161A1329F76A}" name="Column1730"/>
    <tableColumn id="1736" xr3:uid="{3F2674F1-6183-474E-82EF-63C57A974C4C}" name="Column1731"/>
    <tableColumn id="1737" xr3:uid="{BA8CFE11-CD7E-4A7C-AEFA-29C83E28265F}" name="Column1732"/>
    <tableColumn id="1738" xr3:uid="{FD1D2789-0CA0-4E98-9516-43B6B6E151F5}" name="Column1733"/>
    <tableColumn id="1739" xr3:uid="{9585BE9B-64A4-40E5-B724-2A627B2E618F}" name="Column1734"/>
    <tableColumn id="1740" xr3:uid="{9706BB11-8295-4101-B286-DBE021BE5E38}" name="Column1735"/>
    <tableColumn id="1741" xr3:uid="{5AD81E69-24B8-46D0-9A63-ACC95FFF6680}" name="Column1736"/>
    <tableColumn id="1742" xr3:uid="{1E2E4949-94FE-4600-800B-ACA421DC6E78}" name="Column1737"/>
    <tableColumn id="1743" xr3:uid="{9C0E7FFF-C429-437E-BA7C-D08427623E65}" name="Column1738"/>
    <tableColumn id="1744" xr3:uid="{E8CDD85A-4A36-42B8-B347-D9B1ACD83EB4}" name="Column1739"/>
    <tableColumn id="1745" xr3:uid="{2D76F5DC-33D9-4966-B79F-47C446E727DD}" name="Column1740"/>
    <tableColumn id="1746" xr3:uid="{FC0CC642-82B6-4921-AC24-E28C3048F268}" name="Column1741"/>
    <tableColumn id="1747" xr3:uid="{C7A31A73-E25C-4162-ACCF-8F2DEE7620DA}" name="Column1742"/>
    <tableColumn id="1748" xr3:uid="{9EE02A82-AE04-43B8-9F43-4ABB6C58DD45}" name="Column1743"/>
    <tableColumn id="1749" xr3:uid="{25C98C76-D68D-40A3-B360-42AF1D3E0AB0}" name="Column1744"/>
    <tableColumn id="1750" xr3:uid="{0632D744-4F87-4491-B386-819D98E458F1}" name="Column1745"/>
    <tableColumn id="1751" xr3:uid="{7515D669-AADD-4EBA-8362-79652350189B}" name="Column1746"/>
    <tableColumn id="1752" xr3:uid="{920579E2-A2AD-4615-A273-FFCE00DCD4FF}" name="Column1747"/>
    <tableColumn id="1753" xr3:uid="{E030CD7D-6633-4781-BE9A-8C6763D0088F}" name="Column1748"/>
    <tableColumn id="1754" xr3:uid="{B63CCD40-454A-4654-9FB5-DC41086360E1}" name="Column1749"/>
    <tableColumn id="1755" xr3:uid="{0AA4CB24-62E2-42A5-8CFC-2A33437ACF42}" name="Column1750"/>
    <tableColumn id="1756" xr3:uid="{D335ACDB-E325-4A3F-A890-B06575D87C3E}" name="Column1751"/>
    <tableColumn id="1757" xr3:uid="{DD4C09C3-5475-44BC-BF2E-1DC25AD115A4}" name="Column1752"/>
    <tableColumn id="1758" xr3:uid="{F2B3C192-5919-489C-8B0C-2F40E5242BB1}" name="Column1753"/>
    <tableColumn id="1759" xr3:uid="{5CF42E62-850C-4F62-A273-70694125CB60}" name="Column1754"/>
    <tableColumn id="1760" xr3:uid="{CFA63A40-FFCA-4C44-B961-8E7FFB685265}" name="Column1755"/>
    <tableColumn id="1761" xr3:uid="{815A57C5-42E8-49B7-B748-7933E44746A7}" name="Column1756"/>
    <tableColumn id="1762" xr3:uid="{22A58430-372E-448D-954D-440A77BBF4AD}" name="Column1757"/>
    <tableColumn id="1763" xr3:uid="{C93E078A-A84E-4B29-A192-13AE4DF07D06}" name="Column1758"/>
    <tableColumn id="1764" xr3:uid="{EF17E25C-F987-428F-ADD8-9E9D60F50E85}" name="Column1759"/>
    <tableColumn id="1765" xr3:uid="{E993694D-9970-41B0-A936-4C94053DD88A}" name="Column1760"/>
    <tableColumn id="1766" xr3:uid="{4A30B3E9-B6EA-44BC-B49F-5BB7795421C3}" name="Column1761"/>
    <tableColumn id="1767" xr3:uid="{E6AB07EA-8ED6-4D77-9312-285A0221EF7B}" name="Column1762"/>
    <tableColumn id="1768" xr3:uid="{D4EF4DAE-5C07-46BE-8B05-911CA2EDDF27}" name="Column1763"/>
    <tableColumn id="1769" xr3:uid="{927444BC-3A18-43E5-BD82-D3CE78FBC39A}" name="Column1764"/>
    <tableColumn id="1770" xr3:uid="{2E39F700-C025-4489-9BF0-C270F201829F}" name="Column1765"/>
    <tableColumn id="1771" xr3:uid="{201BEFF5-3264-4DB9-BA57-75EA462F549E}" name="Column1766"/>
    <tableColumn id="1772" xr3:uid="{6241F0A2-A64B-42A3-81E3-9F5FAC811200}" name="Column1767"/>
    <tableColumn id="1773" xr3:uid="{853F010F-4F99-4D0F-A74E-90DE7F12ECB6}" name="Column1768"/>
    <tableColumn id="1774" xr3:uid="{69CD20D6-FB94-4532-8D82-4D9F6C33F362}" name="Column1769"/>
    <tableColumn id="1775" xr3:uid="{9083EBA1-6559-45FF-A83F-56FC7E0A2B30}" name="Column1770"/>
    <tableColumn id="1776" xr3:uid="{19618D8E-CD03-415C-898B-03761DE90B9A}" name="Column1771"/>
    <tableColumn id="1777" xr3:uid="{B139A725-4B2F-40FE-A873-86E42076F823}" name="Column1772"/>
    <tableColumn id="1778" xr3:uid="{68987FC7-CD10-49AC-924F-820845289DF3}" name="Column1773"/>
    <tableColumn id="1779" xr3:uid="{00A214FA-32A3-4D3C-9FF3-0A070976339F}" name="Column1774"/>
    <tableColumn id="1780" xr3:uid="{19C24316-D3C7-4367-8822-69165FA66A3E}" name="Column1775"/>
    <tableColumn id="1781" xr3:uid="{BD6C70FE-7051-4A47-84F6-D5782930B436}" name="Column1776"/>
    <tableColumn id="1782" xr3:uid="{6F56C78C-C45E-4824-A828-F70BE2DF31FD}" name="Column1777"/>
    <tableColumn id="1783" xr3:uid="{68227453-7ABF-4185-8438-4F3C30D39F13}" name="Column1778"/>
    <tableColumn id="1784" xr3:uid="{BAC00F4C-D537-4012-BBE9-3D97453FC0F5}" name="Column1779"/>
    <tableColumn id="1785" xr3:uid="{247488D0-5F08-4DAE-A330-2A2221E97E64}" name="Column1780"/>
    <tableColumn id="1786" xr3:uid="{9A3A1466-6299-4673-A3DE-E07A79610F25}" name="Column1781"/>
    <tableColumn id="1787" xr3:uid="{232899B0-1B8E-4A28-A79B-9F9C4AE56E01}" name="Column1782"/>
    <tableColumn id="1788" xr3:uid="{97C235C2-53E1-4C05-800E-4F4419902700}" name="Column1783"/>
    <tableColumn id="1789" xr3:uid="{D4F78C8D-D501-4B10-931C-C971D923849B}" name="Column1784"/>
    <tableColumn id="1790" xr3:uid="{F6E431C2-0899-42A0-B5A1-06FCBB2280ED}" name="Column1785"/>
    <tableColumn id="1791" xr3:uid="{FD074007-918E-47AD-A24E-2A9F422C1375}" name="Column1786"/>
    <tableColumn id="1792" xr3:uid="{FF549AE2-2482-4493-8E6F-B8C35E1490EA}" name="Column1787"/>
    <tableColumn id="1793" xr3:uid="{7D58D424-C993-48EA-B191-CAB23EDD5077}" name="Column1788"/>
    <tableColumn id="1794" xr3:uid="{F6F234A4-94FA-475E-AC73-7B5E32D04310}" name="Column1789"/>
    <tableColumn id="1795" xr3:uid="{FC174CD8-4F63-4ABC-ACDA-C4A1DF8ACE4C}" name="Column1790"/>
    <tableColumn id="1796" xr3:uid="{C11FC9E9-5B4D-42E5-B46A-9602CADE6651}" name="Column1791"/>
    <tableColumn id="1797" xr3:uid="{5E2C8BB8-2E32-4304-9C0D-7288D27B7D5D}" name="Column1792"/>
    <tableColumn id="1798" xr3:uid="{D402CFAD-03E3-4425-B4C2-DB5ECAAADE06}" name="Column1793"/>
    <tableColumn id="1799" xr3:uid="{76A33B22-232C-44A4-8721-5BE7D6665D63}" name="Column1794"/>
    <tableColumn id="1800" xr3:uid="{0FBA5E43-D752-4B42-9464-8007FE60FF0E}" name="Column1795"/>
    <tableColumn id="1801" xr3:uid="{DF3B2F77-24F9-4FF7-B609-9400F397FFEE}" name="Column1796"/>
    <tableColumn id="1802" xr3:uid="{39481F2F-A46B-46B2-9407-67A3E67C5BE1}" name="Column1797"/>
    <tableColumn id="1803" xr3:uid="{6D6F16EA-BE0B-41AC-9A24-6BCDA16B4B55}" name="Column1798"/>
    <tableColumn id="1804" xr3:uid="{A4766F23-64F9-4DD6-8D12-CA2345757869}" name="Column1799"/>
    <tableColumn id="1805" xr3:uid="{FA0ACEA7-8667-4A05-9EE7-A628F9256075}" name="Column1800"/>
    <tableColumn id="1806" xr3:uid="{DC40033D-A192-4301-93D3-3194F2A3E02C}" name="Column1801"/>
    <tableColumn id="1807" xr3:uid="{0A7F46A3-D4CC-492E-9E37-E08DBA4C725A}" name="Column1802"/>
    <tableColumn id="1808" xr3:uid="{26985678-7D62-47B4-91F0-FD3D40812DCF}" name="Column1803"/>
    <tableColumn id="1809" xr3:uid="{7F63B024-1916-472F-BDEB-7460C63BA62B}" name="Column1804"/>
    <tableColumn id="1810" xr3:uid="{E3D2B577-7F20-4883-999B-FA047894DD2B}" name="Column1805"/>
    <tableColumn id="1811" xr3:uid="{EABBEA2B-8FE5-4F63-B33F-66694DE2DAE5}" name="Column1806"/>
    <tableColumn id="1812" xr3:uid="{86BB19EE-0A7B-4BCC-A21A-0BEC974AAD2E}" name="Column1807"/>
    <tableColumn id="1813" xr3:uid="{D3C916AD-92A6-45CA-8245-24269BA8380E}" name="Column1808"/>
    <tableColumn id="1814" xr3:uid="{A65065FC-DFC4-4980-AD4F-8821350ADDDD}" name="Column1809"/>
    <tableColumn id="1815" xr3:uid="{ED9176A5-BE03-4E83-A000-DE267D4CE066}" name="Column1810"/>
    <tableColumn id="1816" xr3:uid="{55437B40-E72F-44B6-865A-5C6C541AFEC9}" name="Column1811"/>
    <tableColumn id="1817" xr3:uid="{226725A3-2F0B-4DAF-8B84-62DC33A71A39}" name="Column1812"/>
    <tableColumn id="1818" xr3:uid="{3DB63188-6EEB-40F9-8DB4-E3DD7FC148BF}" name="Column1813"/>
    <tableColumn id="1819" xr3:uid="{8DC631F7-36EE-486A-9256-9C3FCF012DA9}" name="Column1814"/>
    <tableColumn id="1820" xr3:uid="{C1F03E76-5A22-4905-B9FB-879CC2463186}" name="Column1815"/>
    <tableColumn id="1821" xr3:uid="{E6687C49-C484-4D85-8956-F5D380D5826E}" name="Column1816"/>
    <tableColumn id="1822" xr3:uid="{218A8FB5-C311-410A-AA10-4956CA14F42E}" name="Column1817"/>
    <tableColumn id="1823" xr3:uid="{C4BB24AF-B0D6-4C52-B367-4D07E5FB51FD}" name="Column1818"/>
    <tableColumn id="1824" xr3:uid="{73FF2C98-9382-4B41-83FC-0E236EA80A46}" name="Column1819"/>
    <tableColumn id="1825" xr3:uid="{9892355F-FFB2-44BB-8D15-0D1A1F4042D1}" name="Column1820"/>
    <tableColumn id="1826" xr3:uid="{7A54AC6E-90C6-48B4-867D-080645DFED46}" name="Column1821"/>
    <tableColumn id="1827" xr3:uid="{FF8EDB1B-556A-49D5-9198-C82391E8B9AB}" name="Column1822"/>
    <tableColumn id="1828" xr3:uid="{064FBB98-29C2-4927-9F7A-78F1AA77686E}" name="Column1823"/>
    <tableColumn id="1829" xr3:uid="{12A4FC6B-4F2C-4F81-B872-06A8E255D10D}" name="Column1824"/>
    <tableColumn id="1830" xr3:uid="{54BBE3B8-FF0B-4B0E-B5D8-F1FF105ECB50}" name="Column1825"/>
    <tableColumn id="1831" xr3:uid="{210C1BB5-5C56-47F3-A8F0-571011CD12AA}" name="Column1826"/>
    <tableColumn id="1832" xr3:uid="{E114F56D-62CB-45A1-BC4A-2F0F9741D889}" name="Column1827"/>
    <tableColumn id="1833" xr3:uid="{1890D7A2-1EBF-4133-81A9-38BEBBFBDC6E}" name="Column1828"/>
    <tableColumn id="1834" xr3:uid="{C585CC5F-314A-403D-9D25-E5EFAE8A26C7}" name="Column1829"/>
    <tableColumn id="1835" xr3:uid="{00D5CFB9-7722-4A93-B232-0221592D523D}" name="Column1830"/>
    <tableColumn id="1836" xr3:uid="{29C7A19F-78D4-40EE-B09A-7F78190ED726}" name="Column1831"/>
    <tableColumn id="1837" xr3:uid="{FE0EB888-428A-44A8-8515-B7261074FA0D}" name="Column1832"/>
    <tableColumn id="1838" xr3:uid="{76638EB5-4A39-47DE-AF0E-0DE031FBFC57}" name="Column1833"/>
    <tableColumn id="1839" xr3:uid="{A8023597-0B24-4CE9-8D83-F2F988448738}" name="Column1834"/>
    <tableColumn id="1840" xr3:uid="{F15DC02B-5CFD-46BB-BC97-C67FC1171D13}" name="Column1835"/>
    <tableColumn id="1841" xr3:uid="{1F820691-EC96-4CD0-BF87-9EEC4AB83D4D}" name="Column1836"/>
    <tableColumn id="1842" xr3:uid="{4B3251E9-2A5F-47D7-958F-53356C7043C2}" name="Column1837"/>
    <tableColumn id="1843" xr3:uid="{2EE52255-87B4-47D2-A225-24F2016EA065}" name="Column1838"/>
    <tableColumn id="1844" xr3:uid="{0ED13593-4E8A-4106-BD80-3D183D978DAD}" name="Column1839"/>
    <tableColumn id="1845" xr3:uid="{FF8B6BE1-51B3-46D2-97CE-A0A6007FA82E}" name="Column1840"/>
    <tableColumn id="1846" xr3:uid="{EEE61D7E-1341-49A6-B9C7-B4E9638F9433}" name="Column1841"/>
    <tableColumn id="1847" xr3:uid="{97F5E37A-02F6-4C54-A0BA-560326738B10}" name="Column1842"/>
    <tableColumn id="1848" xr3:uid="{59910F56-8FEB-4562-A4E9-9F74AECB4368}" name="Column1843"/>
    <tableColumn id="1849" xr3:uid="{96ED07B1-81E0-4E92-A80D-94F6A2C4737E}" name="Column1844"/>
    <tableColumn id="1850" xr3:uid="{DA36D388-C412-45D3-A98E-66E5D3533D60}" name="Column1845"/>
    <tableColumn id="1851" xr3:uid="{2A56382A-1B88-447D-AAD0-AE57783FD1D0}" name="Column1846"/>
    <tableColumn id="1852" xr3:uid="{062FDDA5-1694-4E4F-8397-CD9F26B83620}" name="Column1847"/>
    <tableColumn id="1853" xr3:uid="{DCC76F19-DB89-4AB8-A60C-599370A53396}" name="Column1848"/>
    <tableColumn id="1854" xr3:uid="{37EB5726-8E2A-49D9-BBA0-0E6C20060020}" name="Column1849"/>
    <tableColumn id="1855" xr3:uid="{695EE7EF-3B58-44F8-AF8A-770D5F9AC49D}" name="Column1850"/>
    <tableColumn id="1856" xr3:uid="{974BD0F7-1693-477B-897D-7495FCAE8E88}" name="Column1851"/>
    <tableColumn id="1857" xr3:uid="{9B292D97-A48F-4483-8260-7FDE1904A9FC}" name="Column1852"/>
    <tableColumn id="1858" xr3:uid="{85F52816-2236-4914-B432-35CE6FC505AD}" name="Column1853"/>
    <tableColumn id="1859" xr3:uid="{9A732562-C4BC-4F26-98E6-E36475703EBC}" name="Column1854"/>
    <tableColumn id="1860" xr3:uid="{D999C684-3075-44FF-A537-01BF5CD9757A}" name="Column1855"/>
    <tableColumn id="1861" xr3:uid="{269F6C3D-8BBF-452D-AE6A-64CE59720239}" name="Column1856"/>
    <tableColumn id="1862" xr3:uid="{F7C06A03-C8C7-4FBE-9202-9B07EB052D51}" name="Column1857"/>
    <tableColumn id="1863" xr3:uid="{4B4E05E1-B9F0-47DE-8236-26177AE72159}" name="Column1858"/>
    <tableColumn id="1864" xr3:uid="{8E4E4916-D564-46EC-9772-7A5523BD6FCA}" name="Column1859"/>
    <tableColumn id="1865" xr3:uid="{7E47F1C0-70B2-4D8E-AA7A-CDD53F53C787}" name="Column1860"/>
    <tableColumn id="1866" xr3:uid="{D5F53337-4533-4DB3-A323-9E4B5C8E7E68}" name="Column1861"/>
    <tableColumn id="1867" xr3:uid="{8F5999E4-6404-493E-9D63-2DFEEFF2DCF1}" name="Column1862"/>
    <tableColumn id="1868" xr3:uid="{788B422D-5712-4F5E-A7A5-2AFFE8792E6C}" name="Column1863"/>
    <tableColumn id="1869" xr3:uid="{061471F3-7803-4D8F-9BA9-7D192FE9159B}" name="Column1864"/>
    <tableColumn id="1870" xr3:uid="{21CCA756-80A7-414B-B212-ECE929D2BA24}" name="Column1865"/>
    <tableColumn id="1871" xr3:uid="{8C24CEE0-984F-4E25-A7C8-2CA7B9382A02}" name="Column1866"/>
    <tableColumn id="1872" xr3:uid="{0608A4D7-865D-4214-995C-D21212D089D4}" name="Column1867"/>
    <tableColumn id="1873" xr3:uid="{F2DBD602-AC7C-425E-BFB8-034497D8D0C4}" name="Column1868"/>
    <tableColumn id="1874" xr3:uid="{EAFC8C48-28E2-4FBB-8D72-02EAB8B332A7}" name="Column1869"/>
    <tableColumn id="1875" xr3:uid="{91AADBEB-5C5F-4AAB-81C8-148879095AA4}" name="Column1870"/>
    <tableColumn id="1876" xr3:uid="{DC221DE7-2E6A-4389-BA78-C921078DC06F}" name="Column1871"/>
    <tableColumn id="1877" xr3:uid="{3FCDE94C-E79C-40E4-9A62-E8C4B57962E2}" name="Column1872"/>
    <tableColumn id="1878" xr3:uid="{6AAA41FB-E0F6-4E79-AA90-C60A87EFAFCA}" name="Column1873"/>
    <tableColumn id="1879" xr3:uid="{67EDAE90-480C-41DC-B743-2641A155CC1B}" name="Column1874"/>
    <tableColumn id="1880" xr3:uid="{F77F69A5-3F26-496D-B455-234D6148C3CF}" name="Column1875"/>
    <tableColumn id="1881" xr3:uid="{2E0AC10C-6055-4DB2-9947-CC8A73EA9D71}" name="Column1876"/>
    <tableColumn id="1882" xr3:uid="{733A394F-1779-4251-AC34-72574AAB7ECD}" name="Column1877"/>
    <tableColumn id="1883" xr3:uid="{F6120BA6-D684-477C-BB18-CE3D5D16B1F1}" name="Column1878"/>
    <tableColumn id="1884" xr3:uid="{C85ABADF-013F-49E8-8D71-94F08B86971C}" name="Column1879"/>
    <tableColumn id="1885" xr3:uid="{40C983E6-A26A-460F-A164-1AB539EA6643}" name="Column1880"/>
    <tableColumn id="1886" xr3:uid="{E5210AB8-533F-442B-81BE-BC3FFE6BC8C4}" name="Column1881"/>
    <tableColumn id="1887" xr3:uid="{CCD7FBF1-8B87-4D9E-BD17-073B5A5469A3}" name="Column1882"/>
    <tableColumn id="1888" xr3:uid="{83582320-FAC1-48DE-BC7B-831EA7BD85EA}" name="Column1883"/>
    <tableColumn id="1889" xr3:uid="{835E10D8-818D-4CD4-B7F8-A44D13A6DDF4}" name="Column1884"/>
    <tableColumn id="1890" xr3:uid="{B4065B57-27DC-4585-871D-D486186B5D5B}" name="Column1885"/>
    <tableColumn id="1891" xr3:uid="{0BF86A67-194D-4FE4-AADE-3D990BE4E506}" name="Column1886"/>
    <tableColumn id="1892" xr3:uid="{25B75CA1-70AA-43AA-B879-1EECCC4B9B81}" name="Column1887"/>
    <tableColumn id="1893" xr3:uid="{B7798D68-A787-4A16-B67B-7BBE2E6964C2}" name="Column1888"/>
    <tableColumn id="1894" xr3:uid="{EA693FDB-9F60-4260-B81A-D7CA8C7969CE}" name="Column1889"/>
    <tableColumn id="1895" xr3:uid="{9A904E59-2626-42BF-8D3E-CE16AF653FA5}" name="Column1890"/>
    <tableColumn id="1896" xr3:uid="{2DC377FB-89E5-4A8B-90BB-40C21393DFFE}" name="Column1891"/>
    <tableColumn id="1897" xr3:uid="{20C1FD86-D25C-4C8A-AD3B-12907B987718}" name="Column1892"/>
    <tableColumn id="1898" xr3:uid="{51F51C66-0EE8-41BF-8527-A73D4A1B3939}" name="Column1893"/>
    <tableColumn id="1899" xr3:uid="{711E8696-251D-40BA-AD76-6EBBABCA6CB9}" name="Column1894"/>
    <tableColumn id="1900" xr3:uid="{347097F4-A87E-42EC-9ABE-8D0C8BE7EE4B}" name="Column1895"/>
    <tableColumn id="1901" xr3:uid="{FBDC303B-D5F1-4BF6-BD76-274A4EA63518}" name="Column1896"/>
    <tableColumn id="1902" xr3:uid="{74283D45-4284-406B-B0AC-538D3F8DE81A}" name="Column1897"/>
    <tableColumn id="1903" xr3:uid="{9E70D3F9-924E-4023-9321-BB18CD6E2799}" name="Column1898"/>
    <tableColumn id="1904" xr3:uid="{52612AF9-B3A5-4375-8600-7AAD18C428EE}" name="Column1899"/>
    <tableColumn id="1905" xr3:uid="{808B2F1C-5EE0-4720-AD27-DC6BC8D0D16D}" name="Column1900"/>
    <tableColumn id="1906" xr3:uid="{E080FC1A-0B96-4A76-979F-BAFF559506E7}" name="Column1901"/>
    <tableColumn id="1907" xr3:uid="{47EB5125-9F2B-48EA-A6FF-D020B16295F2}" name="Column1902"/>
    <tableColumn id="1908" xr3:uid="{A48BAECD-F250-469F-9D2A-E7DA93422C66}" name="Column1903"/>
    <tableColumn id="1909" xr3:uid="{92B0E426-5FB3-4C56-9464-29C65BD6E476}" name="Column1904"/>
    <tableColumn id="1910" xr3:uid="{2F03BE61-936B-4336-B7C1-DC8D16DFE9DD}" name="Column1905"/>
    <tableColumn id="1911" xr3:uid="{CD2CEA1C-5196-4684-8D90-1685F15734F9}" name="Column1906"/>
    <tableColumn id="1912" xr3:uid="{875A0F32-AB43-45F4-A4B8-15874A0FCC13}" name="Column1907"/>
    <tableColumn id="1913" xr3:uid="{2C62C6B8-1F8B-4874-A606-2564AF993180}" name="Column1908"/>
    <tableColumn id="1914" xr3:uid="{1EB4A700-F073-4B56-809C-CEF787E5F0F4}" name="Column1909"/>
    <tableColumn id="1915" xr3:uid="{E24D6E4F-1120-4027-8162-28633D4F64E2}" name="Column1910"/>
    <tableColumn id="1916" xr3:uid="{0327F35B-3FAF-4D9A-882A-25A8FDFB223A}" name="Column1911"/>
    <tableColumn id="1917" xr3:uid="{A7F9F8CB-31F1-41A7-A4A3-4428E44B030A}" name="Column1912"/>
    <tableColumn id="1918" xr3:uid="{3C1EC3A8-0CBF-4348-998D-2B17AFF3FC02}" name="Column1913"/>
    <tableColumn id="1919" xr3:uid="{C29CABDC-865E-4E84-AD53-86B06C933BE3}" name="Column1914"/>
    <tableColumn id="1920" xr3:uid="{B187FFB2-BF68-4174-848F-3330F42BA7C9}" name="Column1915"/>
    <tableColumn id="1921" xr3:uid="{E7AE54F2-2C1C-4937-BAFB-C7630784A464}" name="Column1916"/>
    <tableColumn id="1922" xr3:uid="{E74283D7-57AF-4EB5-9D45-87AC6EFDF4DB}" name="Column1917"/>
    <tableColumn id="1923" xr3:uid="{5C1ED91C-429C-45FE-9ECF-A18AAB0AA8D5}" name="Column1918"/>
    <tableColumn id="1924" xr3:uid="{4B580328-5AC2-4000-81DF-2C9724933EC9}" name="Column1919"/>
    <tableColumn id="1925" xr3:uid="{2645A670-548D-4391-8B40-EEE332B8CBCC}" name="Column1920"/>
    <tableColumn id="1926" xr3:uid="{82C5ADB5-DB63-4129-B502-A47B902AC256}" name="Column1921"/>
    <tableColumn id="1927" xr3:uid="{E9D899C7-EA59-4C2D-BAD2-2BE78CE88008}" name="Column1922"/>
    <tableColumn id="1928" xr3:uid="{994B90DB-2790-496E-98B3-AE5E226922E9}" name="Column1923"/>
    <tableColumn id="1929" xr3:uid="{563790D0-8501-4F37-9AEA-DB437083F40B}" name="Column1924"/>
    <tableColumn id="1930" xr3:uid="{B7414DF0-DF99-44AE-AC94-FF91025FDA21}" name="Column1925"/>
    <tableColumn id="1931" xr3:uid="{7E16846B-7B64-42BC-B895-20B8344360A9}" name="Column1926"/>
    <tableColumn id="1932" xr3:uid="{B270384B-3E0D-41DC-AA19-C8D421219B90}" name="Column1927"/>
    <tableColumn id="1933" xr3:uid="{AA9304AD-7D3D-4B91-9907-D3700721B1DE}" name="Column1928"/>
    <tableColumn id="1934" xr3:uid="{05610595-A09D-43D3-A333-7E2FB7276CEB}" name="Column1929"/>
    <tableColumn id="1935" xr3:uid="{19B08D18-0A4A-45BE-8B1F-3B9ABB8F0534}" name="Column1930"/>
    <tableColumn id="1936" xr3:uid="{E592C0B0-ABE7-4987-BB30-5EA9A857AE58}" name="Column1931"/>
    <tableColumn id="1937" xr3:uid="{E5FDE8B7-9C08-42D6-A534-70DA06BDF412}" name="Column1932"/>
    <tableColumn id="1938" xr3:uid="{47445771-ABBF-4011-BB89-9B0D9AFEBEC4}" name="Column1933"/>
    <tableColumn id="1939" xr3:uid="{C5853D74-0740-40B8-B9ED-B64B0D8F5EAE}" name="Column1934"/>
    <tableColumn id="1940" xr3:uid="{38F5B658-E7CA-45A7-97DA-3B3F8B9C4F1A}" name="Column1935"/>
    <tableColumn id="1941" xr3:uid="{7C36459B-2297-4D61-B9E2-7D7D79992A3A}" name="Column1936"/>
    <tableColumn id="1942" xr3:uid="{2BFCA0B8-1342-41A2-A8D1-B4B4AC356C32}" name="Column1937"/>
    <tableColumn id="1943" xr3:uid="{56367F5F-B5A9-4C64-AB43-9E3DA7F859BD}" name="Column1938"/>
    <tableColumn id="1944" xr3:uid="{35785C62-1421-4888-A272-BC7C1F658FC7}" name="Column1939"/>
    <tableColumn id="1945" xr3:uid="{BD90BCCF-58F4-4032-9284-3F4536FC7A4A}" name="Column1940"/>
    <tableColumn id="1946" xr3:uid="{8433FB86-302C-471A-B4F7-A2EAB0502B0C}" name="Column1941"/>
    <tableColumn id="1947" xr3:uid="{DE47F0BA-F0ED-4A06-8DDE-5401B5AC6F88}" name="Column1942"/>
    <tableColumn id="1948" xr3:uid="{5F9E9D59-0316-450A-8D21-598A61F19740}" name="Column1943"/>
    <tableColumn id="1949" xr3:uid="{B9296006-17B8-4303-9275-D4C78EFAF14D}" name="Column1944"/>
    <tableColumn id="1950" xr3:uid="{6E1AD2BA-4B28-4F23-A395-D58ECE3A820B}" name="Column1945"/>
    <tableColumn id="1951" xr3:uid="{D489925B-50DC-472F-B13F-1703639CEBED}" name="Column1946"/>
    <tableColumn id="1952" xr3:uid="{428134EC-3762-4D4B-8254-C3DBAF099E89}" name="Column1947"/>
    <tableColumn id="1953" xr3:uid="{230FF2AE-6091-49B6-87A3-593FCADF6B59}" name="Column1948"/>
    <tableColumn id="1954" xr3:uid="{957CC7AC-612B-4F38-A820-418E3EA8E55E}" name="Column1949"/>
    <tableColumn id="1955" xr3:uid="{7FECF705-A55C-46BE-BED9-A6F5AB179F30}" name="Column1950"/>
    <tableColumn id="1956" xr3:uid="{AC026107-AB15-489E-9D5D-35AD84CF2820}" name="Column1951"/>
    <tableColumn id="1957" xr3:uid="{BD52300C-3502-4086-9DD1-85F7288DEBD3}" name="Column1952"/>
    <tableColumn id="1958" xr3:uid="{55C738E9-10D2-4E43-AA7E-842B80C448DC}" name="Column1953"/>
    <tableColumn id="1959" xr3:uid="{7BA82A3D-DD4B-492F-8550-75F577926EEF}" name="Column1954"/>
    <tableColumn id="1960" xr3:uid="{A14DA267-ED48-46E5-9E91-F6537A8F3A1E}" name="Column1955"/>
    <tableColumn id="1961" xr3:uid="{ED862A7C-D713-4DC5-BF5E-D27AC7DA8962}" name="Column1956"/>
    <tableColumn id="1962" xr3:uid="{DABC4174-18ED-413E-A159-893A987E7530}" name="Column1957"/>
    <tableColumn id="1963" xr3:uid="{670884FE-B26E-45A0-9202-8070DAD88787}" name="Column1958"/>
    <tableColumn id="1964" xr3:uid="{84850FBF-0663-411A-9790-4357607BAF88}" name="Column1959"/>
    <tableColumn id="1965" xr3:uid="{4FDE9944-1609-4400-B945-3E5E471362E3}" name="Column1960"/>
    <tableColumn id="1966" xr3:uid="{073B1EA7-B445-4494-8FAA-39BC5FE61F00}" name="Column1961"/>
    <tableColumn id="1967" xr3:uid="{53C5D8BF-B3C5-4C5D-A124-BD99BA0F92D1}" name="Column1962"/>
    <tableColumn id="1968" xr3:uid="{93AAD400-2845-43FC-847C-80F2C666A871}" name="Column1963"/>
    <tableColumn id="1969" xr3:uid="{B313CF3B-3AC3-4920-B307-BCEE8A0B19B1}" name="Column1964"/>
    <tableColumn id="1970" xr3:uid="{5C49FE5E-0095-435B-9934-6AF832FF7023}" name="Column1965"/>
    <tableColumn id="1971" xr3:uid="{8054769C-8A9E-47E4-AB84-7C7C5EA765D9}" name="Column1966"/>
    <tableColumn id="1972" xr3:uid="{69F9FC10-0592-49DF-9814-F25BBE9E844C}" name="Column1967"/>
    <tableColumn id="1973" xr3:uid="{119D15D1-58F0-4FFF-8D9D-FC7617523276}" name="Column1968"/>
    <tableColumn id="1974" xr3:uid="{8FF1A96C-6A42-4FE7-9F26-993728907114}" name="Column1969"/>
    <tableColumn id="1975" xr3:uid="{214F8A1F-1232-4AAC-8DB1-BB2838CF0C6D}" name="Column1970"/>
    <tableColumn id="1976" xr3:uid="{4C00054F-4C6E-4EB0-A870-759D9E6612A9}" name="Column1971"/>
    <tableColumn id="1977" xr3:uid="{EFD7963F-5C04-4FF3-9D71-40E6B855CE00}" name="Column1972"/>
    <tableColumn id="1978" xr3:uid="{6B08F578-646B-4BDC-80D1-BB4688F525B7}" name="Column1973"/>
    <tableColumn id="1979" xr3:uid="{B935B86C-B4D7-4DBE-96B3-888DCC735D96}" name="Column1974"/>
    <tableColumn id="1980" xr3:uid="{1184EEC9-0C46-4B8F-8494-EFC44D9D71C1}" name="Column1975"/>
    <tableColumn id="1981" xr3:uid="{07A858CD-9981-461E-8D6F-0176CC0EBFD4}" name="Column1976"/>
    <tableColumn id="1982" xr3:uid="{540E6B4D-17C8-4AB3-B488-812F25178164}" name="Column1977"/>
    <tableColumn id="1983" xr3:uid="{97E08B71-F5BC-4DDD-ADF2-07491EBED82F}" name="Column1978"/>
    <tableColumn id="1984" xr3:uid="{EDF60A12-E07C-48DA-A0F9-EC8DA8EBF9E1}" name="Column1979"/>
    <tableColumn id="1985" xr3:uid="{E3FDEFAE-7511-4AB4-95D4-BFECE84AFA9A}" name="Column1980"/>
    <tableColumn id="1986" xr3:uid="{AEEAD00E-A78B-4DCF-AE7C-D071AF1DFB9E}" name="Column1981"/>
    <tableColumn id="1987" xr3:uid="{7D4CC808-EC07-4EAB-894C-7E361947F011}" name="Column1982"/>
    <tableColumn id="1988" xr3:uid="{CCEED0BF-D502-443D-93C9-9EA7E2BDE86D}" name="Column1983"/>
    <tableColumn id="1989" xr3:uid="{8AA6081B-463C-4D61-B2B1-AD465A98FD05}" name="Column1984"/>
    <tableColumn id="1990" xr3:uid="{37DDCBD2-C6C8-4708-899C-ADA89C5BB79A}" name="Column1985"/>
    <tableColumn id="1991" xr3:uid="{234836D8-CCC5-493B-B750-71C632532906}" name="Column1986"/>
    <tableColumn id="1992" xr3:uid="{0F2BCF13-B944-418F-AB8A-22AC47B5EA45}" name="Column1987"/>
    <tableColumn id="1993" xr3:uid="{F0A6FF5F-A6EF-423E-BA16-861CA9D2814E}" name="Column1988"/>
    <tableColumn id="1994" xr3:uid="{F0D087D8-6F8C-45E3-B354-6C4B46A31FE4}" name="Column1989"/>
    <tableColumn id="1995" xr3:uid="{FCA06514-2FA5-4743-874A-9A40DBF76479}" name="Column1990"/>
    <tableColumn id="1996" xr3:uid="{45160251-45BB-48F8-97DC-201F3789DC9E}" name="Column1991"/>
    <tableColumn id="1997" xr3:uid="{B166DADB-A83E-4012-B8D0-037296D5D6E9}" name="Column1992"/>
    <tableColumn id="1998" xr3:uid="{CE3CD820-97EE-4208-ABF2-A3F3D8D36883}" name="Column1993"/>
    <tableColumn id="1999" xr3:uid="{D30DC22C-4257-4E95-97B0-216F6DC62D78}" name="Column1994"/>
    <tableColumn id="2000" xr3:uid="{1DC3758C-33AB-4193-A082-90196B995C7A}" name="Column1995"/>
    <tableColumn id="2001" xr3:uid="{3BE75B33-E0E6-476A-9285-4C920EB2CCF5}" name="Column1996"/>
    <tableColumn id="2002" xr3:uid="{2805716C-1307-4229-861F-4447210E1DA8}" name="Column1997"/>
    <tableColumn id="2003" xr3:uid="{7CF92379-474E-4484-8CA2-C425344EA2E0}" name="Column1998"/>
    <tableColumn id="2004" xr3:uid="{1B8D7FBE-34BD-4710-B930-1FBD1B19A18A}" name="Column1999"/>
    <tableColumn id="2005" xr3:uid="{45466F03-B5FB-47C4-9379-F90711C82370}" name="Column2000"/>
    <tableColumn id="2006" xr3:uid="{CFF5A020-8EF0-46D6-BE94-C0ABB9669F18}" name="Column2001"/>
    <tableColumn id="2007" xr3:uid="{18D248C6-4A41-41AD-A725-638031B6B28F}" name="Column2002"/>
    <tableColumn id="2008" xr3:uid="{6FCABDF4-1A55-4423-88E4-08FF18769650}" name="Column2003"/>
    <tableColumn id="2009" xr3:uid="{3632EF4F-1875-47AC-AA74-7442017C49D1}" name="Column2004"/>
    <tableColumn id="2010" xr3:uid="{33F03DCC-6465-41CF-BA8A-AF5248070350}" name="Column2005"/>
    <tableColumn id="2011" xr3:uid="{BB4716B0-4C0D-488A-B75C-768129B96D3C}" name="Column2006"/>
    <tableColumn id="2012" xr3:uid="{B34EA0D9-F537-4709-A157-D2852AEFEC06}" name="Column2007"/>
    <tableColumn id="2013" xr3:uid="{75D0FF56-13E4-4BED-BA7A-3EEB3C494A26}" name="Column2008"/>
    <tableColumn id="2014" xr3:uid="{DA589F83-106A-457A-8997-6AFC80A798CC}" name="Column2009"/>
    <tableColumn id="2015" xr3:uid="{87DB7766-72CB-4460-90A8-DF5B6832D233}" name="Column2010"/>
    <tableColumn id="2016" xr3:uid="{FFB9E637-0962-4FCF-8222-2B0F9CFD4C56}" name="Column2011"/>
    <tableColumn id="2017" xr3:uid="{685DE21B-897D-4D6F-A594-C2FD28D84B2F}" name="Column2012"/>
    <tableColumn id="2018" xr3:uid="{837D42D0-6C27-46FA-B7BD-FE6F20A3FD44}" name="Column2013"/>
    <tableColumn id="2019" xr3:uid="{4DF1DAAE-1B69-4E73-A2BB-4A5BEFE511B9}" name="Column2014"/>
    <tableColumn id="2020" xr3:uid="{FDF8918E-3BFC-43DB-84FD-C40575273A1D}" name="Column2015"/>
    <tableColumn id="2021" xr3:uid="{6CD4E962-75B2-450E-A219-62D6A3B29660}" name="Column2016"/>
    <tableColumn id="2022" xr3:uid="{0D4C6187-02B3-460F-BCA3-128A7D000D91}" name="Column2017"/>
    <tableColumn id="2023" xr3:uid="{12E941A2-2CE6-420F-8237-1B65A9037129}" name="Column2018"/>
    <tableColumn id="2024" xr3:uid="{558EDF94-A94B-4466-8815-3B7046F439C7}" name="Column2019"/>
    <tableColumn id="2025" xr3:uid="{EA2BE6CB-0D1B-477F-A78B-150FEE1B7AD0}" name="Column2020"/>
    <tableColumn id="2026" xr3:uid="{E872E8F1-039F-492A-A254-1A94DAA77C65}" name="Column2021"/>
    <tableColumn id="2027" xr3:uid="{6F0ED724-28A9-4B50-82A0-C22AD3EB03D2}" name="Column2022"/>
    <tableColumn id="2028" xr3:uid="{908C26B9-88A6-4703-8321-3DCD652E6109}" name="Column2023"/>
    <tableColumn id="2029" xr3:uid="{4630CBC8-C3FA-4966-963B-528E4E9916EC}" name="Column2024"/>
    <tableColumn id="2030" xr3:uid="{E4A832CA-BC26-4715-81A2-8E12C79A97B6}" name="Column2025"/>
    <tableColumn id="2031" xr3:uid="{B9510E55-7D45-4BF5-85E9-39E087CE501A}" name="Column2026"/>
    <tableColumn id="2032" xr3:uid="{FB01E99C-1977-4185-B269-28BB034F4BAD}" name="Column2027"/>
    <tableColumn id="2033" xr3:uid="{E11A41FE-7D55-4BE8-8A7B-FDC2A2745027}" name="Column2028"/>
    <tableColumn id="2034" xr3:uid="{8626FE23-E54D-45A3-9B95-50EF04964700}" name="Column2029"/>
    <tableColumn id="2035" xr3:uid="{2DAF1A81-2122-4A24-A311-7AA6D1B71884}" name="Column2030"/>
    <tableColumn id="2036" xr3:uid="{B497781D-4CCC-4561-B60A-E945924F6C37}" name="Column2031"/>
    <tableColumn id="2037" xr3:uid="{3EFB0C5F-9BD7-4F1F-8100-65D56D7654C5}" name="Column2032"/>
    <tableColumn id="2038" xr3:uid="{461F7CF4-33D8-4C66-A832-D1070CD9B89C}" name="Column2033"/>
    <tableColumn id="2039" xr3:uid="{666013CA-15A0-475E-8A35-E43DF153E602}" name="Column2034"/>
    <tableColumn id="2040" xr3:uid="{A9A9877A-044B-403E-95B2-4570394FB93A}" name="Column2035"/>
    <tableColumn id="2041" xr3:uid="{A384116A-6EEF-4B63-BB03-4D25558D7D0F}" name="Column2036"/>
    <tableColumn id="2042" xr3:uid="{E91474EB-79C3-4C84-9C97-0F93956C3957}" name="Column2037"/>
    <tableColumn id="2043" xr3:uid="{B49FE976-C45C-492D-A556-83660D5D1226}" name="Column2038"/>
    <tableColumn id="2044" xr3:uid="{18D2D20B-AE71-4666-AF92-2C41D1E5B2E4}" name="Column2039"/>
    <tableColumn id="2045" xr3:uid="{BE6D87A2-E0D2-45E6-9DA0-7275EB388929}" name="Column2040"/>
    <tableColumn id="2046" xr3:uid="{D82394E9-3429-47CE-A1FE-51928AF29C81}" name="Column2041"/>
    <tableColumn id="2047" xr3:uid="{3C9AAAC4-2F4B-4C6F-8248-3579E0936E5D}" name="Column2042"/>
    <tableColumn id="2048" xr3:uid="{1D74DB28-6E06-4F6C-839E-4E995DA74FA1}" name="Column2043"/>
    <tableColumn id="2049" xr3:uid="{1EFDB587-3D41-4000-B995-5A972B874180}" name="Column2044"/>
    <tableColumn id="2050" xr3:uid="{7AF428E9-92B9-443A-8EC6-4850924A6D3B}" name="Column2045"/>
    <tableColumn id="2051" xr3:uid="{3CDB2D95-86F1-4DA0-93DD-AE22CD1D69F0}" name="Column2046"/>
    <tableColumn id="2052" xr3:uid="{852D97DC-3E00-4FFE-9C72-47490A0A7D9C}" name="Column2047"/>
    <tableColumn id="2053" xr3:uid="{D684B50B-313D-46CE-868E-B3407DA8B4D7}" name="Column2048"/>
    <tableColumn id="2054" xr3:uid="{BBB1C10B-599A-439F-8FDC-B863FF0F3326}" name="Column2049"/>
    <tableColumn id="2055" xr3:uid="{1C24AF4A-A80A-4807-8F03-6C36459125FC}" name="Column2050"/>
    <tableColumn id="2056" xr3:uid="{1908052E-D5D8-4043-9A2C-1C5CCA808431}" name="Column2051"/>
    <tableColumn id="2057" xr3:uid="{97FECF2F-8CA4-451A-90EF-8AE13B9EE743}" name="Column2052"/>
    <tableColumn id="2058" xr3:uid="{9C58E1A1-D602-4AC3-A3AF-68642AFD5463}" name="Column2053"/>
    <tableColumn id="2059" xr3:uid="{595FB2BC-55A9-4649-BFF0-F33F55E1B0EF}" name="Column2054"/>
    <tableColumn id="2060" xr3:uid="{539AE7D8-59E9-4467-B0DF-5CE7EF6F382A}" name="Column2055"/>
    <tableColumn id="2061" xr3:uid="{BC0061FE-3A14-473A-A9FD-9FE4AAD4DFCB}" name="Column2056"/>
    <tableColumn id="2062" xr3:uid="{AAFF998A-AEE1-48D1-89C6-84E7FFD81D96}" name="Column2057"/>
    <tableColumn id="2063" xr3:uid="{95D6FBBC-5006-4A8A-986C-73E13EA86A85}" name="Column2058"/>
    <tableColumn id="2064" xr3:uid="{B1D221B4-4988-4B33-9750-6D086E13B1D5}" name="Column2059"/>
    <tableColumn id="2065" xr3:uid="{48AD4E90-6855-4E69-AFF4-79BBFCA32F50}" name="Column2060"/>
    <tableColumn id="2066" xr3:uid="{8FF51454-9C7E-4984-A4A5-9F64A18615A7}" name="Column2061"/>
    <tableColumn id="2067" xr3:uid="{429C1215-5FA0-41E0-B380-7FBF185FEB7E}" name="Column2062"/>
    <tableColumn id="2068" xr3:uid="{4F742F89-5D51-40B8-B005-B0AA3C0A0A1B}" name="Column2063"/>
    <tableColumn id="2069" xr3:uid="{695A1BCE-E4F4-45CA-A1D5-B493B2AFE6B5}" name="Column2064"/>
    <tableColumn id="2070" xr3:uid="{7CC33660-183C-4AB2-9621-375DCBD9C5D6}" name="Column2065"/>
    <tableColumn id="2071" xr3:uid="{9696554F-F723-407A-8E09-6C886A3955EC}" name="Column2066"/>
    <tableColumn id="2072" xr3:uid="{F0E64DC7-B1C5-4EA1-BA7C-C1AC6A1E261B}" name="Column2067"/>
    <tableColumn id="2073" xr3:uid="{4D51B758-FFD0-4B13-B6B4-06AF186BEA9B}" name="Column2068"/>
    <tableColumn id="2074" xr3:uid="{18FD3B8A-61B4-4EE8-8FD2-06D652EB13FF}" name="Column2069"/>
    <tableColumn id="2075" xr3:uid="{8D5325E2-05C4-43CE-BCC8-FDDDCB2CE3C2}" name="Column2070"/>
    <tableColumn id="2076" xr3:uid="{F36B1D66-F4F2-4072-A0AF-DF68E00AC672}" name="Column2071"/>
    <tableColumn id="2077" xr3:uid="{44A36FF5-5554-4AC5-9A90-B3F7373B1E06}" name="Column2072"/>
    <tableColumn id="2078" xr3:uid="{01AB1702-BA9A-4B77-8233-163BC2C2D00E}" name="Column2073"/>
    <tableColumn id="2079" xr3:uid="{61F0DD0F-8B2F-4BB0-8510-FA2F455A35CE}" name="Column2074"/>
    <tableColumn id="2080" xr3:uid="{EACECA47-DFEA-4FD7-823C-8D31C9CF4B64}" name="Column2075"/>
    <tableColumn id="2081" xr3:uid="{4D895D12-A3CF-46A7-B9E0-500CA543B5E5}" name="Column2076"/>
    <tableColumn id="2082" xr3:uid="{AA8668F9-7891-448C-8EAC-92E69A9A9082}" name="Column2077"/>
    <tableColumn id="2083" xr3:uid="{AC265683-02A4-4786-9DAB-3DE855D74866}" name="Column2078"/>
    <tableColumn id="2084" xr3:uid="{FD0C8827-DDBF-4188-8671-5512ABD1DAB7}" name="Column2079"/>
    <tableColumn id="2085" xr3:uid="{69EC5553-812C-4E66-9C59-AD6676A0E30F}" name="Column2080"/>
    <tableColumn id="2086" xr3:uid="{7AB59B62-C33B-4408-842E-CF274CCCFB01}" name="Column2081"/>
    <tableColumn id="2087" xr3:uid="{E6971875-1AAC-4930-B015-F7F1E58F4130}" name="Column2082"/>
    <tableColumn id="2088" xr3:uid="{2ABE6D4F-76F4-4852-AA72-ACF0645767AC}" name="Column2083"/>
    <tableColumn id="2089" xr3:uid="{EB351DEE-10D3-4999-AB9F-67A6AEC9B348}" name="Column2084"/>
    <tableColumn id="2090" xr3:uid="{E6D7682E-9D3B-4327-AC57-39301D39E865}" name="Column2085"/>
    <tableColumn id="2091" xr3:uid="{6978C600-8E75-4E43-9111-D0980E0CC5CF}" name="Column2086"/>
    <tableColumn id="2092" xr3:uid="{A92D1F68-C330-400E-8093-110106C2485A}" name="Column2087"/>
    <tableColumn id="2093" xr3:uid="{196A203B-F5FC-4293-A5F0-DD45AE38CDE5}" name="Column2088"/>
    <tableColumn id="2094" xr3:uid="{7586E864-7594-47B1-A6A7-9671991C4767}" name="Column2089"/>
    <tableColumn id="2095" xr3:uid="{DB245AEF-E687-4E40-B20D-7E96858CF5F2}" name="Column2090"/>
    <tableColumn id="2096" xr3:uid="{0C954CE4-C83E-4987-AE8B-FD4715CD404D}" name="Column2091"/>
    <tableColumn id="2097" xr3:uid="{CC178014-7A94-4F37-A67B-01516A79C046}" name="Column2092"/>
    <tableColumn id="2098" xr3:uid="{C145C84A-15C5-4692-ADA3-538E8CB3A4B4}" name="Column2093"/>
    <tableColumn id="2099" xr3:uid="{2F8BD562-6447-4CF4-A340-BD669F87D717}" name="Column2094"/>
    <tableColumn id="2100" xr3:uid="{B86ABB7F-DAD3-467F-93ED-7AF46F54251C}" name="Column2095"/>
    <tableColumn id="2101" xr3:uid="{65BFAA6C-036E-4C65-9905-552376DF893D}" name="Column2096"/>
    <tableColumn id="2102" xr3:uid="{4C4A8149-6777-45A1-828A-8B250F28314B}" name="Column2097"/>
    <tableColumn id="2103" xr3:uid="{B9D5435A-47D5-4D2F-8B68-F0012E40BF75}" name="Column2098"/>
    <tableColumn id="2104" xr3:uid="{B39A0CDD-E1AA-468E-9920-F07D2CC131F8}" name="Column2099"/>
    <tableColumn id="2105" xr3:uid="{D75704B9-E153-4696-83E4-F62A2019FC10}" name="Column2100"/>
    <tableColumn id="2106" xr3:uid="{CBFD6282-60FA-4A21-8944-695EB06F98A3}" name="Column2101"/>
    <tableColumn id="2107" xr3:uid="{1376E2DE-609F-4277-9002-4617E72122A1}" name="Column2102"/>
    <tableColumn id="2108" xr3:uid="{04951937-A6B9-4196-B8DF-9D16B2673A18}" name="Column2103"/>
    <tableColumn id="2109" xr3:uid="{E8BA340C-BCBB-4DCE-8B69-0B82ECB9F8F7}" name="Column2104"/>
    <tableColumn id="2110" xr3:uid="{9C83CBEA-EA71-4642-B001-6277C652839D}" name="Column2105"/>
    <tableColumn id="2111" xr3:uid="{7C1B490C-2630-48A9-8139-FE32DAD9B899}" name="Column2106"/>
    <tableColumn id="2112" xr3:uid="{C9D03F19-0D19-4881-B58A-8B0F76807C73}" name="Column2107"/>
    <tableColumn id="2113" xr3:uid="{202B7442-D71B-44B6-AF87-4E739E4C21A9}" name="Column2108"/>
    <tableColumn id="2114" xr3:uid="{1C036C31-E305-457D-902B-8C6FEC3399B9}" name="Column2109"/>
    <tableColumn id="2115" xr3:uid="{FC0DC296-A3B1-40C0-B290-561855BECFE3}" name="Column2110"/>
    <tableColumn id="2116" xr3:uid="{541F3986-E4A2-4F9E-8C24-AE7C67E66B1F}" name="Column2111"/>
    <tableColumn id="2117" xr3:uid="{A5F15529-5C4D-4521-8CD9-98DDEDFA24DF}" name="Column2112"/>
    <tableColumn id="2118" xr3:uid="{970B1409-EE90-4C28-8C63-DF4789DFD73D}" name="Column2113"/>
    <tableColumn id="2119" xr3:uid="{5D5BA623-ACDB-461F-8F71-2509D5B6089C}" name="Column2114"/>
    <tableColumn id="2120" xr3:uid="{8030065A-D06A-45AD-860C-586E0107838D}" name="Column2115"/>
    <tableColumn id="2121" xr3:uid="{7276195E-B2DD-4A28-89E1-2FBA3E6FAAE3}" name="Column2116"/>
    <tableColumn id="2122" xr3:uid="{01BA0070-C91A-4068-8D41-6B55DE93EDC1}" name="Column2117"/>
    <tableColumn id="2123" xr3:uid="{29F1AF1D-EBC0-4405-9E72-BE0EF34180B7}" name="Column2118"/>
    <tableColumn id="2124" xr3:uid="{86214A7B-BAD6-4AE5-A83C-E0D485FFBFAE}" name="Column2119"/>
    <tableColumn id="2125" xr3:uid="{EFB837E9-DD8F-464D-B12E-9B16FA33EFE8}" name="Column2120"/>
    <tableColumn id="2126" xr3:uid="{89A82AFF-F1CE-493E-96AB-59CCBF77850D}" name="Column2121"/>
    <tableColumn id="2127" xr3:uid="{A614A8BF-4B32-44D9-ABF8-6D5C97333BAC}" name="Column2122"/>
    <tableColumn id="2128" xr3:uid="{647C4A70-DA11-4BC2-8900-26938EA6B8E5}" name="Column2123"/>
    <tableColumn id="2129" xr3:uid="{2A5AE396-0CBF-48A5-856B-C094E00FD17A}" name="Column2124"/>
    <tableColumn id="2130" xr3:uid="{6E9F96CD-9FBF-4B11-AE69-D1E451F4C64E}" name="Column2125"/>
    <tableColumn id="2131" xr3:uid="{9765405B-B852-4165-AF63-929AF79A4D47}" name="Column2126"/>
    <tableColumn id="2132" xr3:uid="{FB4339FC-A667-4AE2-BF8A-21B6813C42B6}" name="Column2127"/>
    <tableColumn id="2133" xr3:uid="{AAF2213B-B0E5-4FFD-8215-E7D3D62E29C6}" name="Column2128"/>
    <tableColumn id="2134" xr3:uid="{F058F1FC-04A3-4D2A-ADCA-060937E581EE}" name="Column2129"/>
    <tableColumn id="2135" xr3:uid="{E8FE40CC-B789-4692-BBED-82EC2D99EED8}" name="Column2130"/>
    <tableColumn id="2136" xr3:uid="{D39A2119-4CEC-472F-AE79-EFF2E8E2E4C0}" name="Column2131"/>
    <tableColumn id="2137" xr3:uid="{A178AF9E-DFC8-4CB5-896E-B20D75388105}" name="Column2132"/>
    <tableColumn id="2138" xr3:uid="{D16B3DD7-FDD3-43A2-B315-471BC73E0CB7}" name="Column2133"/>
    <tableColumn id="2139" xr3:uid="{710A7CC0-3EF8-4455-854C-55A703A85E10}" name="Column2134"/>
    <tableColumn id="2140" xr3:uid="{9AC86AFE-335D-405A-8BC4-1EB149C39E4D}" name="Column2135"/>
    <tableColumn id="2141" xr3:uid="{71413B36-9B87-465B-BDC4-11370CA1489E}" name="Column2136"/>
    <tableColumn id="2142" xr3:uid="{0338A501-434F-435E-AB29-FA5973A71017}" name="Column2137"/>
    <tableColumn id="2143" xr3:uid="{4700B8DD-4519-42BC-8782-CB3205354A83}" name="Column2138"/>
    <tableColumn id="2144" xr3:uid="{4A4A3EB6-1432-4603-8E91-625163427CAA}" name="Column2139"/>
    <tableColumn id="2145" xr3:uid="{0B24BF1B-4BE2-489F-8D76-B7C4C810CEB4}" name="Column2140"/>
    <tableColumn id="2146" xr3:uid="{8C196F0F-0511-4379-BB4B-6887A3AB9D14}" name="Column2141"/>
    <tableColumn id="2147" xr3:uid="{20EDA7E9-4D08-4B93-ACA8-37527C7F5539}" name="Column2142"/>
    <tableColumn id="2148" xr3:uid="{EC4BF4C6-A472-491C-8CA5-2A80CD649B00}" name="Column2143"/>
    <tableColumn id="2149" xr3:uid="{7541F43F-DAE8-436A-9B06-55FC771F3CF6}" name="Column2144"/>
    <tableColumn id="2150" xr3:uid="{92F8D945-EB3E-4EB3-93EE-0D2DF665B641}" name="Column2145"/>
    <tableColumn id="2151" xr3:uid="{BB36949B-1E6A-4ABB-BD34-5FFCA1E3095E}" name="Column2146"/>
    <tableColumn id="2152" xr3:uid="{9D212963-F7FB-4A5E-9359-5DE2758031EC}" name="Column2147"/>
    <tableColumn id="2153" xr3:uid="{659D9CF0-728C-4CD4-8788-4ACDD5689C98}" name="Column2148"/>
    <tableColumn id="2154" xr3:uid="{3881C4E9-10B5-4869-B8C6-35EBA9D2A146}" name="Column2149"/>
    <tableColumn id="2155" xr3:uid="{25DC3690-617D-48EB-A903-304D462AA1E7}" name="Column2150"/>
    <tableColumn id="2156" xr3:uid="{B0EDC0CC-E5C7-4D87-9481-143008CA9523}" name="Column2151"/>
    <tableColumn id="2157" xr3:uid="{7BE8BFCA-4B32-4055-874A-5D230C4149AE}" name="Column2152"/>
    <tableColumn id="2158" xr3:uid="{9D07A00B-CFCF-4654-B13D-B9D66474AE48}" name="Column2153"/>
    <tableColumn id="2159" xr3:uid="{AABEEED3-1647-4551-8192-06646464EE5C}" name="Column2154"/>
    <tableColumn id="2160" xr3:uid="{265E3E2E-8399-42F4-A121-0394207D2008}" name="Column2155"/>
    <tableColumn id="2161" xr3:uid="{3637B2F4-F00B-4A31-B615-8C1DE6D93354}" name="Column2156"/>
    <tableColumn id="2162" xr3:uid="{9AD77035-9ED3-4056-9F19-402FCA8BBB09}" name="Column2157"/>
    <tableColumn id="2163" xr3:uid="{B6B15675-090C-4414-86DD-0C00EA3F9C26}" name="Column2158"/>
    <tableColumn id="2164" xr3:uid="{1EFA8928-D8C9-44C0-BC9E-2DA40CDFE1C7}" name="Column2159"/>
    <tableColumn id="2165" xr3:uid="{83B5277D-DBBC-4E8B-8DA3-24FF65E8B8C2}" name="Column2160"/>
    <tableColumn id="2166" xr3:uid="{A50653D0-E423-4B02-A525-B9D47823BCB6}" name="Column2161"/>
    <tableColumn id="2167" xr3:uid="{B38FECDA-B68E-4532-B102-7B202D150936}" name="Column2162"/>
    <tableColumn id="2168" xr3:uid="{1EEBDA77-5402-4DEC-9562-2E68F7C6FD2B}" name="Column2163"/>
    <tableColumn id="2169" xr3:uid="{3AF0870F-E968-4F1C-A04B-8AB28000B133}" name="Column2164"/>
    <tableColumn id="2170" xr3:uid="{1D195F9A-BA3D-4BF7-AE4F-88F26197472E}" name="Column2165"/>
    <tableColumn id="2171" xr3:uid="{148D9F76-B50E-4592-B830-FC4A0ED5E2F9}" name="Column2166"/>
    <tableColumn id="2172" xr3:uid="{A4630422-B029-4352-A65A-DE0B89B37DE8}" name="Column2167"/>
    <tableColumn id="2173" xr3:uid="{0943BD22-A67B-4776-92B8-74309E15E2A7}" name="Column2168"/>
    <tableColumn id="2174" xr3:uid="{A87F729F-B9E9-4EC7-A570-E2D1E6595918}" name="Column2169"/>
    <tableColumn id="2175" xr3:uid="{1F38F36F-FA5C-47A0-AE1E-46B21975F4C1}" name="Column2170"/>
    <tableColumn id="2176" xr3:uid="{DE3D1D4B-DD2C-4231-A852-D8CB90CA7FFB}" name="Column2171"/>
    <tableColumn id="2177" xr3:uid="{4C65127D-827E-4EFD-A1BD-2EFC40E876B0}" name="Column2172"/>
    <tableColumn id="2178" xr3:uid="{4EFFAE3B-0E80-4C94-BB6A-867FE1EEBC3A}" name="Column2173"/>
    <tableColumn id="2179" xr3:uid="{32FD2EAF-BBB1-474C-B4AA-9A2AE403A732}" name="Column2174"/>
    <tableColumn id="2180" xr3:uid="{D3034EF3-F5CF-47E2-9FC8-9292E373BD74}" name="Column2175"/>
    <tableColumn id="2181" xr3:uid="{E60DB47D-6B17-4C18-BC1B-BA33BCBBC33A}" name="Column2176"/>
    <tableColumn id="2182" xr3:uid="{A1D025E8-41A6-4ECD-AC83-8A1CDBFA446B}" name="Column2177"/>
    <tableColumn id="2183" xr3:uid="{D22D958B-2A25-403C-B1CA-A582C6397653}" name="Column2178"/>
    <tableColumn id="2184" xr3:uid="{68D8DEE5-0500-4FAD-A708-90E53986562F}" name="Column2179"/>
    <tableColumn id="2185" xr3:uid="{30ECCE50-2A21-44FA-8832-E5E403624CE2}" name="Column2180"/>
    <tableColumn id="2186" xr3:uid="{45D5D887-023B-4482-AD0E-6BD19170B441}" name="Column2181"/>
    <tableColumn id="2187" xr3:uid="{3569767E-A6DC-4044-8FE2-04430BC58540}" name="Column2182"/>
    <tableColumn id="2188" xr3:uid="{46223DCC-D4E6-4B7F-B636-A5548D5A0173}" name="Column2183"/>
    <tableColumn id="2189" xr3:uid="{F8CDD46A-B4CD-498B-A5FF-BCFBA88A30F8}" name="Column2184"/>
    <tableColumn id="2190" xr3:uid="{13BCD553-8932-4BFD-84E5-1785AA45E456}" name="Column2185"/>
    <tableColumn id="2191" xr3:uid="{2C7EE4B8-856A-4CAF-A1A8-7D0D4C8EEDCF}" name="Column2186"/>
    <tableColumn id="2192" xr3:uid="{9248DE34-80D5-4957-8926-408420BBC776}" name="Column2187"/>
    <tableColumn id="2193" xr3:uid="{95B63663-1993-4167-B138-C711976E2D8B}" name="Column2188"/>
    <tableColumn id="2194" xr3:uid="{52E31239-3732-4685-83E4-788BCEC52D2A}" name="Column2189"/>
    <tableColumn id="2195" xr3:uid="{12C8D739-B0EF-49D2-86C9-27A91E081F5A}" name="Column2190"/>
    <tableColumn id="2196" xr3:uid="{53699E27-A9D9-4A78-858E-A2761A856746}" name="Column2191"/>
    <tableColumn id="2197" xr3:uid="{4A4505D7-C132-4F2F-8FED-BCB3F736C928}" name="Column2192"/>
    <tableColumn id="2198" xr3:uid="{3E1A5497-5D27-4246-9F40-81D0D31239F3}" name="Column2193"/>
    <tableColumn id="2199" xr3:uid="{771358E1-92A1-4F24-9775-EA4C7333891C}" name="Column2194"/>
    <tableColumn id="2200" xr3:uid="{74251880-E8DB-4B02-9A17-2B4C2B469F62}" name="Column2195"/>
    <tableColumn id="2201" xr3:uid="{5DB726B6-9B24-42DC-814A-1E1BFF0663EB}" name="Column2196"/>
    <tableColumn id="2202" xr3:uid="{309A3CB7-0CBA-40D2-B997-CF83E3D74E8F}" name="Column2197"/>
    <tableColumn id="2203" xr3:uid="{EFD07BFB-E944-430C-8354-A3C3C36E8B1D}" name="Column2198"/>
    <tableColumn id="2204" xr3:uid="{3A793575-1E2B-449C-B47C-BD47E8D4942F}" name="Column2199"/>
    <tableColumn id="2205" xr3:uid="{569D31D3-05DC-459F-AC63-6B12C0F0A5C1}" name="Column2200"/>
    <tableColumn id="2206" xr3:uid="{F0262C93-469D-42FC-81F7-2B17D4087265}" name="Column2201"/>
    <tableColumn id="2207" xr3:uid="{32F35E07-2BEB-4853-8851-F58FFDE91EB4}" name="Column2202"/>
    <tableColumn id="2208" xr3:uid="{2738F293-A348-43A4-B70D-0DC2C35A01BB}" name="Column2203"/>
    <tableColumn id="2209" xr3:uid="{1A568E5B-F704-4D47-A168-250CB7782A2B}" name="Column2204"/>
    <tableColumn id="2210" xr3:uid="{7794742E-1A54-4CDF-8929-F3E50931898A}" name="Column2205"/>
    <tableColumn id="2211" xr3:uid="{71F0D306-D30D-4A6D-AA26-F76561B21979}" name="Column2206"/>
    <tableColumn id="2212" xr3:uid="{3203F519-28BA-4FC0-9EE6-36D6F9C591DA}" name="Column2207"/>
    <tableColumn id="2213" xr3:uid="{A4405725-78B9-4B81-8E9B-2454742912EA}" name="Column2208"/>
    <tableColumn id="2214" xr3:uid="{7746AA65-A7D8-4C6C-A832-849F6C17A050}" name="Column2209"/>
    <tableColumn id="2215" xr3:uid="{FCA9C444-570C-492E-9EDF-5FC77AD57FC6}" name="Column2210"/>
    <tableColumn id="2216" xr3:uid="{5CB693A0-6816-4133-8794-2267744C56E4}" name="Column2211"/>
    <tableColumn id="2217" xr3:uid="{F62EF55A-A232-4D45-8751-4EFE5F1BCD15}" name="Column2212"/>
    <tableColumn id="2218" xr3:uid="{E7044086-4288-44BD-9684-BBE674FC3CF9}" name="Column2213"/>
    <tableColumn id="2219" xr3:uid="{C36DE63A-37CB-4D62-895E-F36BB17FB5DB}" name="Column2214"/>
    <tableColumn id="2220" xr3:uid="{86D8A81D-083C-48A4-9E0E-879A9209DC26}" name="Column2215"/>
    <tableColumn id="2221" xr3:uid="{FE8EDE3E-82E4-41DB-84A7-3773EFDF8900}" name="Column2216"/>
    <tableColumn id="2222" xr3:uid="{325D4D14-3670-49F1-8E50-B6284792364E}" name="Column2217"/>
    <tableColumn id="2223" xr3:uid="{B50B1451-7ADB-4BED-9EC2-1F13AF57287F}" name="Column2218"/>
    <tableColumn id="2224" xr3:uid="{B0538609-D590-45BD-B5B7-895A7651F8B3}" name="Column2219"/>
    <tableColumn id="2225" xr3:uid="{33A19FD7-CDF0-4ACB-AE7F-2F1E9F449579}" name="Column2220"/>
    <tableColumn id="2226" xr3:uid="{FC9FD543-1CB9-4998-8B3F-8AAAE8873299}" name="Column2221"/>
    <tableColumn id="2227" xr3:uid="{5B7C66AC-41AE-4023-B722-C8E20B7BA0C0}" name="Column2222"/>
    <tableColumn id="2228" xr3:uid="{2EC32B02-7C3D-42E3-AA03-8E5757611876}" name="Column2223"/>
    <tableColumn id="2229" xr3:uid="{98A224ED-D347-4AE6-9325-BC0DAC23B71F}" name="Column2224"/>
    <tableColumn id="2230" xr3:uid="{4A275B47-796A-4430-8E28-F844BFCA5A98}" name="Column2225"/>
    <tableColumn id="2231" xr3:uid="{DBA5CA73-2036-4C73-AB9B-3882C98A51DB}" name="Column2226"/>
    <tableColumn id="2232" xr3:uid="{8AF6F4F0-1BDA-4234-8BB4-E77F139C27EE}" name="Column2227"/>
    <tableColumn id="2233" xr3:uid="{12BCD6A3-00E8-43AA-B0B8-618CA40BC57B}" name="Column2228"/>
    <tableColumn id="2234" xr3:uid="{63D0DFFF-6A2D-4490-A8AE-F4C6334CD77D}" name="Column2229"/>
    <tableColumn id="2235" xr3:uid="{79EE8F1A-C5EC-4830-88FF-6677150D4C5A}" name="Column2230"/>
    <tableColumn id="2236" xr3:uid="{D7F0F711-ADD4-4C1D-AB50-530F2F6AAE1E}" name="Column2231"/>
    <tableColumn id="2237" xr3:uid="{8DE885F6-2C97-437A-9484-6D666DAD9EC4}" name="Column2232"/>
    <tableColumn id="2238" xr3:uid="{D7325DE9-1A73-4957-AF94-AE97B373A243}" name="Column2233"/>
    <tableColumn id="2239" xr3:uid="{F889F238-E4EE-4008-8468-5B718CAE2863}" name="Column2234"/>
    <tableColumn id="2240" xr3:uid="{E64F95E3-4E6A-47A9-B16E-A53EFF1928F5}" name="Column2235"/>
    <tableColumn id="2241" xr3:uid="{BA3A71D4-A9A3-4AB0-93F7-5711D3CA7F53}" name="Column2236"/>
    <tableColumn id="2242" xr3:uid="{C397F1A3-EED9-41F8-A153-633B2C81A163}" name="Column2237"/>
    <tableColumn id="2243" xr3:uid="{BE093071-A228-4531-B0F1-50FE2BAB92FF}" name="Column2238"/>
    <tableColumn id="2244" xr3:uid="{8CFE183A-460C-4F56-9416-0851524654F4}" name="Column2239"/>
    <tableColumn id="2245" xr3:uid="{28D86293-3F7D-4BC6-B744-84DBB229D0D3}" name="Column2240"/>
    <tableColumn id="2246" xr3:uid="{7A406F30-613F-4E00-9480-001CF59063C6}" name="Column2241"/>
    <tableColumn id="2247" xr3:uid="{4CD9B281-ACE7-4427-A0C8-4EE371DB94BD}" name="Column2242"/>
    <tableColumn id="2248" xr3:uid="{E1257FD2-22AD-4DE2-AC34-3E5E914B2188}" name="Column2243"/>
    <tableColumn id="2249" xr3:uid="{653018ED-73E8-4114-8D63-7B585A6EC232}" name="Column2244"/>
    <tableColumn id="2250" xr3:uid="{230D484F-2FC2-49FB-96BB-E97F7E9D44F3}" name="Column2245"/>
    <tableColumn id="2251" xr3:uid="{AF8DCB22-679F-4134-B490-8F22ABAE04E9}" name="Column2246"/>
    <tableColumn id="2252" xr3:uid="{EA113746-C2E1-44F6-998C-FD75AD7C2C91}" name="Column2247"/>
    <tableColumn id="2253" xr3:uid="{191594CA-A6F1-43F2-BA13-14F45CDE237F}" name="Column2248"/>
    <tableColumn id="2254" xr3:uid="{96D61AFA-80BB-4313-8550-7A0687F69DDC}" name="Column2249"/>
    <tableColumn id="2255" xr3:uid="{86898E6D-3CFB-4081-A47C-1AEF9600652A}" name="Column2250"/>
    <tableColumn id="2256" xr3:uid="{5C8C8BCB-495C-4FC8-95CC-41FC130937A8}" name="Column2251"/>
    <tableColumn id="2257" xr3:uid="{A3D7BED1-4B0A-4EA0-8ADA-6E836249EB87}" name="Column2252"/>
    <tableColumn id="2258" xr3:uid="{F85041B0-6765-480A-9F32-6827754997F7}" name="Column2253"/>
    <tableColumn id="2259" xr3:uid="{EF61C69C-BD1B-4894-87F3-561F5FBC04DB}" name="Column2254"/>
    <tableColumn id="2260" xr3:uid="{99C9B818-09C1-4E69-B096-C4D0B47C7442}" name="Column2255"/>
    <tableColumn id="2261" xr3:uid="{5033A254-4056-4AD3-B3EB-B86FAC99E971}" name="Column2256"/>
    <tableColumn id="2262" xr3:uid="{151D2299-761B-4CD1-8A44-B4DC5229B244}" name="Column2257"/>
    <tableColumn id="2263" xr3:uid="{7368A52E-8464-4137-AAD6-F859880641FE}" name="Column2258"/>
    <tableColumn id="2264" xr3:uid="{0A497984-419D-4BF4-A4C6-7B8D37FF23A2}" name="Column2259"/>
    <tableColumn id="2265" xr3:uid="{BF3256CB-247D-4E3A-A97C-1F4D448D56E3}" name="Column2260"/>
    <tableColumn id="2266" xr3:uid="{366189F5-1C15-4B9E-91AD-C673BBF37728}" name="Column2261"/>
    <tableColumn id="2267" xr3:uid="{B9AFCD85-9851-410A-94EA-2D089171F932}" name="Column2262"/>
    <tableColumn id="2268" xr3:uid="{EBF059DF-1729-4B07-ADB4-01C64F690D95}" name="Column2263"/>
    <tableColumn id="2269" xr3:uid="{CF066AF7-2AF3-4F7C-A768-7211E9AFD395}" name="Column2264"/>
    <tableColumn id="2270" xr3:uid="{ABEDF2BD-5F60-48A4-AE6D-16868A9093FD}" name="Column2265"/>
    <tableColumn id="2271" xr3:uid="{684A19A7-3CE7-4613-9B52-5A7579933FF2}" name="Column2266"/>
    <tableColumn id="2272" xr3:uid="{D7BACBFC-B1A1-4E8B-BC00-D289F49557B8}" name="Column2267"/>
    <tableColumn id="2273" xr3:uid="{07E13AB4-1B9E-48F0-B6E4-C41B080EED34}" name="Column2268"/>
    <tableColumn id="2274" xr3:uid="{38B307BE-A9AF-43FD-BAB3-C5CCA284F776}" name="Column2269"/>
    <tableColumn id="2275" xr3:uid="{C4B98733-FB63-4C22-9871-2CC873CD797F}" name="Column2270"/>
    <tableColumn id="2276" xr3:uid="{FC5B0F05-8381-4787-8B41-C429CC6E34D5}" name="Column2271"/>
    <tableColumn id="2277" xr3:uid="{01745115-B05B-4A61-BBD8-7DBD0D906310}" name="Column2272"/>
    <tableColumn id="2278" xr3:uid="{D5C5ACA4-DA7D-4C48-ADFE-D82812D8BD60}" name="Column2273"/>
    <tableColumn id="2279" xr3:uid="{96F44B5D-7D70-4306-888D-08D5C28ED61A}" name="Column2274"/>
    <tableColumn id="2280" xr3:uid="{6B189B0F-6EF3-499F-92F3-0AF1C4677B50}" name="Column2275"/>
    <tableColumn id="2281" xr3:uid="{4192ACE4-EA7A-4533-8E49-EE3DAF8B660E}" name="Column2276"/>
    <tableColumn id="2282" xr3:uid="{569A327D-0AEC-427F-A976-3D87930AEA9B}" name="Column2277"/>
    <tableColumn id="2283" xr3:uid="{6EDC86AC-F4CD-404B-85B7-D3B11E9B6369}" name="Column2278"/>
    <tableColumn id="2284" xr3:uid="{40759B74-7B83-44BD-8ABB-A9E447CC3240}" name="Column2279"/>
    <tableColumn id="2285" xr3:uid="{52D7FC56-4423-4A70-B87C-79D8B9A874D5}" name="Column2280"/>
    <tableColumn id="2286" xr3:uid="{3B68CBF6-1280-419F-B23A-9A0B18E779A8}" name="Column2281"/>
    <tableColumn id="2287" xr3:uid="{2AC8CACA-C96B-45C2-8899-01E25445D536}" name="Column2282"/>
    <tableColumn id="2288" xr3:uid="{D22DF90D-B401-43E9-B742-AF7B3275520E}" name="Column2283"/>
    <tableColumn id="2289" xr3:uid="{867785D8-A8F7-491E-87B3-A3A754EC368E}" name="Column2284"/>
    <tableColumn id="2290" xr3:uid="{6C313588-5DA0-470C-BEAF-CC3F2E73C2A5}" name="Column2285"/>
    <tableColumn id="2291" xr3:uid="{1D4A2765-97B9-4FEB-B396-98B9E819204F}" name="Column2286"/>
    <tableColumn id="2292" xr3:uid="{8A137359-1471-46C4-825E-20FCBDFFA126}" name="Column2287"/>
    <tableColumn id="2293" xr3:uid="{B2F304B5-C5FD-455B-BCD7-50BAA7960B0A}" name="Column2288"/>
    <tableColumn id="2294" xr3:uid="{0D2F083D-41ED-4015-A7AE-434AF6C94BC4}" name="Column2289"/>
    <tableColumn id="2295" xr3:uid="{8E0BF21E-F289-4763-B297-62FE7573161B}" name="Column2290"/>
    <tableColumn id="2296" xr3:uid="{EEA2514B-35BC-4035-A1A7-762415E26E1D}" name="Column2291"/>
    <tableColumn id="2297" xr3:uid="{321D75CB-1A5A-4691-AF22-C5E9B853C6AC}" name="Column2292"/>
    <tableColumn id="2298" xr3:uid="{A2D45300-423B-4C13-8309-7E008C867B3D}" name="Column2293"/>
    <tableColumn id="2299" xr3:uid="{F368E3FA-71A2-40A1-8C3F-5870CAF8B821}" name="Column2294"/>
    <tableColumn id="2300" xr3:uid="{2FE73005-48B9-4D3E-99ED-525904CE9EC0}" name="Column2295"/>
    <tableColumn id="2301" xr3:uid="{EBCEA50C-282E-4A98-B9B5-9298531BC5B2}" name="Column2296"/>
    <tableColumn id="2302" xr3:uid="{FD5C34FD-4633-4170-B28A-64C9604B8E1F}" name="Column2297"/>
    <tableColumn id="2303" xr3:uid="{D4FEE3DE-25D2-4055-A7B8-2BADCCFF2455}" name="Column2298"/>
    <tableColumn id="2304" xr3:uid="{0CF9B05F-EB4D-44BC-9082-3DA727429EDA}" name="Column2299"/>
    <tableColumn id="2305" xr3:uid="{AC79B51E-FEF6-4403-AB50-EFB3D2126379}" name="Column2300"/>
    <tableColumn id="2306" xr3:uid="{2C482B24-56F6-4E82-93B8-9B24F6DE898E}" name="Column2301"/>
    <tableColumn id="2307" xr3:uid="{9339CAC5-39CD-46AA-A20F-7E9319BF57F8}" name="Column2302"/>
    <tableColumn id="2308" xr3:uid="{09671931-74E9-49E5-BC2E-FF8C82503EF3}" name="Column2303"/>
    <tableColumn id="2309" xr3:uid="{6C4F892C-61F8-4A6F-9BE2-E82487D9C538}" name="Column2304"/>
    <tableColumn id="2310" xr3:uid="{B7CDA3B6-8819-4307-BCA5-E50581B4EDFD}" name="Column2305"/>
    <tableColumn id="2311" xr3:uid="{DC784A97-4C77-4E97-941D-5B602B44F540}" name="Column2306"/>
    <tableColumn id="2312" xr3:uid="{0761597A-9C0D-4584-A6EA-BB96DDEBBDC8}" name="Column2307"/>
    <tableColumn id="2313" xr3:uid="{FF33CF08-BAFD-4642-9E00-EF4C3B0AC207}" name="Column2308"/>
    <tableColumn id="2314" xr3:uid="{0AF3168A-9BA4-4715-8466-406EC4B34D8F}" name="Column2309"/>
    <tableColumn id="2315" xr3:uid="{D314443F-78B1-4FFA-93EB-685A6580C300}" name="Column2310"/>
    <tableColumn id="2316" xr3:uid="{65F4A8BE-3CB0-43AF-AA64-6BB89B674B1C}" name="Column2311"/>
    <tableColumn id="2317" xr3:uid="{B9BE7FFC-DAEA-4386-857F-2AAD82EA0CED}" name="Column2312"/>
    <tableColumn id="2318" xr3:uid="{B693F143-1D20-4EDE-8A3D-6BE6686B1AE7}" name="Column2313"/>
    <tableColumn id="2319" xr3:uid="{443D3404-1768-4B8A-9C49-F3BD4A4E9C7D}" name="Column2314"/>
    <tableColumn id="2320" xr3:uid="{B78E5EAF-6348-4AE1-A8BA-733C539478CF}" name="Column2315"/>
    <tableColumn id="2321" xr3:uid="{909034BF-72DD-4C3C-AFF2-11CB3307BB7C}" name="Column2316"/>
    <tableColumn id="2322" xr3:uid="{0A1415CF-C79B-4D34-8F9C-34C26BB3F7E1}" name="Column2317"/>
    <tableColumn id="2323" xr3:uid="{FBF00B78-5C44-465B-86CA-7EF138F45FFC}" name="Column2318"/>
    <tableColumn id="2324" xr3:uid="{26E0C35C-B6A1-4B7C-B697-AFEE99752433}" name="Column2319"/>
    <tableColumn id="2325" xr3:uid="{361F5CD1-DC5B-4CCA-95B2-F36958FFD602}" name="Column2320"/>
    <tableColumn id="2326" xr3:uid="{57DA0771-D4CD-4B82-9576-A5B3C6ABF37A}" name="Column2321"/>
    <tableColumn id="2327" xr3:uid="{90A8333A-BC63-40B7-8925-BCB756E17E04}" name="Column2322"/>
    <tableColumn id="2328" xr3:uid="{1185E6FB-B770-4708-954E-6027F68828EA}" name="Column2323"/>
    <tableColumn id="2329" xr3:uid="{CCE126BB-8456-4B03-9F99-30ACF1B28143}" name="Column2324"/>
    <tableColumn id="2330" xr3:uid="{ABCA3919-6C73-4E10-AE2F-89206ADC0A60}" name="Column2325"/>
    <tableColumn id="2331" xr3:uid="{A5F7893E-7E31-460B-A2D4-FA6A9B454B8C}" name="Column2326"/>
    <tableColumn id="2332" xr3:uid="{6DDB1F12-5B2C-4602-88AE-2494F92E7045}" name="Column2327"/>
    <tableColumn id="2333" xr3:uid="{DBB7B53D-BF28-4251-A022-8DC2DA08D702}" name="Column2328"/>
    <tableColumn id="2334" xr3:uid="{95E9EA93-E77B-4C96-9F26-559E4F37768A}" name="Column2329"/>
    <tableColumn id="2335" xr3:uid="{3BA5568E-758E-4B86-AF51-0A20BE7FC956}" name="Column2330"/>
    <tableColumn id="2336" xr3:uid="{FB92873E-8195-4528-97D3-B005C2CAA336}" name="Column2331"/>
    <tableColumn id="2337" xr3:uid="{06053618-9C0A-446A-8F54-B4421ACCEF84}" name="Column2332"/>
    <tableColumn id="2338" xr3:uid="{CC7A9687-9829-41C9-9317-C035EE309772}" name="Column2333"/>
    <tableColumn id="2339" xr3:uid="{F24D68B2-04D3-46CD-AF03-6533DCBE0D69}" name="Column2334"/>
    <tableColumn id="2340" xr3:uid="{C0ED7127-D06C-48BF-AB7F-3F00CA46FA75}" name="Column2335"/>
    <tableColumn id="2341" xr3:uid="{123EBFDC-032E-4342-93A9-8488E0D4E37F}" name="Column2336"/>
    <tableColumn id="2342" xr3:uid="{C2905AF6-1B69-4880-AA98-18AF580A842E}" name="Column2337"/>
    <tableColumn id="2343" xr3:uid="{C37B6B1D-42DB-48F5-9934-C0821B0A7CBF}" name="Column2338"/>
    <tableColumn id="2344" xr3:uid="{6BA5B335-BEC6-4C3A-BE6D-EF54B96FEAAD}" name="Column2339"/>
    <tableColumn id="2345" xr3:uid="{6C6F3CCB-669E-4AE0-8FFE-E4552ED9FD32}" name="Column2340"/>
    <tableColumn id="2346" xr3:uid="{68B36E8B-E1F0-4DBD-B4F2-0F452CE8F9B8}" name="Column2341"/>
    <tableColumn id="2347" xr3:uid="{A6797E18-12CD-4D78-A769-EE70290F1733}" name="Column2342"/>
    <tableColumn id="2348" xr3:uid="{650591D3-78C9-4D61-8B04-69FEB00D4D84}" name="Column2343"/>
    <tableColumn id="2349" xr3:uid="{09148036-63E4-4324-9AC7-FCC0EB986451}" name="Column2344"/>
    <tableColumn id="2350" xr3:uid="{20F03E3F-2A41-4A25-9B22-1A8F8F6D9369}" name="Column2345"/>
    <tableColumn id="2351" xr3:uid="{434D7D96-CF6E-4951-B6DA-DD31DA2DF6A3}" name="Column2346"/>
    <tableColumn id="2352" xr3:uid="{82AD8EF8-49B9-4FBC-9B37-ED868B8E1B68}" name="Column2347"/>
    <tableColumn id="2353" xr3:uid="{53354A14-A0E1-436C-A34A-E71791846DF0}" name="Column2348"/>
    <tableColumn id="2354" xr3:uid="{737A5554-E2BC-4BFF-9131-D0E38E57F6C3}" name="Column2349"/>
    <tableColumn id="2355" xr3:uid="{BA536A60-BB8F-471E-8BB8-EAA06A41C558}" name="Column2350"/>
    <tableColumn id="2356" xr3:uid="{A1AB25D6-1545-42F5-B7CD-F25D386E3C46}" name="Column2351"/>
    <tableColumn id="2357" xr3:uid="{AC0F3D6B-1AFA-481D-822D-123F01858067}" name="Column2352"/>
    <tableColumn id="2358" xr3:uid="{F4D23DBF-454C-4B31-AE5F-D97AFDFF79A5}" name="Column2353"/>
    <tableColumn id="2359" xr3:uid="{99EE7550-5953-4EA2-B7F1-03DD14540235}" name="Column2354"/>
    <tableColumn id="2360" xr3:uid="{DAAC2386-9A26-424D-96FC-14A1CC81E5F9}" name="Column2355"/>
    <tableColumn id="2361" xr3:uid="{C22AB972-6CEE-45BF-9E34-CA745AB30461}" name="Column2356"/>
    <tableColumn id="2362" xr3:uid="{FE1CB5E4-C61D-43B5-95E9-32E2CF5D3D89}" name="Column2357"/>
    <tableColumn id="2363" xr3:uid="{F3FC9B9D-B66A-4A32-9667-9AC9E08B6A47}" name="Column2358"/>
    <tableColumn id="2364" xr3:uid="{B1B745B9-C9C9-4D67-8B67-985EBD92B361}" name="Column2359"/>
    <tableColumn id="2365" xr3:uid="{FDDF7A2A-1FA3-4F58-A311-69DE7D49BF06}" name="Column2360"/>
    <tableColumn id="2366" xr3:uid="{310F8A6D-EC56-470F-955C-D6013DEE5039}" name="Column2361"/>
    <tableColumn id="2367" xr3:uid="{D6326979-98A3-455C-8262-F712CF36468B}" name="Column2362"/>
    <tableColumn id="2368" xr3:uid="{B28A1CE0-E5E5-4E0F-9B19-DAB396F3B40B}" name="Column2363"/>
    <tableColumn id="2369" xr3:uid="{1BB85CC8-39AF-461C-B7C3-8FE00743C174}" name="Column2364"/>
    <tableColumn id="2370" xr3:uid="{88F7E88A-9BE1-4BCD-9539-55A123407992}" name="Column2365"/>
    <tableColumn id="2371" xr3:uid="{39F556E3-91D2-4E7A-9EFA-0133FB55D460}" name="Column2366"/>
    <tableColumn id="2372" xr3:uid="{BCD33EDE-FC14-45EF-8160-6E590743F8B6}" name="Column2367"/>
    <tableColumn id="2373" xr3:uid="{F4E792CA-3E2D-4558-B114-19F4568638E3}" name="Column2368"/>
    <tableColumn id="2374" xr3:uid="{B44B255A-71E9-4220-AD5C-C0461332D0FF}" name="Column2369"/>
    <tableColumn id="2375" xr3:uid="{241A5BDE-8397-4E9F-A2BE-9827D1B5AE75}" name="Column2370"/>
    <tableColumn id="2376" xr3:uid="{452B7E71-13E7-42A6-A32B-205109706C63}" name="Column2371"/>
    <tableColumn id="2377" xr3:uid="{824ADB87-744E-4350-BDD2-533F9EA6C3C1}" name="Column2372"/>
    <tableColumn id="2378" xr3:uid="{8483F512-C5EC-44FA-BE12-9736E05070DE}" name="Column2373"/>
    <tableColumn id="2379" xr3:uid="{E3637D2A-29F5-42E8-9412-386320E117AF}" name="Column2374"/>
    <tableColumn id="2380" xr3:uid="{0B1B5BA9-CC6F-4C1F-A7C8-A3207F415C5F}" name="Column2375"/>
    <tableColumn id="2381" xr3:uid="{D8222B5A-8FAF-43B8-9D58-D15FD992FCE0}" name="Column2376"/>
    <tableColumn id="2382" xr3:uid="{D17491F8-BFC7-41BA-A2F6-2E1FFA2402CF}" name="Column2377"/>
    <tableColumn id="2383" xr3:uid="{5C9704D5-9AB3-4618-A663-D76B070CE090}" name="Column2378"/>
    <tableColumn id="2384" xr3:uid="{C2A60C55-857B-4082-8DB4-7468F4FF7C14}" name="Column2379"/>
    <tableColumn id="2385" xr3:uid="{78080C77-BF90-42C8-85CC-1607C7E59C9F}" name="Column2380"/>
    <tableColumn id="2386" xr3:uid="{1DD4479F-5741-4EAE-9A2B-E176E48ECB08}" name="Column2381"/>
    <tableColumn id="2387" xr3:uid="{2459BFB6-EDBC-40E8-B9BA-5449E703C5DF}" name="Column2382"/>
    <tableColumn id="2388" xr3:uid="{E816721C-A05E-43B4-9C12-ADE6DBE65299}" name="Column2383"/>
    <tableColumn id="2389" xr3:uid="{CA01BCCF-10F9-4329-88DF-E8D2DCB641E0}" name="Column2384"/>
    <tableColumn id="2390" xr3:uid="{A8C3CBCA-458C-45A2-B17F-3957B9289B50}" name="Column2385"/>
    <tableColumn id="2391" xr3:uid="{DB40EC94-2383-4805-85C5-C8C2D595C825}" name="Column2386"/>
    <tableColumn id="2392" xr3:uid="{02EA80C1-B310-476E-80E0-3059BFB0634B}" name="Column2387"/>
    <tableColumn id="2393" xr3:uid="{C2955D9D-CD53-42B5-AFA0-762C9F8E13F5}" name="Column2388"/>
    <tableColumn id="2394" xr3:uid="{27B3DD01-5C64-4093-BC3C-C682F877A702}" name="Column2389"/>
    <tableColumn id="2395" xr3:uid="{8EAC2F89-54C7-4CA2-9145-20755191B414}" name="Column2390"/>
    <tableColumn id="2396" xr3:uid="{42C32CFF-DFCE-429A-856A-8418C82942B9}" name="Column2391"/>
    <tableColumn id="2397" xr3:uid="{B6B370DA-D913-4921-9FD0-18ADDE4E6E09}" name="Column2392"/>
    <tableColumn id="2398" xr3:uid="{1CC0DA3D-5549-4A06-9AD4-06EA08E45DA1}" name="Column2393"/>
    <tableColumn id="2399" xr3:uid="{C8A7B199-45AD-4C71-A715-EC707C95D569}" name="Column2394"/>
    <tableColumn id="2400" xr3:uid="{1B7E3A83-BF5C-45B5-88F6-7B5C74A9CECC}" name="Column2395"/>
    <tableColumn id="2401" xr3:uid="{A1F813F3-7158-47F6-9F54-66B2EFC0302E}" name="Column2396"/>
    <tableColumn id="2402" xr3:uid="{A57CC9C8-131A-4532-8CEB-48BB6A60C249}" name="Column2397"/>
    <tableColumn id="2403" xr3:uid="{5B0686A2-2D91-4069-B6F8-6FCE09FE98AA}" name="Column2398"/>
    <tableColumn id="2404" xr3:uid="{E74BEA3C-A3C8-4EE9-B2DC-C0D76E7E7E21}" name="Column2399"/>
    <tableColumn id="2405" xr3:uid="{A7BE1EDB-5A15-4141-8242-9D885F39CC83}" name="Column2400"/>
    <tableColumn id="2406" xr3:uid="{D90188AC-1261-40A4-AEE7-985A76585BB3}" name="Column2401"/>
    <tableColumn id="2407" xr3:uid="{935D4780-D77C-4DE7-9979-19AC99282BB6}" name="Column2402"/>
    <tableColumn id="2408" xr3:uid="{96FCF25F-27F7-4F72-86AD-43AE914AE030}" name="Column2403"/>
    <tableColumn id="2409" xr3:uid="{099A30EC-6397-4DC4-B007-9DC8FFFEE6D2}" name="Column2404"/>
    <tableColumn id="2410" xr3:uid="{E6D93D4F-238B-4A2E-A1CC-26A3F698553F}" name="Column2405"/>
    <tableColumn id="2411" xr3:uid="{08339074-BB01-4508-9573-77B83BE94150}" name="Column2406"/>
    <tableColumn id="2412" xr3:uid="{3F6787AF-BD4F-46C9-B889-7AF56F603CD5}" name="Column2407"/>
    <tableColumn id="2413" xr3:uid="{DA534C91-3DAD-455D-B324-7486910854B7}" name="Column2408"/>
    <tableColumn id="2414" xr3:uid="{C02EB32F-2AA1-459C-8429-A7BC18686630}" name="Column2409"/>
    <tableColumn id="2415" xr3:uid="{C729F7BE-43C7-43A9-9BE1-286EC94F069A}" name="Column2410"/>
    <tableColumn id="2416" xr3:uid="{ECBF4DD3-797C-4A00-BEBA-DA196DB88C5C}" name="Column2411"/>
    <tableColumn id="2417" xr3:uid="{B81A6FE4-F8FA-412C-8ADF-319F1C276FE6}" name="Column2412"/>
    <tableColumn id="2418" xr3:uid="{A1AA39BC-0DC1-4E74-A6A9-15D4370835A5}" name="Column2413"/>
    <tableColumn id="2419" xr3:uid="{C81E3162-816C-450A-9763-268B7907F353}" name="Column2414"/>
    <tableColumn id="2420" xr3:uid="{99C2C774-0633-4226-8453-7E747AFF1F5F}" name="Column2415"/>
    <tableColumn id="2421" xr3:uid="{3FFAB0E4-52B8-4D6B-80E6-5374656F0BCA}" name="Column2416"/>
    <tableColumn id="2422" xr3:uid="{918BFAEB-03C2-4C37-82B9-F48F4669E3CD}" name="Column2417"/>
    <tableColumn id="2423" xr3:uid="{2D288404-2F36-4270-87C4-92620D2331C2}" name="Column2418"/>
    <tableColumn id="2424" xr3:uid="{0DD839D1-8BBF-493A-92C4-26F0CE23AE03}" name="Column2419"/>
    <tableColumn id="2425" xr3:uid="{CACC3DC7-DB9E-4BA6-8964-D5D40A8FD562}" name="Column2420"/>
    <tableColumn id="2426" xr3:uid="{BD98EFD4-0C41-4EF9-A45C-5CF96CB1C86C}" name="Column2421"/>
    <tableColumn id="2427" xr3:uid="{153E0A84-40B7-4D72-96F4-1ECBAA382E0A}" name="Column2422"/>
    <tableColumn id="2428" xr3:uid="{715A7A29-05C8-498B-B78F-7F74D1E5A784}" name="Column2423"/>
    <tableColumn id="2429" xr3:uid="{BFD51C9A-5A7C-41ED-A5A9-C8045E7F070B}" name="Column2424"/>
    <tableColumn id="2430" xr3:uid="{BF4A2195-5F91-437B-941A-54BF10F1278B}" name="Column2425"/>
    <tableColumn id="2431" xr3:uid="{A9C18B40-19FE-40CA-A178-E0F31D8CE595}" name="Column2426"/>
    <tableColumn id="2432" xr3:uid="{54E03282-FCC3-40E1-927F-087C6EE75660}" name="Column2427"/>
    <tableColumn id="2433" xr3:uid="{AE125EEB-67FD-44B9-8014-195079EDECAB}" name="Column2428"/>
    <tableColumn id="2434" xr3:uid="{3032DEA9-6779-423C-9599-C454048181D7}" name="Column2429"/>
    <tableColumn id="2435" xr3:uid="{DA59662F-C047-4684-8975-96B59B5AEC79}" name="Column2430"/>
    <tableColumn id="2436" xr3:uid="{82226C82-2AE5-40B8-877A-C783DA0AF184}" name="Column2431"/>
    <tableColumn id="2437" xr3:uid="{E68E895D-3D34-4FE8-BDBD-F80DF4913117}" name="Column2432"/>
    <tableColumn id="2438" xr3:uid="{90720323-4098-4AAB-A52B-F10675D343DF}" name="Column2433"/>
    <tableColumn id="2439" xr3:uid="{5C9CAA32-3097-4A82-A480-B049D1ABCEF0}" name="Column2434"/>
    <tableColumn id="2440" xr3:uid="{730A5680-B6B4-436A-8B26-3AAEF5AB9BA9}" name="Column2435"/>
    <tableColumn id="2441" xr3:uid="{1BDE0EB9-CB7B-4C4F-9E9F-8A5615949E66}" name="Column2436"/>
    <tableColumn id="2442" xr3:uid="{E5419981-F9BB-47B5-B932-B6379959DB8E}" name="Column2437"/>
    <tableColumn id="2443" xr3:uid="{A00A74A0-5524-4975-9A33-B1B9EE58D418}" name="Column2438"/>
    <tableColumn id="2444" xr3:uid="{DA8C8CA2-8A03-460E-870F-7F4197B87432}" name="Column2439"/>
    <tableColumn id="2445" xr3:uid="{514B4C59-90AC-4F21-9E43-D8DCC8AC0194}" name="Column2440"/>
    <tableColumn id="2446" xr3:uid="{CEF723D6-C1F9-436F-B349-2065AAA33FA6}" name="Column2441"/>
    <tableColumn id="2447" xr3:uid="{879199B0-9F4C-4E14-B141-8C14AF019AAC}" name="Column2442"/>
    <tableColumn id="2448" xr3:uid="{296E2047-C514-44BD-99BA-01364EFC8E49}" name="Column2443"/>
    <tableColumn id="2449" xr3:uid="{C63AF348-F715-4E60-B1A4-3E529CF640BD}" name="Column2444"/>
    <tableColumn id="2450" xr3:uid="{79B62F7A-F70D-46B5-BE81-FBC46AAC7053}" name="Column2445"/>
    <tableColumn id="2451" xr3:uid="{B3B70129-35E8-44EB-BFE3-4A544CC9C1B0}" name="Column2446"/>
    <tableColumn id="2452" xr3:uid="{4FAA62A5-79F3-4BEE-9513-37543E77945A}" name="Column2447"/>
    <tableColumn id="2453" xr3:uid="{56937BA6-A01A-4036-9B1C-0451D848D00B}" name="Column2448"/>
    <tableColumn id="2454" xr3:uid="{2D54F9AA-FEFD-4BBC-A6A4-CA64A7E46DA8}" name="Column2449"/>
    <tableColumn id="2455" xr3:uid="{F32A2EBD-E8DF-471D-AD10-D3AF1186BF66}" name="Column2450"/>
    <tableColumn id="2456" xr3:uid="{D5B143C4-C21B-4252-BB2C-9C7E38161AB9}" name="Column2451"/>
    <tableColumn id="2457" xr3:uid="{1B5E524B-6082-4B67-B83E-B481DF99A115}" name="Column2452"/>
    <tableColumn id="2458" xr3:uid="{F80EA42D-2A53-4357-A5B8-16E6F59BBA36}" name="Column2453"/>
    <tableColumn id="2459" xr3:uid="{C487F96D-4E18-453D-88EB-42F906963A3A}" name="Column2454"/>
    <tableColumn id="2460" xr3:uid="{7E23C2C9-AC5E-443A-AC77-8EC4734C1E52}" name="Column2455"/>
    <tableColumn id="2461" xr3:uid="{A2B6E542-B3FD-4048-8E79-53B0D3A7A625}" name="Column2456"/>
    <tableColumn id="2462" xr3:uid="{8498157D-0146-48E8-9988-E435C0536251}" name="Column2457"/>
    <tableColumn id="2463" xr3:uid="{D28E17E4-93DA-420D-8A86-4C988F4F660B}" name="Column2458"/>
    <tableColumn id="2464" xr3:uid="{D214A334-2A2B-44C3-85A7-4B0758528D15}" name="Column2459"/>
    <tableColumn id="2465" xr3:uid="{DF39D3AB-D59F-4227-956E-DA3D7EC55886}" name="Column2460"/>
    <tableColumn id="2466" xr3:uid="{3102CC07-9611-4DF6-8A7F-61E49D674C63}" name="Column2461"/>
    <tableColumn id="2467" xr3:uid="{B39E2962-E472-49FF-AAEC-0DFC46CC6572}" name="Column2462"/>
    <tableColumn id="2468" xr3:uid="{E8CBD500-837E-45D3-9302-F85D7ADB241F}" name="Column2463"/>
    <tableColumn id="2469" xr3:uid="{F4478DB2-FCBB-415E-9C39-3C46ABD1B52D}" name="Column2464"/>
    <tableColumn id="2470" xr3:uid="{5BB8E262-450F-43B5-8C2F-11441FA2494C}" name="Column2465"/>
    <tableColumn id="2471" xr3:uid="{AAFF917E-CD0F-47C0-B961-9F5D5CF512C8}" name="Column2466"/>
    <tableColumn id="2472" xr3:uid="{86B5DE38-C5C2-4963-8A19-17D6476270D9}" name="Column2467"/>
    <tableColumn id="2473" xr3:uid="{A9403EBF-3CD2-4A40-9354-2BBFF2D32E76}" name="Column2468"/>
    <tableColumn id="2474" xr3:uid="{860634D1-F7C1-42E1-9620-5472E99FA750}" name="Column2469"/>
    <tableColumn id="2475" xr3:uid="{7F99A4AC-5E3B-4B1C-874C-2710E78D8378}" name="Column2470"/>
    <tableColumn id="2476" xr3:uid="{C0089F57-2AAB-4BDA-A063-FE9CA9523395}" name="Column2471"/>
    <tableColumn id="2477" xr3:uid="{52BA181F-B188-4D59-B329-242634724A63}" name="Column2472"/>
    <tableColumn id="2478" xr3:uid="{36F06B1C-3F23-47CB-8896-22F1D5D330F4}" name="Column2473"/>
    <tableColumn id="2479" xr3:uid="{7D7C7A17-544F-42E8-AD67-CA391D2A6672}" name="Column2474"/>
    <tableColumn id="2480" xr3:uid="{9C01A1CF-CF1B-48D6-8BCC-A2FCAE12A754}" name="Column2475"/>
    <tableColumn id="2481" xr3:uid="{36DCE6C5-D22A-4E19-8E5A-0B5292497CAD}" name="Column2476"/>
    <tableColumn id="2482" xr3:uid="{E6384763-D546-49CA-854E-1B72342F2E13}" name="Column2477"/>
    <tableColumn id="2483" xr3:uid="{6D700900-19C9-4DEF-9DB7-D52BEE5F7D37}" name="Column2478"/>
    <tableColumn id="2484" xr3:uid="{EF52EA8F-5DC7-4C1B-BD19-9F3AD8C9F3BC}" name="Column2479"/>
    <tableColumn id="2485" xr3:uid="{D754494C-7F2E-408B-BB03-124267219BF3}" name="Column2480"/>
    <tableColumn id="2486" xr3:uid="{BA10F704-60F9-4B22-BC01-81BAB729744C}" name="Column2481"/>
    <tableColumn id="2487" xr3:uid="{F73A4143-9F14-4CB5-9713-FD4B1AE98B86}" name="Column2482"/>
    <tableColumn id="2488" xr3:uid="{720BA5F1-B749-482C-97A6-C9781E06D6C9}" name="Column2483"/>
    <tableColumn id="2489" xr3:uid="{20527990-3DB1-40CF-ABA7-279AE5463D26}" name="Column2484"/>
    <tableColumn id="2490" xr3:uid="{58C864F2-645D-48E0-92B8-F421B472284C}" name="Column2485"/>
    <tableColumn id="2491" xr3:uid="{B8EBA7FB-49BF-49F1-83C3-2A617155F03D}" name="Column2486"/>
    <tableColumn id="2492" xr3:uid="{09CE8D75-2797-4EAA-8A04-785CEDB0EEE0}" name="Column2487"/>
    <tableColumn id="2493" xr3:uid="{8D819B1A-875E-4EA3-849F-A9201415FF4E}" name="Column2488"/>
    <tableColumn id="2494" xr3:uid="{F6A6EF65-E128-4D95-9C9E-245A039FFD3E}" name="Column2489"/>
    <tableColumn id="2495" xr3:uid="{CDA31F9C-8760-457C-8BEF-FF2072AD6E7E}" name="Column2490"/>
    <tableColumn id="2496" xr3:uid="{FBE9BAA1-FFEB-4EB2-A9BA-2B71324C4BE7}" name="Column2491"/>
    <tableColumn id="2497" xr3:uid="{D851B5AB-32E2-4873-9963-FC7F70323F3B}" name="Column2492"/>
    <tableColumn id="2498" xr3:uid="{7320966C-9D4E-4B02-8438-82304D3AC054}" name="Column2493"/>
    <tableColumn id="2499" xr3:uid="{8F260725-9443-4AA5-A723-C911C74CBB0A}" name="Column2494"/>
    <tableColumn id="2500" xr3:uid="{C105C79A-3EA8-42B8-9AD8-5FC638041C26}" name="Column2495"/>
    <tableColumn id="2501" xr3:uid="{5945260C-3303-4274-8379-8EEA0DCB7F82}" name="Column2496"/>
    <tableColumn id="2502" xr3:uid="{8281FCEE-D026-4975-9A8E-FA7DDDDC48AF}" name="Column2497"/>
    <tableColumn id="2503" xr3:uid="{742E0578-86AF-400C-BF2B-A6ED39A20715}" name="Column2498"/>
    <tableColumn id="2504" xr3:uid="{213745FF-FC12-4F08-9C4C-98B8D3BB8330}" name="Column2499"/>
    <tableColumn id="2505" xr3:uid="{6BDE7066-7046-4F24-B8CA-E4FA995EB2F0}" name="Column2500"/>
    <tableColumn id="2506" xr3:uid="{7D74E666-DF3F-4055-AFBA-DB29051ECAB6}" name="Column2501"/>
    <tableColumn id="2507" xr3:uid="{96CE056C-01BD-41D0-9E22-8D4FFDD54127}" name="Column2502"/>
    <tableColumn id="2508" xr3:uid="{92FD86AC-414A-4A2D-9CCB-3EDE0AB22606}" name="Column2503"/>
    <tableColumn id="2509" xr3:uid="{4644B438-00DA-40FB-8E86-4192538E0A50}" name="Column2504"/>
    <tableColumn id="2510" xr3:uid="{84C1349E-B294-4093-9CBA-16CF4D7DCDEB}" name="Column2505"/>
    <tableColumn id="2511" xr3:uid="{91CC644A-F228-4691-9003-7DCB030920C7}" name="Column2506"/>
    <tableColumn id="2512" xr3:uid="{E1F8600E-723D-4106-BFF3-24FE11372E64}" name="Column2507"/>
    <tableColumn id="2513" xr3:uid="{A29E53E1-6924-4714-9570-C3700799976A}" name="Column2508"/>
    <tableColumn id="2514" xr3:uid="{7A592DB8-B99C-4ABE-8229-F839C9258A86}" name="Column2509"/>
    <tableColumn id="2515" xr3:uid="{0B907F2F-3BB3-4309-9ED3-A150E8C73914}" name="Column2510"/>
    <tableColumn id="2516" xr3:uid="{3ED2C3D1-C37F-4770-BAFD-5CA687F92E50}" name="Column2511"/>
    <tableColumn id="2517" xr3:uid="{66CD5389-825F-43F7-BDDC-51067092BB81}" name="Column2512"/>
    <tableColumn id="2518" xr3:uid="{35E691EC-D274-4C45-987E-76B295FB842B}" name="Column2513"/>
    <tableColumn id="2519" xr3:uid="{40CE4407-5473-440F-B5DB-D4614928345F}" name="Column2514"/>
    <tableColumn id="2520" xr3:uid="{6FC077F7-CAEE-4CD3-92C7-32B69D16C852}" name="Column2515"/>
    <tableColumn id="2521" xr3:uid="{F9733D74-E40E-4236-A208-2EA6FE213DC5}" name="Column2516"/>
    <tableColumn id="2522" xr3:uid="{9CC3BD1F-E038-45A9-9FF5-280413E7433C}" name="Column2517"/>
    <tableColumn id="2523" xr3:uid="{31FD5C78-45E9-4C94-BE9B-AD8A26881443}" name="Column2518"/>
    <tableColumn id="2524" xr3:uid="{E252A4E5-929C-417F-A30A-F654C8CB04F8}" name="Column2519"/>
    <tableColumn id="2525" xr3:uid="{5AF92332-8983-4972-B6A4-41948B3D034A}" name="Column2520"/>
    <tableColumn id="2526" xr3:uid="{1B1C662C-3A41-49C7-B312-182CFC531E53}" name="Column2521"/>
    <tableColumn id="2527" xr3:uid="{1DB58BDB-939F-4417-BC9D-2C7D638119C5}" name="Column2522"/>
    <tableColumn id="2528" xr3:uid="{95832F6C-F3AD-4D20-8FEF-48FA1DCE111D}" name="Column2523"/>
    <tableColumn id="2529" xr3:uid="{37B0B7D4-BF16-450F-9BED-C679103EA74B}" name="Column2524"/>
    <tableColumn id="2530" xr3:uid="{1E0A573E-8141-416A-A608-11DF006DBE32}" name="Column2525"/>
    <tableColumn id="2531" xr3:uid="{A18C278D-EADC-4BDA-A86D-815A05D3FE08}" name="Column2526"/>
    <tableColumn id="2532" xr3:uid="{0D5ED1A8-36E7-4C03-AA13-65510095E208}" name="Column2527"/>
    <tableColumn id="2533" xr3:uid="{4EB43CFD-D6E2-4CC3-8E8D-90909491C15C}" name="Column2528"/>
    <tableColumn id="2534" xr3:uid="{33F9F90B-2083-4A83-8D80-D6C30E1FE0B8}" name="Column2529"/>
    <tableColumn id="2535" xr3:uid="{579E1C07-D64A-4F42-AC88-C3FAB5A997EC}" name="Column2530"/>
    <tableColumn id="2536" xr3:uid="{2589E591-CB72-4265-87FF-A560EA1B22CF}" name="Column2531"/>
    <tableColumn id="2537" xr3:uid="{3B5C1807-6814-4C8E-81A8-94CCBC67488D}" name="Column2532"/>
    <tableColumn id="2538" xr3:uid="{F8805671-78ED-4546-8256-B59C5594585D}" name="Column2533"/>
    <tableColumn id="2539" xr3:uid="{5E80CD1B-B6F1-4CE6-AC12-190B15CAD37F}" name="Column2534"/>
    <tableColumn id="2540" xr3:uid="{29AF8CAD-D073-412B-AB9D-D284974017AF}" name="Column2535"/>
    <tableColumn id="2541" xr3:uid="{738A50E6-D6C3-4726-B447-B4E3DABBC0CE}" name="Column2536"/>
    <tableColumn id="2542" xr3:uid="{A0D82A04-FE89-4A06-B4B2-1D4A16950359}" name="Column2537"/>
    <tableColumn id="2543" xr3:uid="{67A6421A-3B5C-4925-9525-4BC8DA119E16}" name="Column2538"/>
    <tableColumn id="2544" xr3:uid="{A7AB967C-10CF-424D-8BD9-AB2FBA57049E}" name="Column2539"/>
    <tableColumn id="2545" xr3:uid="{EED9F314-5AFC-41CB-B292-A804EDBE64D6}" name="Column2540"/>
    <tableColumn id="2546" xr3:uid="{4DF92648-31C6-4E48-8AA5-EDBCE0D6DDAC}" name="Column2541"/>
    <tableColumn id="2547" xr3:uid="{7E36B1E4-A56F-4A7B-9157-C3A7549BC43A}" name="Column2542"/>
    <tableColumn id="2548" xr3:uid="{14760845-8C26-43E0-9471-077B00FD6851}" name="Column2543"/>
    <tableColumn id="2549" xr3:uid="{B9D9BAF4-DDA9-414E-8B4E-D4697CFC2FD6}" name="Column2544"/>
    <tableColumn id="2550" xr3:uid="{F8446B84-5120-4CD6-A9D6-B51DC3E5A61D}" name="Column2545"/>
    <tableColumn id="2551" xr3:uid="{F906D1FD-9CED-436B-BCD1-1C2DD671CCBA}" name="Column2546"/>
    <tableColumn id="2552" xr3:uid="{1DA3600F-DE72-4E94-9A87-1DF282042D12}" name="Column2547"/>
    <tableColumn id="2553" xr3:uid="{86340975-971D-493B-804E-04F33863E9DD}" name="Column2548"/>
    <tableColumn id="2554" xr3:uid="{411C5BE2-DFD1-400D-9C5B-9444B516C4AA}" name="Column2549"/>
    <tableColumn id="2555" xr3:uid="{695C423D-BDEE-4E88-82E7-9892A6BC83BE}" name="Column2550"/>
    <tableColumn id="2556" xr3:uid="{B3A3ED83-D4C0-42E8-889A-61CCCF239500}" name="Column2551"/>
    <tableColumn id="2557" xr3:uid="{A50A8C5D-3780-4BA1-83CD-9D17C3E2349D}" name="Column2552"/>
    <tableColumn id="2558" xr3:uid="{5EA239FF-12F8-47CA-8BCE-CE0E62ECFE17}" name="Column2553"/>
    <tableColumn id="2559" xr3:uid="{93451AAB-4EC5-49B4-9BB7-A3CC5C06003C}" name="Column2554"/>
    <tableColumn id="2560" xr3:uid="{F6E9D864-7592-45B5-8362-7360812CEC56}" name="Column2555"/>
    <tableColumn id="2561" xr3:uid="{056F6AAE-2401-45C3-9769-2B7C9F15916E}" name="Column2556"/>
    <tableColumn id="2562" xr3:uid="{332347D0-F6EB-4E12-B9E0-10C9E159FA36}" name="Column2557"/>
    <tableColumn id="2563" xr3:uid="{69D572AF-B2B3-49C5-9150-F67224E27847}" name="Column2558"/>
    <tableColumn id="2564" xr3:uid="{9F255EB4-2450-4B0D-B8B8-824946AA527C}" name="Column2559"/>
    <tableColumn id="2565" xr3:uid="{C676A5AF-958C-436C-BEF1-6E6F39490C39}" name="Column2560"/>
    <tableColumn id="2566" xr3:uid="{01D8300B-3CB2-4501-B665-738A6C5221D3}" name="Column2561"/>
    <tableColumn id="2567" xr3:uid="{4338CABE-B6B7-44F5-A07C-E2146D758B92}" name="Column2562"/>
    <tableColumn id="2568" xr3:uid="{E640055E-1244-4DF9-9D01-8AA7B830D887}" name="Column2563"/>
    <tableColumn id="2569" xr3:uid="{6EA94A10-50DF-4100-974C-A68965BE227D}" name="Column2564"/>
    <tableColumn id="2570" xr3:uid="{5867121A-0690-4231-837F-8134D867BF1A}" name="Column2565"/>
    <tableColumn id="2571" xr3:uid="{E3A28B8B-8A22-47FD-88E2-D0CC2EB569EB}" name="Column2566"/>
    <tableColumn id="2572" xr3:uid="{CBC8F955-32FE-44B1-A2CC-D9F9B541D3D4}" name="Column2567"/>
    <tableColumn id="2573" xr3:uid="{4EB2CE8C-BE0C-4BEB-8F69-B0EBF61FBF17}" name="Column2568"/>
    <tableColumn id="2574" xr3:uid="{0DCFEE05-302D-433A-BCE2-D1E7DE4D1D2A}" name="Column2569"/>
    <tableColumn id="2575" xr3:uid="{C16C8FFB-F0D9-443E-9365-2312837E2744}" name="Column2570"/>
    <tableColumn id="2576" xr3:uid="{05FCD56E-6B96-4FA4-BD0E-9670640DCAD0}" name="Column2571"/>
    <tableColumn id="2577" xr3:uid="{52B36384-3D34-403B-A735-770E5361733B}" name="Column2572"/>
    <tableColumn id="2578" xr3:uid="{DF61689C-2061-4F48-A0B4-8760A4FA8228}" name="Column2573"/>
    <tableColumn id="2579" xr3:uid="{36794FD4-6308-49F4-A405-3617FAF0C16D}" name="Column2574"/>
    <tableColumn id="2580" xr3:uid="{E252E067-ABCE-4EF5-8FD7-0DAA5D38BAF8}" name="Column2575"/>
    <tableColumn id="2581" xr3:uid="{038CB848-C112-4DAE-BB34-716616DC03FB}" name="Column2576"/>
    <tableColumn id="2582" xr3:uid="{3B0E3FA4-282D-479C-BC3D-74F062A82CA1}" name="Column2577"/>
    <tableColumn id="2583" xr3:uid="{91CFEED2-E776-4069-90A5-F384DAE5BF1F}" name="Column2578"/>
    <tableColumn id="2584" xr3:uid="{3C188531-2E42-451D-A541-8C9187903853}" name="Column2579"/>
    <tableColumn id="2585" xr3:uid="{F6F42047-3258-49D7-9D57-FF00C51780B7}" name="Column2580"/>
    <tableColumn id="2586" xr3:uid="{AFFE6985-3BDB-4AF6-95AC-B2559745C36B}" name="Column2581"/>
    <tableColumn id="2587" xr3:uid="{A575B1CB-F049-4C9C-94CD-143D8C5B2B15}" name="Column2582"/>
    <tableColumn id="2588" xr3:uid="{8CD53B77-8680-4137-B4DA-751415079BED}" name="Column2583"/>
    <tableColumn id="2589" xr3:uid="{B79EF127-270B-4906-9DF0-B0D03BEFBFDE}" name="Column2584"/>
    <tableColumn id="2590" xr3:uid="{B47FCC9F-D9F6-4EC6-B965-38EC9F64C5CF}" name="Column2585"/>
    <tableColumn id="2591" xr3:uid="{7263EC2B-A813-4FEB-BE18-C453DDE3E9B4}" name="Column2586"/>
    <tableColumn id="2592" xr3:uid="{0237EADF-256B-4FC3-AD44-B448FF11A37F}" name="Column2587"/>
    <tableColumn id="2593" xr3:uid="{69560095-54F2-4D0D-854C-7FD4385E73C0}" name="Column2588"/>
    <tableColumn id="2594" xr3:uid="{FDBD0D32-5ED8-44B3-92E2-E7168289EB11}" name="Column2589"/>
    <tableColumn id="2595" xr3:uid="{D06F37E5-A8B1-487B-BAAA-FB21C83F2BB1}" name="Column2590"/>
    <tableColumn id="2596" xr3:uid="{3A010F73-8240-46CC-9FDE-FE8BBA3E66C2}" name="Column2591"/>
    <tableColumn id="2597" xr3:uid="{B2371E9F-9525-4EF4-8D20-8C012E7766CA}" name="Column2592"/>
    <tableColumn id="2598" xr3:uid="{6EB87926-13F0-482E-95DD-81DFFA392C58}" name="Column2593"/>
    <tableColumn id="2599" xr3:uid="{8AA5CFF1-2C90-4A0D-B32A-E9A6782C6E69}" name="Column2594"/>
    <tableColumn id="2600" xr3:uid="{F8C5893C-9A46-4628-B82B-8EE90C01788B}" name="Column2595"/>
    <tableColumn id="2601" xr3:uid="{99C3B44A-D089-452B-830E-8B32EECD588D}" name="Column2596"/>
    <tableColumn id="2602" xr3:uid="{17744C38-66CB-461D-A990-EB606CAFA93E}" name="Column2597"/>
    <tableColumn id="2603" xr3:uid="{86F8F3A9-FFC7-4169-BFE9-659048F449E1}" name="Column2598"/>
    <tableColumn id="2604" xr3:uid="{D7BEB4B6-8FE3-4AA4-A140-04EB21BC7632}" name="Column2599"/>
    <tableColumn id="2605" xr3:uid="{F4767020-370F-4113-9EB2-F0D598D1F3B2}" name="Column2600"/>
    <tableColumn id="2606" xr3:uid="{ADD3DB15-D44C-45C0-9209-AE54FEE8373B}" name="Column2601"/>
    <tableColumn id="2607" xr3:uid="{C262FFAB-A1DB-4FF1-BE51-F2FEA4BCBE1E}" name="Column2602"/>
    <tableColumn id="2608" xr3:uid="{0103A358-DD6B-45A3-94F3-3CBE4A05C5C6}" name="Column2603"/>
    <tableColumn id="2609" xr3:uid="{301F1575-4EE7-4FFD-9A60-9492532652EA}" name="Column2604"/>
    <tableColumn id="2610" xr3:uid="{12523A97-226D-4342-871C-8108DE6E4E76}" name="Column2605"/>
    <tableColumn id="2611" xr3:uid="{A4705F38-0C92-4645-AED2-D937FC0CD842}" name="Column2606"/>
    <tableColumn id="2612" xr3:uid="{972E25C4-44E7-49E8-B132-8A92EC5CDE1E}" name="Column2607"/>
    <tableColumn id="2613" xr3:uid="{7F1DDA24-6375-485F-8419-883F8F65094C}" name="Column2608"/>
    <tableColumn id="2614" xr3:uid="{85154CBE-D4B8-44B9-B797-AFA2181736AB}" name="Column2609"/>
    <tableColumn id="2615" xr3:uid="{B59E21B4-64F9-4E04-9330-8BF80975C033}" name="Column2610"/>
    <tableColumn id="2616" xr3:uid="{073985C9-B2A0-4432-A629-DE3E1A2C0D52}" name="Column2611"/>
    <tableColumn id="2617" xr3:uid="{A5EC9176-7821-486C-AE95-9530EF9D61DC}" name="Column2612"/>
    <tableColumn id="2618" xr3:uid="{4396FABA-C1F2-4FF2-93EE-67C778CA66F0}" name="Column2613"/>
    <tableColumn id="2619" xr3:uid="{99DAF75F-5E2C-4743-AE4A-D650C2605171}" name="Column2614"/>
    <tableColumn id="2620" xr3:uid="{8A8DD29D-9D8C-4B23-90B4-5F0B973A4117}" name="Column2615"/>
    <tableColumn id="2621" xr3:uid="{B0589EFD-D3C3-4B41-81AE-6E4A19124EFE}" name="Column2616"/>
    <tableColumn id="2622" xr3:uid="{22CAC07C-D087-4C17-94BA-5D376B46B91A}" name="Column2617"/>
    <tableColumn id="2623" xr3:uid="{7C6ABABF-BCDF-476A-92F3-11647C50BC65}" name="Column2618"/>
    <tableColumn id="2624" xr3:uid="{BA727A7B-0566-4736-BDAD-1A15E11A7494}" name="Column2619"/>
    <tableColumn id="2625" xr3:uid="{4FAAB660-A282-4B39-9C8A-C99015A39884}" name="Column2620"/>
    <tableColumn id="2626" xr3:uid="{B7F77425-D0C9-434F-BB43-E049DE359949}" name="Column2621"/>
    <tableColumn id="2627" xr3:uid="{38A33B4F-B116-43F0-8EDA-D4B275FDAB71}" name="Column2622"/>
    <tableColumn id="2628" xr3:uid="{BE3C9570-F0CC-4331-AA98-9AC61A98AD11}" name="Column2623"/>
    <tableColumn id="2629" xr3:uid="{045AE370-2B1F-4DD7-A3DD-F6473980BF47}" name="Column2624"/>
    <tableColumn id="2630" xr3:uid="{ED8E4B02-2837-44A8-B95B-F762AAF59829}" name="Column2625"/>
    <tableColumn id="2631" xr3:uid="{F3455AF1-1647-460F-A66A-6F6C9FD3DAAB}" name="Column2626"/>
    <tableColumn id="2632" xr3:uid="{6F9D0F0F-687B-4EE3-8EBE-D8876180A856}" name="Column2627"/>
    <tableColumn id="2633" xr3:uid="{C5B9241A-1AF6-4145-9100-BE6AC57CDAAA}" name="Column2628"/>
    <tableColumn id="2634" xr3:uid="{5205B43E-2B03-4B1E-BA58-073FEC85270A}" name="Column2629"/>
    <tableColumn id="2635" xr3:uid="{3E2B92C9-EB31-49BB-AC45-85596777A53E}" name="Column2630"/>
    <tableColumn id="2636" xr3:uid="{D152D950-CF92-4AF6-9583-AFF5B65EF925}" name="Column2631"/>
    <tableColumn id="2637" xr3:uid="{E8D807C1-AD57-4F74-A445-EA20FB9025DD}" name="Column2632"/>
    <tableColumn id="2638" xr3:uid="{1199367F-259C-4B7B-9395-836C9F5EC74E}" name="Column2633"/>
    <tableColumn id="2639" xr3:uid="{06952C3F-6127-402A-BCFF-F2AB2112D4B1}" name="Column2634"/>
    <tableColumn id="2640" xr3:uid="{738F90E4-B3F0-4055-9F14-9A3A667F0DE0}" name="Column2635"/>
    <tableColumn id="2641" xr3:uid="{FFFC9FE0-12D6-4AC1-85D7-FFB4C09AB176}" name="Column2636"/>
    <tableColumn id="2642" xr3:uid="{6F343072-A343-4E4D-9C3C-6F17AC2DB874}" name="Column2637"/>
    <tableColumn id="2643" xr3:uid="{C88D96DE-0404-4E8D-8A44-BC8349206A61}" name="Column2638"/>
    <tableColumn id="2644" xr3:uid="{58F6BA79-C9C4-4B49-A118-0590B46D9B90}" name="Column2639"/>
    <tableColumn id="2645" xr3:uid="{CD6E4396-C4D6-4CF0-9158-3A6195581E60}" name="Column2640"/>
    <tableColumn id="2646" xr3:uid="{934D4AFF-D1A1-4B8A-8991-A9B030D553A1}" name="Column2641"/>
    <tableColumn id="2647" xr3:uid="{D93FE3B2-82CC-43EB-A1D1-6780781FA875}" name="Column2642"/>
    <tableColumn id="2648" xr3:uid="{E0C5FC53-605C-4FC3-9A5C-99DB053E1ADC}" name="Column2643"/>
    <tableColumn id="2649" xr3:uid="{83F756F4-F06D-4D4D-99D2-7CF6D40DC424}" name="Column2644"/>
    <tableColumn id="2650" xr3:uid="{8B4F762F-836A-44E4-A49F-A76670BCA3AE}" name="Column2645"/>
    <tableColumn id="2651" xr3:uid="{84F0176C-FC47-400D-B689-D936624528A2}" name="Column2646"/>
    <tableColumn id="2652" xr3:uid="{43EBC1FF-C7C7-4C77-BAC8-62EC4C1B966D}" name="Column2647"/>
    <tableColumn id="2653" xr3:uid="{6C59EC6E-8787-4EE7-A5D9-E00A4B1890DC}" name="Column2648"/>
    <tableColumn id="2654" xr3:uid="{57DF74AF-45E9-4817-A52B-3141DFDBDD11}" name="Column2649"/>
    <tableColumn id="2655" xr3:uid="{BCAC37BE-6951-403A-9072-D8FF12089DA1}" name="Column2650"/>
    <tableColumn id="2656" xr3:uid="{34ECCA61-AD55-4E52-9E8C-7F9D2FAC3CBC}" name="Column2651"/>
    <tableColumn id="2657" xr3:uid="{B0284C50-6957-4550-BE01-423BF19B1CF9}" name="Column2652"/>
    <tableColumn id="2658" xr3:uid="{4613F983-AC7F-4085-A7AC-86A06E50376E}" name="Column2653"/>
    <tableColumn id="2659" xr3:uid="{2B7F0C49-D38B-4B47-ACA7-538DEA95D6C5}" name="Column2654"/>
    <tableColumn id="2660" xr3:uid="{0B8CB528-7141-4157-921A-95720A3A3DDA}" name="Column2655"/>
    <tableColumn id="2661" xr3:uid="{F280EFC0-0C2B-45D5-86B4-0B20D7D3FE93}" name="Column2656"/>
    <tableColumn id="2662" xr3:uid="{10330A3E-2EF3-41D8-8AEC-2A76274D9ABF}" name="Column2657"/>
    <tableColumn id="2663" xr3:uid="{0E2FEF9D-D77B-4C70-BD9E-8DAF5B280DFC}" name="Column2658"/>
    <tableColumn id="2664" xr3:uid="{382B950B-50CE-43A0-8C3C-8DD146EB452B}" name="Column2659"/>
    <tableColumn id="2665" xr3:uid="{B91F84DB-8607-40CF-B4DE-77D22D02ACF4}" name="Column2660"/>
    <tableColumn id="2666" xr3:uid="{BAA7305D-D4E9-4CD4-B21C-52D5992C39A4}" name="Column2661"/>
    <tableColumn id="2667" xr3:uid="{8014B60E-4C73-4E97-936F-199AE4EB9658}" name="Column2662"/>
    <tableColumn id="2668" xr3:uid="{F3F4049D-5589-45BC-9BF2-7A2C0DD6EC90}" name="Column2663"/>
    <tableColumn id="2669" xr3:uid="{99719304-7220-4640-BF85-225AF546B500}" name="Column2664"/>
    <tableColumn id="2670" xr3:uid="{2333BDE2-E6B4-4845-AD38-129980DC5BED}" name="Column2665"/>
    <tableColumn id="2671" xr3:uid="{6C8F205F-0729-4E59-B4A7-6CCCE6EC4956}" name="Column2666"/>
    <tableColumn id="2672" xr3:uid="{09B777F8-7AFF-4A1B-A196-EED0F3EA1EE2}" name="Column2667"/>
    <tableColumn id="2673" xr3:uid="{2889F940-B1E7-4A1A-B6A3-D0DAF922E087}" name="Column2668"/>
    <tableColumn id="2674" xr3:uid="{C0DF86C2-7134-45FA-8AB2-7210853DAD47}" name="Column2669"/>
    <tableColumn id="2675" xr3:uid="{071EA382-5C7E-44DA-AF6D-0C5A5FAEAE2A}" name="Column2670"/>
    <tableColumn id="2676" xr3:uid="{B05D7AE6-D1C2-4BC6-B16D-5D07FDCCF752}" name="Column2671"/>
    <tableColumn id="2677" xr3:uid="{E1DADF9E-E77E-460F-97E8-5C8411060D09}" name="Column2672"/>
    <tableColumn id="2678" xr3:uid="{593EC54E-247D-4633-821C-7DCDBA687F6C}" name="Column2673"/>
    <tableColumn id="2679" xr3:uid="{A0C673AD-B334-44A0-B85F-86642E9D1741}" name="Column2674"/>
    <tableColumn id="2680" xr3:uid="{DA888033-AD02-4340-9A65-40FFB1FDAA7A}" name="Column2675"/>
    <tableColumn id="2681" xr3:uid="{C0C75002-068E-491B-80DC-00ACB6017C64}" name="Column2676"/>
    <tableColumn id="2682" xr3:uid="{C75393A6-45FF-412F-8EEF-9EEE9006BC7F}" name="Column2677"/>
    <tableColumn id="2683" xr3:uid="{EA6891C6-A0C8-4D42-BB0A-8B838815DAEA}" name="Column2678"/>
    <tableColumn id="2684" xr3:uid="{34D862E6-9BDC-480B-B32A-E8AB0F6933DB}" name="Column2679"/>
    <tableColumn id="2685" xr3:uid="{E4C0BB5E-8C8D-4310-89CF-CE114D9A75AF}" name="Column2680"/>
    <tableColumn id="2686" xr3:uid="{409F4CC6-8F36-44A4-A4C6-46BD33B7261C}" name="Column2681"/>
    <tableColumn id="2687" xr3:uid="{7C742FAA-90BC-476B-A9F8-6BB2247579C4}" name="Column2682"/>
    <tableColumn id="2688" xr3:uid="{B2578380-39D4-4711-A51D-1B7B76DFC365}" name="Column2683"/>
    <tableColumn id="2689" xr3:uid="{4F4108A6-FA12-48F2-81E6-1D4899B904DD}" name="Column2684"/>
    <tableColumn id="2690" xr3:uid="{287B56C2-C509-4B10-A5D4-C5459CB15DA5}" name="Column2685"/>
    <tableColumn id="2691" xr3:uid="{319BA86A-35E7-4516-91DC-05CA62905AAE}" name="Column2686"/>
    <tableColumn id="2692" xr3:uid="{51F4512F-FF0E-427E-97FD-6AF669C11E58}" name="Column2687"/>
    <tableColumn id="2693" xr3:uid="{F51BFE48-2EB3-4EE7-B6A5-C89885FA5D8D}" name="Column2688"/>
    <tableColumn id="2694" xr3:uid="{B069B57C-EF83-474A-99EA-E94802DD0C8B}" name="Column2689"/>
    <tableColumn id="2695" xr3:uid="{640B6516-736D-4E1C-989E-54C81F5AB20F}" name="Column2690"/>
    <tableColumn id="2696" xr3:uid="{87169FE7-3617-4343-AAC2-C4D6EF73A663}" name="Column2691"/>
    <tableColumn id="2697" xr3:uid="{14B74EF4-2976-4B8C-B16A-CB660EBEE7CF}" name="Column2692"/>
    <tableColumn id="2698" xr3:uid="{67B3C171-5990-4010-A4AF-AC85A5300B08}" name="Column2693"/>
    <tableColumn id="2699" xr3:uid="{CC9B1B5D-4DAD-4D5B-9CF7-D07DF24DB5C2}" name="Column2694"/>
    <tableColumn id="2700" xr3:uid="{4FD0DD90-BC22-42A0-A96D-AAE9300FDFB6}" name="Column2695"/>
    <tableColumn id="2701" xr3:uid="{AEC2066C-3CD6-4D1C-9138-5B38E5A3E6BB}" name="Column2696"/>
    <tableColumn id="2702" xr3:uid="{57C6D7EA-F895-4F13-BE0B-C69ED86AB0FB}" name="Column2697"/>
    <tableColumn id="2703" xr3:uid="{0583976F-9A78-4478-B198-61699EDD2CD0}" name="Column2698"/>
    <tableColumn id="2704" xr3:uid="{8ABC4A63-6D04-4441-8C1F-8FB2054D562C}" name="Column2699"/>
    <tableColumn id="2705" xr3:uid="{2F862AEA-7193-4F24-9590-D140237E015A}" name="Column2700"/>
    <tableColumn id="2706" xr3:uid="{563F52F2-B214-44B5-8F7A-7AF36FE9BC14}" name="Column2701"/>
    <tableColumn id="2707" xr3:uid="{1C06C101-CEBE-46D8-8DD1-85F859CB53CA}" name="Column2702"/>
    <tableColumn id="2708" xr3:uid="{B8F6DFC9-DF88-4F6F-B4A5-CA84281DD841}" name="Column2703"/>
    <tableColumn id="2709" xr3:uid="{4E452D4C-9281-4ED1-8DFD-9AA6E2385957}" name="Column2704"/>
    <tableColumn id="2710" xr3:uid="{C5E7E149-67F4-42FA-AC50-3EBF4942D2F6}" name="Column2705"/>
    <tableColumn id="2711" xr3:uid="{687C7EF0-771C-406F-BF3C-EDB04C0D6C3F}" name="Column2706"/>
    <tableColumn id="2712" xr3:uid="{FB7BF046-D906-4394-AF23-216A8E9F9776}" name="Column2707"/>
    <tableColumn id="2713" xr3:uid="{8FF48901-2F74-4B1E-B6F0-EF8184E53CC6}" name="Column2708"/>
    <tableColumn id="2714" xr3:uid="{09A67117-819D-4981-B6BC-04328712239C}" name="Column2709"/>
    <tableColumn id="2715" xr3:uid="{748C933F-124C-40EC-8DB2-D151E2B5E339}" name="Column2710"/>
    <tableColumn id="2716" xr3:uid="{4E65F996-E077-456B-A7EB-188A45503001}" name="Column2711"/>
    <tableColumn id="2717" xr3:uid="{D9A2A659-3022-4642-94B5-AC2D69AB643D}" name="Column2712"/>
    <tableColumn id="2718" xr3:uid="{9BEA4DE4-48DE-48F6-991E-53C6ACCF6298}" name="Column2713"/>
    <tableColumn id="2719" xr3:uid="{EA6BFDB3-DA96-40D2-BCC2-B9336DC498F3}" name="Column2714"/>
    <tableColumn id="2720" xr3:uid="{D03698B0-D104-43B5-A9A0-BB97BE19A8DE}" name="Column2715"/>
    <tableColumn id="2721" xr3:uid="{9A3C2BBB-DB5E-4862-88F0-ECEF15392A26}" name="Column2716"/>
    <tableColumn id="2722" xr3:uid="{E20C66AF-AAB6-4F31-9C27-D055DC57DC76}" name="Column2717"/>
    <tableColumn id="2723" xr3:uid="{1F88CD79-CFCF-4C04-BDE2-1AEFEC7EBC0C}" name="Column2718"/>
    <tableColumn id="2724" xr3:uid="{92BC2910-25EC-4BF4-8430-8FECF2B9CFA1}" name="Column2719"/>
    <tableColumn id="2725" xr3:uid="{763AE77F-85B2-4211-BC27-906A0ECCC58C}" name="Column2720"/>
    <tableColumn id="2726" xr3:uid="{E293C613-4C47-4271-95DD-376CDBB99D33}" name="Column2721"/>
    <tableColumn id="2727" xr3:uid="{F2AF33F5-943F-455C-A878-6C08534833D9}" name="Column2722"/>
    <tableColumn id="2728" xr3:uid="{74CECD0F-DEF3-498D-9106-EED8D1A4355D}" name="Column2723"/>
    <tableColumn id="2729" xr3:uid="{8EDE901C-379D-4126-8EBA-5CA6953FF3F6}" name="Column2724"/>
    <tableColumn id="2730" xr3:uid="{AC517AA5-60DF-4534-B7B8-64F1A82AC1EE}" name="Column2725"/>
    <tableColumn id="2731" xr3:uid="{388DFA70-FDF7-444A-A2F8-93C7ACCF05D5}" name="Column2726"/>
    <tableColumn id="2732" xr3:uid="{15BDDE44-8A69-4716-8B8B-F3085BC618A6}" name="Column2727"/>
    <tableColumn id="2733" xr3:uid="{2E519FC5-1D3B-407C-904B-82C2964D527B}" name="Column2728"/>
    <tableColumn id="2734" xr3:uid="{FB43F12B-F823-410B-8E53-F5E88C94AD10}" name="Column2729"/>
    <tableColumn id="2735" xr3:uid="{76AEE256-1C6A-41D7-A046-AAE5201B06FB}" name="Column2730"/>
    <tableColumn id="2736" xr3:uid="{E555F5E8-9E11-4BC0-B406-676B8B60A18B}" name="Column2731"/>
    <tableColumn id="2737" xr3:uid="{2C81A176-C881-4385-B050-F670D84879C2}" name="Column2732"/>
    <tableColumn id="2738" xr3:uid="{E490D877-0E12-4F05-95BB-49DC31C8E631}" name="Column2733"/>
    <tableColumn id="2739" xr3:uid="{8E63D3C6-ECBB-4945-9AAB-DE991855ABB4}" name="Column2734"/>
    <tableColumn id="2740" xr3:uid="{D0D6499C-10BA-46AA-9AC2-4E26DC989AFF}" name="Column2735"/>
    <tableColumn id="2741" xr3:uid="{3FC14FE3-9B19-4FB9-A723-1FA77DD92AB6}" name="Column2736"/>
    <tableColumn id="2742" xr3:uid="{4B3686CD-5303-40EA-84FE-9AACB8B6C138}" name="Column2737"/>
    <tableColumn id="2743" xr3:uid="{FE8D9DB3-5E87-4F25-9CA8-CB53B0742BEF}" name="Column2738"/>
    <tableColumn id="2744" xr3:uid="{E9E485E6-D6E7-4A80-8D7C-567185E65DD3}" name="Column2739"/>
    <tableColumn id="2745" xr3:uid="{9310B9D2-67C1-4709-BC76-7E1045544F97}" name="Column2740"/>
    <tableColumn id="2746" xr3:uid="{3210633F-EE8C-4103-BC1D-0A1E53D473D3}" name="Column2741"/>
    <tableColumn id="2747" xr3:uid="{B89E906C-0FAA-40A8-87D5-CF772DF96098}" name="Column2742"/>
    <tableColumn id="2748" xr3:uid="{76D80C3C-3ADF-4891-AA31-BC6BF6AC1EDA}" name="Column2743"/>
    <tableColumn id="2749" xr3:uid="{CD347AED-D2CA-4FC7-82E4-02EC325BDCBA}" name="Column2744"/>
    <tableColumn id="2750" xr3:uid="{7AAB6E23-BD73-43A6-9875-9565B3B404A2}" name="Column2745"/>
    <tableColumn id="2751" xr3:uid="{F49DB2DB-B789-4BA6-922D-A7B86ABF7B52}" name="Column2746"/>
    <tableColumn id="2752" xr3:uid="{544D06BC-DBA5-4DF8-865C-4CD89444FFEB}" name="Column2747"/>
    <tableColumn id="2753" xr3:uid="{7A8060D5-297C-4372-8D54-964DD6C3D9B4}" name="Column2748"/>
    <tableColumn id="2754" xr3:uid="{2F3E9D0D-F818-4642-97CB-562FCD1D329E}" name="Column2749"/>
    <tableColumn id="2755" xr3:uid="{2467BCA8-6806-42B1-8E9E-6B5599509A32}" name="Column2750"/>
    <tableColumn id="2756" xr3:uid="{8F298AF3-167A-4BB3-AD86-E58876B88EAF}" name="Column2751"/>
    <tableColumn id="2757" xr3:uid="{88C321D6-5B70-4E11-8E72-C9B8934DAE7D}" name="Column2752"/>
    <tableColumn id="2758" xr3:uid="{9F83CB91-0B83-4A11-803F-B661013AB417}" name="Column2753"/>
    <tableColumn id="2759" xr3:uid="{212E201F-F6E5-473B-866F-FE52F3164761}" name="Column2754"/>
    <tableColumn id="2760" xr3:uid="{FE9ECCD5-B121-4E74-B5BC-F9537CCCD72A}" name="Column2755"/>
    <tableColumn id="2761" xr3:uid="{7E123DC1-89C0-46DC-8C15-B7A1260EA3B3}" name="Column2756"/>
    <tableColumn id="2762" xr3:uid="{8D2968F9-30FF-4C0C-BB50-788BCE946EA5}" name="Column2757"/>
    <tableColumn id="2763" xr3:uid="{B5892A9F-3870-47F1-9BDD-45123B11AA1B}" name="Column2758"/>
    <tableColumn id="2764" xr3:uid="{A04E1456-FDA2-49A1-B7B0-8A484C92A022}" name="Column2759"/>
    <tableColumn id="2765" xr3:uid="{36B90C30-3207-464F-98F1-56D371A89E9F}" name="Column2760"/>
    <tableColumn id="2766" xr3:uid="{DC97DA5D-B0C0-4368-924F-FC9EF2B888B4}" name="Column2761"/>
    <tableColumn id="2767" xr3:uid="{E69CBE89-36DD-46E5-BC51-FA800DBA9B03}" name="Column2762"/>
    <tableColumn id="2768" xr3:uid="{AF67531F-F752-411A-AA63-00935EE5E9BF}" name="Column2763"/>
    <tableColumn id="2769" xr3:uid="{04B90938-5633-4130-BB1D-04E0219B4E92}" name="Column2764"/>
    <tableColumn id="2770" xr3:uid="{084774F0-F867-40B6-B500-91C155087DE3}" name="Column2765"/>
    <tableColumn id="2771" xr3:uid="{8483A384-0C90-4C6C-9F45-2D894E3E6D9B}" name="Column2766"/>
    <tableColumn id="2772" xr3:uid="{1D828427-85E6-4AFB-8A17-B8D0B36AA22D}" name="Column2767"/>
    <tableColumn id="2773" xr3:uid="{A3FDE87A-7960-43EA-AF7D-E6BE80B6557E}" name="Column2768"/>
    <tableColumn id="2774" xr3:uid="{A769371C-DD93-4913-A1A6-CE8447534C38}" name="Column2769"/>
    <tableColumn id="2775" xr3:uid="{8D51DF69-6C4C-4798-9F10-A6B921EB2D80}" name="Column2770"/>
    <tableColumn id="2776" xr3:uid="{E17F138A-9E27-47E4-BA28-985764E5C768}" name="Column2771"/>
    <tableColumn id="2777" xr3:uid="{C8AFA813-4A09-4560-AF03-84554BE02DF8}" name="Column2772"/>
    <tableColumn id="2778" xr3:uid="{4D0DBA5E-2FA8-489A-BDE6-CEC3B9D8BD1D}" name="Column2773"/>
    <tableColumn id="2779" xr3:uid="{8C55ECA7-E605-43CE-BE63-F8AAB76ACAE7}" name="Column2774"/>
    <tableColumn id="2780" xr3:uid="{C4DB67D0-507D-430B-9C13-DA0E87CB44F9}" name="Column2775"/>
    <tableColumn id="2781" xr3:uid="{883F6696-57D6-4D81-B29A-0EB0648365FA}" name="Column2776"/>
    <tableColumn id="2782" xr3:uid="{5DD0809A-D43B-4106-AA78-8B94F44113B6}" name="Column2777"/>
    <tableColumn id="2783" xr3:uid="{A133FFB6-B03B-414F-81E3-4EBE6FC0407E}" name="Column2778"/>
    <tableColumn id="2784" xr3:uid="{CD1E9F3F-BB02-4BA4-AAA3-2F567C6FF5F2}" name="Column2779"/>
    <tableColumn id="2785" xr3:uid="{BB3E86AF-9A4D-4269-9BC8-2EB85442CC41}" name="Column2780"/>
    <tableColumn id="2786" xr3:uid="{8C5D8C97-7AA9-4CD9-879A-317DB04A258C}" name="Column2781"/>
    <tableColumn id="2787" xr3:uid="{B9F1D0B7-4F2D-46CD-9D8F-5E46D199886B}" name="Column2782"/>
    <tableColumn id="2788" xr3:uid="{7408BD90-7FA0-4EB9-A2E5-653B4A977AAD}" name="Column2783"/>
    <tableColumn id="2789" xr3:uid="{BC861470-4D4D-48BA-B8EF-7BCB743778D0}" name="Column2784"/>
    <tableColumn id="2790" xr3:uid="{435367DF-7B65-4D1A-9A9B-4CD736A9CFD4}" name="Column2785"/>
    <tableColumn id="2791" xr3:uid="{279C0324-1F16-4B59-9D72-B05E4982BECA}" name="Column2786"/>
    <tableColumn id="2792" xr3:uid="{40DDBBF8-7E7E-4B80-81AB-8F465F4196F1}" name="Column2787"/>
    <tableColumn id="2793" xr3:uid="{2FD0B066-90F9-4D27-9F34-ED6C5213C801}" name="Column2788"/>
    <tableColumn id="2794" xr3:uid="{ED95B811-2419-469B-AB48-3734FF84232C}" name="Column2789"/>
    <tableColumn id="2795" xr3:uid="{3F659CAA-526B-4C7E-9B40-BAE1240E0DB1}" name="Column2790"/>
    <tableColumn id="2796" xr3:uid="{B1FAEB4D-B29D-4A14-87DB-735AAD95467E}" name="Column2791"/>
    <tableColumn id="2797" xr3:uid="{812AD4AA-DAC0-4B68-A7E4-D4DF599EBF56}" name="Column2792"/>
    <tableColumn id="2798" xr3:uid="{E1365BA4-F73B-4FE9-AF8C-E111971B33F4}" name="Column2793"/>
    <tableColumn id="2799" xr3:uid="{8E75BBC5-15BB-473F-8817-4049200680D6}" name="Column2794"/>
    <tableColumn id="2800" xr3:uid="{423B51B7-BB9D-46FA-8845-FA49280254FA}" name="Column2795"/>
    <tableColumn id="2801" xr3:uid="{65DF0DC9-745C-451C-BE2E-1F1A994F0307}" name="Column2796"/>
    <tableColumn id="2802" xr3:uid="{2A6247DA-9CF1-4403-BCE7-D07C1BBEF2A0}" name="Column2797"/>
    <tableColumn id="2803" xr3:uid="{FBD80C74-0FB4-4CA2-964A-FE9CD8A45803}" name="Column2798"/>
    <tableColumn id="2804" xr3:uid="{87916A79-8C60-4E33-8F05-F3BD38B95BDB}" name="Column2799"/>
    <tableColumn id="2805" xr3:uid="{B42D85ED-823E-4FC3-A3A1-105908D2933B}" name="Column2800"/>
    <tableColumn id="2806" xr3:uid="{3ED5280E-6F72-4941-8DD4-F69217384DCF}" name="Column2801"/>
    <tableColumn id="2807" xr3:uid="{858AEA38-D4BB-47ED-92B3-C8360B257CD2}" name="Column2802"/>
    <tableColumn id="2808" xr3:uid="{38A1F4AA-F525-47A2-9E3B-BC3A2A147387}" name="Column2803"/>
    <tableColumn id="2809" xr3:uid="{BC59F948-C6DF-4178-8A23-D76A700331EE}" name="Column2804"/>
    <tableColumn id="2810" xr3:uid="{23689C62-F4A2-4A27-B608-4492EBEDE8DA}" name="Column2805"/>
    <tableColumn id="2811" xr3:uid="{C4BABAE7-5BE0-4FDF-870C-519D9AD757F3}" name="Column2806"/>
    <tableColumn id="2812" xr3:uid="{882581EA-4818-4346-B32B-542D22DF9AC9}" name="Column2807"/>
    <tableColumn id="2813" xr3:uid="{FA641060-0809-4069-81C3-665E02A1A2E4}" name="Column2808"/>
    <tableColumn id="2814" xr3:uid="{BDB6D5EE-DD1E-47F9-9BC1-E648FAA88158}" name="Column2809"/>
    <tableColumn id="2815" xr3:uid="{F8F3015D-7D36-4A89-A7C8-E114A4F32529}" name="Column2810"/>
    <tableColumn id="2816" xr3:uid="{8EABBDE7-C102-4EF7-A102-2843DD046187}" name="Column2811"/>
    <tableColumn id="2817" xr3:uid="{D614B890-F3F9-4BFC-A608-A89E787543AA}" name="Column2812"/>
    <tableColumn id="2818" xr3:uid="{60CACCF2-D65E-4800-96ED-FD487EA90FDB}" name="Column2813"/>
    <tableColumn id="2819" xr3:uid="{577022E0-9643-4DCE-BC7A-C853A22A4CAA}" name="Column2814"/>
    <tableColumn id="2820" xr3:uid="{A71F5C08-BF0F-4A04-849B-2515FC9F871F}" name="Column2815"/>
    <tableColumn id="2821" xr3:uid="{AEBC0D4D-6F4A-4643-9E27-49D4D5DC9400}" name="Column2816"/>
    <tableColumn id="2822" xr3:uid="{7558E2D4-2682-4913-B4F1-3CBADD56283B}" name="Column2817"/>
    <tableColumn id="2823" xr3:uid="{EBC554E3-82BF-4969-A7B4-DDC8E4E94278}" name="Column2818"/>
    <tableColumn id="2824" xr3:uid="{CAD65424-2927-46B4-AD93-363668AA466D}" name="Column2819"/>
    <tableColumn id="2825" xr3:uid="{5559B00E-7632-4572-B208-3785964E58B1}" name="Column2820"/>
    <tableColumn id="2826" xr3:uid="{3DC05FD8-70ED-4406-AB39-305EF822FF7B}" name="Column2821"/>
    <tableColumn id="2827" xr3:uid="{3596F259-9370-4F0B-9248-8D3B00955FA6}" name="Column2822"/>
    <tableColumn id="2828" xr3:uid="{885C6162-BE32-4DF3-B97B-3BF71B6ADDAA}" name="Column2823"/>
    <tableColumn id="2829" xr3:uid="{0AF44662-F0BE-4D52-9F77-20D86B82FE8F}" name="Column2824"/>
    <tableColumn id="2830" xr3:uid="{FCAEC684-3809-42E6-95A7-99070690EDC4}" name="Column2825"/>
    <tableColumn id="2831" xr3:uid="{B9AD660D-D0F5-4BF9-B931-C3C8B2D1764E}" name="Column2826"/>
    <tableColumn id="2832" xr3:uid="{CC6BB090-FEC5-4B32-BF7E-356567592B3C}" name="Column2827"/>
    <tableColumn id="2833" xr3:uid="{1D544D0D-0327-428E-B5A1-AB0038F9F113}" name="Column2828"/>
    <tableColumn id="2834" xr3:uid="{8BF85EE4-64B1-4318-A81F-4F8FBF536291}" name="Column2829"/>
    <tableColumn id="2835" xr3:uid="{4FEA4DF3-CBBD-4C21-87D8-1F05AD33B05B}" name="Column2830"/>
    <tableColumn id="2836" xr3:uid="{3DAAB5EB-7C59-4616-A154-DB6FB9F7F56F}" name="Column2831"/>
    <tableColumn id="2837" xr3:uid="{A283BA16-BE13-4E5D-8625-D66CAEAF0B2F}" name="Column2832"/>
    <tableColumn id="2838" xr3:uid="{F2D88C1C-CF5F-478E-80B1-FE1534359586}" name="Column2833"/>
    <tableColumn id="2839" xr3:uid="{FFA59498-C9BA-4D3A-9C48-D7E295A64D43}" name="Column2834"/>
    <tableColumn id="2840" xr3:uid="{0B5B0F41-F674-4667-B9B2-B3485B83CBD4}" name="Column2835"/>
    <tableColumn id="2841" xr3:uid="{74E31AA1-4716-4CED-9EFD-232E8E4B8346}" name="Column2836"/>
    <tableColumn id="2842" xr3:uid="{105C511A-006C-4B8B-B134-B497F1B71AFB}" name="Column2837"/>
    <tableColumn id="2843" xr3:uid="{F4108D2D-1602-498F-AB4E-1A91B2B88CF5}" name="Column2838"/>
    <tableColumn id="2844" xr3:uid="{AD43AA4B-61A5-4CE8-9C53-CE59C25BFB07}" name="Column2839"/>
    <tableColumn id="2845" xr3:uid="{937AD1B7-12CC-453A-A784-3F84896007F9}" name="Column2840"/>
    <tableColumn id="2846" xr3:uid="{C6A81794-1AAE-41D4-B673-D2AC23117B24}" name="Column2841"/>
    <tableColumn id="2847" xr3:uid="{2EAA819C-786D-41BD-B3A7-7E93F7894A70}" name="Column2842"/>
    <tableColumn id="2848" xr3:uid="{D00CC941-BF60-4DA4-A310-391DC12548EC}" name="Column2843"/>
    <tableColumn id="2849" xr3:uid="{70D81574-4A31-482C-99A3-5B6C43D95267}" name="Column2844"/>
    <tableColumn id="2850" xr3:uid="{C2FE161A-599C-41DA-8846-E2D6C152433E}" name="Column2845"/>
    <tableColumn id="2851" xr3:uid="{59BE3BCE-6897-418F-ACA6-D8C4FAF89775}" name="Column2846"/>
    <tableColumn id="2852" xr3:uid="{0C08D4A1-0DED-4987-A12A-CB6AA3DEFEF6}" name="Column2847"/>
    <tableColumn id="2853" xr3:uid="{4004D1F0-84BC-41F7-8528-31F2C57C90C7}" name="Column2848"/>
    <tableColumn id="2854" xr3:uid="{A5CAAC3D-1EE5-400D-A88C-127A41D7F1FD}" name="Column2849"/>
    <tableColumn id="2855" xr3:uid="{BF97C333-8439-49D3-8B66-471BEB51979D}" name="Column2850"/>
    <tableColumn id="2856" xr3:uid="{456353D3-ECC4-4063-A1B2-72EEAA8A26F1}" name="Column2851"/>
    <tableColumn id="2857" xr3:uid="{FA05708C-17B8-492F-B57A-7CEC47B73231}" name="Column2852"/>
    <tableColumn id="2858" xr3:uid="{BF46180C-AC0D-47A6-826F-3E9A3D8A8F6C}" name="Column2853"/>
    <tableColumn id="2859" xr3:uid="{D7E9139E-2AF3-462B-86F0-F523036D7DAE}" name="Column2854"/>
    <tableColumn id="2860" xr3:uid="{766511CB-BE77-4A26-B457-A197F2154DFC}" name="Column2855"/>
    <tableColumn id="2861" xr3:uid="{DEDF1161-2708-4A43-8E4D-E4892C4CE92C}" name="Column2856"/>
    <tableColumn id="2862" xr3:uid="{D4E5A519-A676-4C63-A798-E0D4A8665718}" name="Column2857"/>
    <tableColumn id="2863" xr3:uid="{E950485E-6BE9-423C-8E72-B68C54CD9244}" name="Column2858"/>
    <tableColumn id="2864" xr3:uid="{A9B0A9BA-73E4-45EA-A2D4-48C60C152A4B}" name="Column2859"/>
    <tableColumn id="2865" xr3:uid="{435A9D40-96D0-4168-BEE3-F266034B7737}" name="Column2860"/>
    <tableColumn id="2866" xr3:uid="{EA14BE9F-881A-4510-B6BE-5D5E9074B8E1}" name="Column2861"/>
    <tableColumn id="2867" xr3:uid="{CEF1CFA5-FF41-4F02-BF31-5C2CBEECB10F}" name="Column2862"/>
    <tableColumn id="2868" xr3:uid="{C0B8F82B-C5BA-4898-93FF-4001F24AB143}" name="Column2863"/>
    <tableColumn id="2869" xr3:uid="{F5D17619-9EA4-4053-AA04-6D0DD411C75E}" name="Column2864"/>
    <tableColumn id="2870" xr3:uid="{543BEAB5-595A-4986-BD6C-16ACA1AC4A5A}" name="Column2865"/>
    <tableColumn id="2871" xr3:uid="{6FC74A28-6FEF-4BBF-B386-9176B87BD40F}" name="Column2866"/>
    <tableColumn id="2872" xr3:uid="{1B6BBF15-ED39-4DB8-BB0A-CB88D38D0C38}" name="Column2867"/>
    <tableColumn id="2873" xr3:uid="{6538ABE5-A513-4AE5-90D8-F7866EC9D895}" name="Column2868"/>
    <tableColumn id="2874" xr3:uid="{CCCE1C87-2C80-4B5C-A0BA-5124666C79F4}" name="Column2869"/>
    <tableColumn id="2875" xr3:uid="{2B77368A-6EB3-4FBD-898F-E71727B65783}" name="Column2870"/>
    <tableColumn id="2876" xr3:uid="{20DD0969-108E-46FE-9B29-934CB588E00D}" name="Column2871"/>
    <tableColumn id="2877" xr3:uid="{03B162DA-7CCF-476C-A12F-62AEC40BF370}" name="Column2872"/>
    <tableColumn id="2878" xr3:uid="{1464FBB3-17C0-4255-A30B-D88ED7ACF565}" name="Column2873"/>
    <tableColumn id="2879" xr3:uid="{F6B7F0F8-7051-433F-A08C-117A015F1FAD}" name="Column2874"/>
    <tableColumn id="2880" xr3:uid="{ECB4E92A-9CDA-4DF2-9110-C84F056813AE}" name="Column2875"/>
    <tableColumn id="2881" xr3:uid="{2DDF822E-A2A9-4383-B3F7-E440804816EA}" name="Column2876"/>
    <tableColumn id="2882" xr3:uid="{9B0E451D-08ED-49B8-B02C-DAC9BA0D31E8}" name="Column2877"/>
    <tableColumn id="2883" xr3:uid="{B1C1F362-7FDA-453D-A1CB-AD0CA9EA45A4}" name="Column2878"/>
    <tableColumn id="2884" xr3:uid="{C4ACA1EF-5FBE-4A44-9E82-C2A47FBF4C3F}" name="Column2879"/>
    <tableColumn id="2885" xr3:uid="{DA1CA712-113A-40B8-8DEC-3D0FA8310359}" name="Column2880"/>
    <tableColumn id="2886" xr3:uid="{851959B1-F81C-44A1-8984-4FCE605EA776}" name="Column2881"/>
    <tableColumn id="2887" xr3:uid="{BCDA47F7-89B4-4A2F-9D59-537575E05559}" name="Column2882"/>
    <tableColumn id="2888" xr3:uid="{12A28387-4F09-46DD-990E-54A6C9CE91B0}" name="Column2883"/>
    <tableColumn id="2889" xr3:uid="{E1414BEC-1AF9-41C9-BFA3-74F07A4A4EAF}" name="Column2884"/>
    <tableColumn id="2890" xr3:uid="{8879D818-9976-473A-AF57-D68305604F2C}" name="Column2885"/>
    <tableColumn id="2891" xr3:uid="{CD34A8B1-EF92-4849-8A56-5484C40ACFF3}" name="Column2886"/>
    <tableColumn id="2892" xr3:uid="{E0432CD6-556A-466D-8327-D7F90ADD7551}" name="Column2887"/>
    <tableColumn id="2893" xr3:uid="{77132E2F-A857-4D78-8D79-1ACF55C6B783}" name="Column2888"/>
    <tableColumn id="2894" xr3:uid="{AC938168-93CD-4C2B-B14F-DA4826FBFE39}" name="Column2889"/>
    <tableColumn id="2895" xr3:uid="{57EABFC4-6E26-424C-B5DD-8DDB48831AB1}" name="Column2890"/>
    <tableColumn id="2896" xr3:uid="{23A97072-09A7-4CBC-8868-F2DB2FA85431}" name="Column2891"/>
    <tableColumn id="2897" xr3:uid="{117F61DF-7EF9-4F3D-B42B-479F8FD23234}" name="Column2892"/>
    <tableColumn id="2898" xr3:uid="{D13568E2-00CE-4227-981D-725501BD248F}" name="Column2893"/>
    <tableColumn id="2899" xr3:uid="{5B23157D-5DD1-4A2F-9E22-DC1F1C1143D7}" name="Column2894"/>
    <tableColumn id="2900" xr3:uid="{151F80F7-9227-4D7B-9D03-17A8D0BFAF31}" name="Column2895"/>
    <tableColumn id="2901" xr3:uid="{45595F2E-2863-4561-8E21-AF772B53B912}" name="Column2896"/>
    <tableColumn id="2902" xr3:uid="{01F18996-F2DB-442B-BCC7-74DC6CB3FA16}" name="Column2897"/>
    <tableColumn id="2903" xr3:uid="{AA145BC8-76AC-4FEB-9AB5-9248E80CD4EA}" name="Column2898"/>
    <tableColumn id="2904" xr3:uid="{170555EB-4957-4552-A334-2BEE9079E40A}" name="Column2899"/>
    <tableColumn id="2905" xr3:uid="{41C382FA-17E7-4A14-9E94-D2FC74D11E84}" name="Column2900"/>
    <tableColumn id="2906" xr3:uid="{5C293363-6EB8-401D-A2B8-757E6D23C770}" name="Column2901"/>
    <tableColumn id="2907" xr3:uid="{F186248B-D938-4A39-B143-69B0FFE55126}" name="Column2902"/>
    <tableColumn id="2908" xr3:uid="{1D38F164-574D-4D06-8CE1-FD64AFBCA1BE}" name="Column2903"/>
    <tableColumn id="2909" xr3:uid="{C3DBEDF9-EF79-4674-BFA6-E39D2D38B0B4}" name="Column2904"/>
    <tableColumn id="2910" xr3:uid="{AB76BDB3-256E-4952-BD9E-69C9D06ECDE9}" name="Column2905"/>
    <tableColumn id="2911" xr3:uid="{DA0240AF-63A8-44E6-BBE8-95ADE888ACF5}" name="Column2906"/>
    <tableColumn id="2912" xr3:uid="{231CDA26-CEF9-4130-90C7-33ED08E42C77}" name="Column2907"/>
    <tableColumn id="2913" xr3:uid="{9CC7E4F9-A9A3-46CC-BE84-1372CA5FF101}" name="Column2908"/>
    <tableColumn id="2914" xr3:uid="{7E7A5605-BB46-4136-ACD6-66C87B5FECE7}" name="Column2909"/>
    <tableColumn id="2915" xr3:uid="{C32861BE-022B-441D-A014-0B7BB175D756}" name="Column2910"/>
    <tableColumn id="2916" xr3:uid="{2BFAB141-B4DC-47C6-B3B3-A36C4B1D4C1D}" name="Column2911"/>
    <tableColumn id="2917" xr3:uid="{4EAB57FA-9282-46C8-964D-4DC36CDC8866}" name="Column2912"/>
    <tableColumn id="2918" xr3:uid="{D6558DB7-C46B-48FA-8EF6-E0B7C6BCB51D}" name="Column2913"/>
    <tableColumn id="2919" xr3:uid="{3DBD0A30-0277-4F64-B045-FC4F0D50A15D}" name="Column2914"/>
    <tableColumn id="2920" xr3:uid="{BA013B2E-1455-4461-8100-73F15153ADE4}" name="Column2915"/>
    <tableColumn id="2921" xr3:uid="{F29D0BF8-EC01-40FF-9824-7B2E7E1B7619}" name="Column2916"/>
    <tableColumn id="2922" xr3:uid="{1F6C0C27-2182-4A95-9DCE-95834CE04A96}" name="Column2917"/>
    <tableColumn id="2923" xr3:uid="{C8207696-6276-41D4-8B14-A44280C2AE21}" name="Column2918"/>
    <tableColumn id="2924" xr3:uid="{57F0700F-039B-4785-853C-B7986FC0583B}" name="Column2919"/>
    <tableColumn id="2925" xr3:uid="{D59F66E5-FD2F-4D5A-A8D3-09F9315BAF83}" name="Column2920"/>
    <tableColumn id="2926" xr3:uid="{8BDFA5A2-89F2-4492-B618-51A475A37F1E}" name="Column2921"/>
    <tableColumn id="2927" xr3:uid="{FEECBCAA-D9B1-4E54-8310-4CF4AA24337D}" name="Column2922"/>
    <tableColumn id="2928" xr3:uid="{43A26369-527F-4E9B-B921-E7B5DC259E64}" name="Column2923"/>
    <tableColumn id="2929" xr3:uid="{FFEC42F1-C666-48E4-8CB1-DA8623677D5D}" name="Column2924"/>
    <tableColumn id="2930" xr3:uid="{23045D25-F297-4620-8C49-5CCE63D02EF9}" name="Column2925"/>
    <tableColumn id="2931" xr3:uid="{29688764-29E1-4819-BE4B-CCA8891787F0}" name="Column2926"/>
    <tableColumn id="2932" xr3:uid="{2AE80F70-2CE8-439D-B4FF-F7F708A120EE}" name="Column2927"/>
    <tableColumn id="2933" xr3:uid="{DC37F004-697B-4B52-A758-F623FD6C9B3F}" name="Column2928"/>
    <tableColumn id="2934" xr3:uid="{3436421A-52D4-4074-B708-DB2AB69E1BA7}" name="Column2929"/>
    <tableColumn id="2935" xr3:uid="{31D83D74-4666-4844-AB69-DE52D110D052}" name="Column2930"/>
    <tableColumn id="2936" xr3:uid="{75D35D2A-F743-4723-97BD-937BD3D3E89E}" name="Column2931"/>
    <tableColumn id="2937" xr3:uid="{7E666BEE-F12C-49C4-94B5-A742B4DFA9B4}" name="Column2932"/>
    <tableColumn id="2938" xr3:uid="{7C14F5F6-28CD-4037-9DAF-048A683233D2}" name="Column2933"/>
    <tableColumn id="2939" xr3:uid="{B5369085-1A35-4ED7-8C7E-7591DAF6BD68}" name="Column2934"/>
    <tableColumn id="2940" xr3:uid="{B9EE2FE1-09F8-4120-BF3C-0D7F0F6CB4C6}" name="Column2935"/>
    <tableColumn id="2941" xr3:uid="{6A8D2DBC-D2AC-4C11-8901-556C19663402}" name="Column2936"/>
    <tableColumn id="2942" xr3:uid="{DB3D28A0-288B-49AE-B9AC-785A50C8543D}" name="Column2937"/>
    <tableColumn id="2943" xr3:uid="{8103C0F8-0FFD-4EFE-A651-B919B2E7C34D}" name="Column2938"/>
    <tableColumn id="2944" xr3:uid="{69C210BB-9BAC-4C36-AA4A-71FA050A9225}" name="Column2939"/>
    <tableColumn id="2945" xr3:uid="{1C90CBC0-4425-4BD6-8BF5-3050CA47A355}" name="Column2940"/>
    <tableColumn id="2946" xr3:uid="{61772A5B-FD4D-4D39-A8C4-5329A876CA95}" name="Column2941"/>
    <tableColumn id="2947" xr3:uid="{C721E3A3-A601-46AD-9A1F-F6EAD5FEE820}" name="Column2942"/>
    <tableColumn id="2948" xr3:uid="{AD1E1624-A9AD-4623-AE67-9B5ED252E78B}" name="Column2943"/>
    <tableColumn id="2949" xr3:uid="{61C0E61D-D852-44FF-A8D3-3119034FF96E}" name="Column2944"/>
    <tableColumn id="2950" xr3:uid="{7C5188E7-8A20-4CDC-9F2E-9F4F5FF871A2}" name="Column2945"/>
    <tableColumn id="2951" xr3:uid="{A592FEF6-E9E9-4D5F-9AC5-420AAD835512}" name="Column2946"/>
    <tableColumn id="2952" xr3:uid="{24C63623-20A5-4333-82CD-B47388481FB5}" name="Column2947"/>
    <tableColumn id="2953" xr3:uid="{542666A8-C0C5-4C29-9CBE-A6F6FD7C9D14}" name="Column2948"/>
    <tableColumn id="2954" xr3:uid="{F2F7F4CC-E634-4896-A2F8-30DD9B5974E4}" name="Column2949"/>
    <tableColumn id="2955" xr3:uid="{859E4E4F-31BD-44FF-AF66-435ED75814AF}" name="Column2950"/>
    <tableColumn id="2956" xr3:uid="{C95AB182-9AAB-4873-80B7-48D9EE0AF86A}" name="Column2951"/>
    <tableColumn id="2957" xr3:uid="{B88A00DF-DF41-427E-8F30-6F7F77DA9F3A}" name="Column2952"/>
    <tableColumn id="2958" xr3:uid="{7C835C9F-A530-4B1F-AA55-E4FEAE6E1BE3}" name="Column2953"/>
    <tableColumn id="2959" xr3:uid="{181950B8-2489-4629-AAF7-0DC0633624EA}" name="Column2954"/>
    <tableColumn id="2960" xr3:uid="{D96BBCE5-4DD0-455B-82F2-D67584B69658}" name="Column2955"/>
    <tableColumn id="2961" xr3:uid="{48E27424-24D5-4E9F-8F59-B16843DC8E53}" name="Column2956"/>
    <tableColumn id="2962" xr3:uid="{B9ED2F52-7796-4952-B6BB-D62EA0D40861}" name="Column2957"/>
    <tableColumn id="2963" xr3:uid="{DB6549EA-F8EA-4C64-9542-9962F6590699}" name="Column2958"/>
    <tableColumn id="2964" xr3:uid="{C59BBB94-8BA3-476F-A589-F114D23F3737}" name="Column2959"/>
    <tableColumn id="2965" xr3:uid="{1028169B-2013-4671-808B-513289702864}" name="Column2960"/>
    <tableColumn id="2966" xr3:uid="{B6AD1C84-E1FD-4DF9-B4F3-80FA1D90D639}" name="Column2961"/>
    <tableColumn id="2967" xr3:uid="{5E32A732-810A-4495-BE5C-4A201ACB2F34}" name="Column2962"/>
    <tableColumn id="2968" xr3:uid="{FB653145-7052-4D2A-BF75-6945836974F3}" name="Column2963"/>
    <tableColumn id="2969" xr3:uid="{46617FBD-050B-495A-B6E8-7B8F29B7949E}" name="Column2964"/>
    <tableColumn id="2970" xr3:uid="{F520CA4C-BD3F-4649-84EA-C45ABEDF3486}" name="Column2965"/>
    <tableColumn id="2971" xr3:uid="{7B17C557-3116-481D-B986-E6F77CADC5EB}" name="Column2966"/>
    <tableColumn id="2972" xr3:uid="{ACD452A8-A3B5-4A59-8BA7-69EC98B1B9FB}" name="Column2967"/>
    <tableColumn id="2973" xr3:uid="{7AE1F8DD-332E-484D-B75A-A23F78D3DF04}" name="Column2968"/>
    <tableColumn id="2974" xr3:uid="{58E8051D-5F2F-4464-B011-A3CDFA507E80}" name="Column2969"/>
    <tableColumn id="2975" xr3:uid="{5E7D791D-404C-4A37-AC44-D40204B896D3}" name="Column2970"/>
    <tableColumn id="2976" xr3:uid="{C89AEA03-35D0-43A5-8E19-503B7E9699DB}" name="Column2971"/>
    <tableColumn id="2977" xr3:uid="{56AA40A3-F1AB-4EF1-B4B8-1A2890E2A1C3}" name="Column2972"/>
    <tableColumn id="2978" xr3:uid="{F1C09C03-47AF-4C41-839F-84071CFC6D03}" name="Column2973"/>
    <tableColumn id="2979" xr3:uid="{BFCFC157-9C41-4154-AFD1-F2FFBA73F947}" name="Column2974"/>
    <tableColumn id="2980" xr3:uid="{0206040D-63CE-4647-A725-825F32837455}" name="Column2975"/>
    <tableColumn id="2981" xr3:uid="{D2629486-0A54-45B7-AF31-C3DF2416A281}" name="Column2976"/>
    <tableColumn id="2982" xr3:uid="{CA1A6A3A-C132-451D-88F5-48FC078190ED}" name="Column2977"/>
    <tableColumn id="2983" xr3:uid="{1122EDAF-1C3D-49D5-A402-0DA95C77F270}" name="Column2978"/>
    <tableColumn id="2984" xr3:uid="{DD4404AB-AEA0-4366-B91B-D1E86C5C44E0}" name="Column2979"/>
    <tableColumn id="2985" xr3:uid="{2E4784CA-B2E5-411A-8ADC-DB5CAAADB1AE}" name="Column2980"/>
    <tableColumn id="2986" xr3:uid="{E1956AB6-8271-4575-8393-31CE2324A0E0}" name="Column2981"/>
    <tableColumn id="2987" xr3:uid="{0D562EF3-FF07-4EA1-ACFB-AA651666A7E5}" name="Column2982"/>
    <tableColumn id="2988" xr3:uid="{828176C9-47BB-4EDF-A2C3-D601AD299526}" name="Column2983"/>
    <tableColumn id="2989" xr3:uid="{D3B043E9-A31F-41B7-A662-A1D7D446641F}" name="Column2984"/>
    <tableColumn id="2990" xr3:uid="{8F85F54C-0642-4A5C-8895-E7FA2B07D61C}" name="Column2985"/>
    <tableColumn id="2991" xr3:uid="{B7AF7282-FDF4-4E2F-AC3D-EA97E6620D40}" name="Column2986"/>
    <tableColumn id="2992" xr3:uid="{17611438-A8B5-42CF-8960-5F89BB3D201B}" name="Column2987"/>
    <tableColumn id="2993" xr3:uid="{F162D07F-DB51-4043-B987-8D3E10FFADFF}" name="Column2988"/>
    <tableColumn id="2994" xr3:uid="{7C93D67A-56C6-46AB-9B17-B599563EA33A}" name="Column2989"/>
    <tableColumn id="2995" xr3:uid="{368957BA-6F62-42EC-BAC6-E082CCA6AFAF}" name="Column2990"/>
    <tableColumn id="2996" xr3:uid="{58C5C75C-AEB2-4CEC-8342-11E0406107E2}" name="Column2991"/>
    <tableColumn id="2997" xr3:uid="{2EEDEAC5-2E36-40B0-9AD4-58F6F97DD64A}" name="Column2992"/>
    <tableColumn id="2998" xr3:uid="{31E466B0-8158-4F79-B7BE-D51B9D552FB3}" name="Column2993"/>
    <tableColumn id="2999" xr3:uid="{89D9DA47-4690-4FDB-9BA2-53CAD6024EE9}" name="Column2994"/>
    <tableColumn id="3000" xr3:uid="{1653B79E-28A8-4E06-B755-88A7836BE6F8}" name="Column2995"/>
    <tableColumn id="3001" xr3:uid="{EE73AB32-13B3-4708-BB9D-CA1564B5DD49}" name="Column2996"/>
    <tableColumn id="3002" xr3:uid="{970A0955-A14A-4DDE-B7F7-FF81FF8E2C76}" name="Column2997"/>
    <tableColumn id="3003" xr3:uid="{6AB5FBE0-FA80-4D1C-BCE7-01309DCB7650}" name="Column2998"/>
    <tableColumn id="3004" xr3:uid="{41640765-E054-48C6-8719-7EB966F9CB3D}" name="Column2999"/>
    <tableColumn id="3005" xr3:uid="{AE608355-43E9-49D0-B6D7-3E07F89B2479}" name="Column3000"/>
    <tableColumn id="3006" xr3:uid="{9917CACC-D656-49EC-BD17-C82C292609DC}" name="Column3001"/>
    <tableColumn id="3007" xr3:uid="{8958EE69-D75B-46EF-9EEA-75D7B2EC9B5A}" name="Column3002"/>
    <tableColumn id="3008" xr3:uid="{CD937ADE-A699-4844-A33B-4937288B1E61}" name="Column3003"/>
    <tableColumn id="3009" xr3:uid="{ED6F06C6-6436-41AA-9529-E6FA6E159261}" name="Column3004"/>
    <tableColumn id="3010" xr3:uid="{2DFA7C90-9FB0-459C-B49A-126B2199BF61}" name="Column3005"/>
    <tableColumn id="3011" xr3:uid="{4D1C8907-76F4-4798-A19B-C48B575571DF}" name="Column3006"/>
    <tableColumn id="3012" xr3:uid="{6FBFC084-EC97-47EC-9EF1-D542598BBB55}" name="Column3007"/>
    <tableColumn id="3013" xr3:uid="{54280A50-E3AA-42DE-BD36-4E0BEFAC8244}" name="Column3008"/>
    <tableColumn id="3014" xr3:uid="{7AB0B814-CEE9-4DDD-9679-B0D3E233F360}" name="Column3009"/>
    <tableColumn id="3015" xr3:uid="{81721D6C-EAF3-4035-8CA6-FF9F43D13FDA}" name="Column3010"/>
    <tableColumn id="3016" xr3:uid="{62759666-1CDF-4AC0-90B5-C933F2324D17}" name="Column3011"/>
    <tableColumn id="3017" xr3:uid="{6AA3EAE6-8F83-408E-BDC5-2D51CD3EAF6B}" name="Column3012"/>
    <tableColumn id="3018" xr3:uid="{BC6AA4C8-6E9E-4CF6-B60E-C98879168A49}" name="Column3013"/>
    <tableColumn id="3019" xr3:uid="{8F4BDC3D-0E27-4637-978E-A90088B572EB}" name="Column3014"/>
    <tableColumn id="3020" xr3:uid="{8DF2A65A-F3BC-4924-873F-ABA3E004E22B}" name="Column3015"/>
    <tableColumn id="3021" xr3:uid="{FED8548B-DF96-4FD2-A169-632DA7F29D46}" name="Column3016"/>
    <tableColumn id="3022" xr3:uid="{BCD2131A-3C1C-47DD-82C1-A7C27E6FBD6C}" name="Column3017"/>
    <tableColumn id="3023" xr3:uid="{A18F6751-9359-432E-B9A8-A3864DCC565F}" name="Column3018"/>
    <tableColumn id="3024" xr3:uid="{8A9B08B9-E24F-4AA7-8545-3F4BB80523CD}" name="Column3019"/>
    <tableColumn id="3025" xr3:uid="{5810D95E-C2A0-425E-95BC-F221DAE297DE}" name="Column3020"/>
    <tableColumn id="3026" xr3:uid="{9916C003-FC4B-4B16-932E-76ADB56B5D88}" name="Column3021"/>
    <tableColumn id="3027" xr3:uid="{D92FA38F-501C-40C0-B67B-11CE71521293}" name="Column3022"/>
    <tableColumn id="3028" xr3:uid="{B46F2C72-40DA-4A1B-94FE-47D7BD7D37EE}" name="Column3023"/>
    <tableColumn id="3029" xr3:uid="{4768DA35-6F5B-4149-A11E-3C2E46AF6A28}" name="Column3024"/>
    <tableColumn id="3030" xr3:uid="{97623C10-4ADC-4D4F-A5FD-2DEA44C6A120}" name="Column3025"/>
    <tableColumn id="3031" xr3:uid="{EB947089-29E3-4D7E-B807-C3713276795F}" name="Column3026"/>
    <tableColumn id="3032" xr3:uid="{35A65501-27FB-47BD-9F23-D70F3E86BEDD}" name="Column3027"/>
    <tableColumn id="3033" xr3:uid="{80E1CB58-B574-4E49-AF67-A959BA4FA031}" name="Column3028"/>
    <tableColumn id="3034" xr3:uid="{BEA1267E-4CB0-4801-97E8-CB7B1B3A9823}" name="Column3029"/>
    <tableColumn id="3035" xr3:uid="{D0F90FAF-D895-4782-800F-6324A669F4A5}" name="Column3030"/>
    <tableColumn id="3036" xr3:uid="{4A436268-DFCA-4B7E-8804-2FC3F042FA3E}" name="Column3031"/>
    <tableColumn id="3037" xr3:uid="{A10F4E48-4547-4FB8-ABCC-CE84E4F29C79}" name="Column3032"/>
    <tableColumn id="3038" xr3:uid="{1112015F-4159-4846-B428-30B63D93A4C8}" name="Column3033"/>
    <tableColumn id="3039" xr3:uid="{A418546C-148D-4CEF-BD38-1CE255F1A4B6}" name="Column3034"/>
    <tableColumn id="3040" xr3:uid="{3955175E-DA19-4322-9D0E-2416F6C88775}" name="Column3035"/>
    <tableColumn id="3041" xr3:uid="{239EF66C-A690-48AD-9526-3C2FFD6A95AB}" name="Column3036"/>
    <tableColumn id="3042" xr3:uid="{A99655E6-9F94-497A-8CB8-2A478B7AB3E8}" name="Column3037"/>
    <tableColumn id="3043" xr3:uid="{2BC18C1D-6563-4C28-BBE1-E5612F15FDA2}" name="Column3038"/>
    <tableColumn id="3044" xr3:uid="{882941CB-16C4-4FD5-B9E2-79CA858DF431}" name="Column3039"/>
    <tableColumn id="3045" xr3:uid="{83D29B59-CD5D-488A-8C54-B52475D32771}" name="Column3040"/>
    <tableColumn id="3046" xr3:uid="{96C3C6B9-8C01-447A-8028-68D521282F17}" name="Column3041"/>
    <tableColumn id="3047" xr3:uid="{1CB169C5-386C-4E16-9D3A-8B3DF9209898}" name="Column3042"/>
    <tableColumn id="3048" xr3:uid="{E66D856B-4E3C-40C5-9CA6-8E0890DAE81F}" name="Column3043"/>
    <tableColumn id="3049" xr3:uid="{5A196BF9-8D2A-405A-B4A0-1B73862E6E19}" name="Column3044"/>
    <tableColumn id="3050" xr3:uid="{A58FF2E6-9C45-4424-95EC-BB5C5243E09D}" name="Column3045"/>
    <tableColumn id="3051" xr3:uid="{AE24A93B-5FFD-4F3B-9950-3A61AE34D597}" name="Column3046"/>
    <tableColumn id="3052" xr3:uid="{465CDC84-DB00-460A-BE6B-679F5BA7B7BB}" name="Column3047"/>
    <tableColumn id="3053" xr3:uid="{BCB437A3-E74F-41BE-A184-658E817CB41B}" name="Column3048"/>
    <tableColumn id="3054" xr3:uid="{C86F5848-13D1-4C5F-BD82-7196C0B0F844}" name="Column3049"/>
    <tableColumn id="3055" xr3:uid="{A80A7516-9E5A-44B6-86A8-4A97D489BE4B}" name="Column3050"/>
    <tableColumn id="3056" xr3:uid="{82ECF665-71DC-42F1-A378-1D17241C258E}" name="Column3051"/>
    <tableColumn id="3057" xr3:uid="{41A37315-2A29-46F6-B065-10233E0304DC}" name="Column3052"/>
    <tableColumn id="3058" xr3:uid="{A12830E2-A4BC-4432-BC48-46CA91D36D22}" name="Column3053"/>
    <tableColumn id="3059" xr3:uid="{049DEFFE-68E8-454F-980E-5DF6CEB8D6A1}" name="Column3054"/>
    <tableColumn id="3060" xr3:uid="{D70CF33C-F6A6-478C-AFDC-C0B5636196B6}" name="Column3055"/>
    <tableColumn id="3061" xr3:uid="{10EDADC0-F1FF-4AC9-BF93-8AF179AE52C6}" name="Column3056"/>
    <tableColumn id="3062" xr3:uid="{94FA4CCC-19E3-4955-861E-B8FFD58B722D}" name="Column3057"/>
    <tableColumn id="3063" xr3:uid="{95B36DD8-1F13-4462-8591-889E277A6311}" name="Column3058"/>
    <tableColumn id="3064" xr3:uid="{20F55727-DAD5-4154-B9C3-404B01DC352D}" name="Column3059"/>
    <tableColumn id="3065" xr3:uid="{8DB6210C-6A2F-41A0-9CA3-59829D50DCA4}" name="Column3060"/>
    <tableColumn id="3066" xr3:uid="{D7ACE52B-CF2A-4F57-B984-4492FCC2F42F}" name="Column3061"/>
    <tableColumn id="3067" xr3:uid="{A323FF5C-4360-45F0-8810-45C48FD8269F}" name="Column3062"/>
    <tableColumn id="3068" xr3:uid="{0492E274-89A4-4F36-8386-118AA934851A}" name="Column3063"/>
    <tableColumn id="3069" xr3:uid="{5F85968D-87B1-4A65-9797-8B88BA2F09BC}" name="Column3064"/>
    <tableColumn id="3070" xr3:uid="{E1944E12-685E-485B-BCB2-92C7F4F1D4F5}" name="Column3065"/>
    <tableColumn id="3071" xr3:uid="{A60C0A91-D74F-48AD-8E8F-FC0FBE93C139}" name="Column3066"/>
    <tableColumn id="3072" xr3:uid="{08A91332-0C4C-4798-85E1-52FA559F83EB}" name="Column3067"/>
    <tableColumn id="3073" xr3:uid="{462E6BC1-6F03-46DA-AFF5-3C5185958599}" name="Column3068"/>
    <tableColumn id="3074" xr3:uid="{91876F40-0FDC-4311-8DA6-B2D98D372582}" name="Column3069"/>
    <tableColumn id="3075" xr3:uid="{535A0F7D-6E1C-4639-85D4-5F0472DA8EAA}" name="Column3070"/>
    <tableColumn id="3076" xr3:uid="{A18B828D-8F72-4D47-97D5-7873017CCAFF}" name="Column3071"/>
    <tableColumn id="3077" xr3:uid="{9663DFA9-6209-441E-B4C5-E175B5A4CE9D}" name="Column3072"/>
    <tableColumn id="3078" xr3:uid="{5A656C89-DE0C-4F50-9A4C-05857503B641}" name="Column3073"/>
    <tableColumn id="3079" xr3:uid="{A71202A6-47E1-4FCD-A430-B8DE980E7970}" name="Column3074"/>
    <tableColumn id="3080" xr3:uid="{418B80B5-2059-4720-BDD8-A4F21E9473BA}" name="Column3075"/>
    <tableColumn id="3081" xr3:uid="{DBA6E400-4794-4F42-8A94-BE06847D89E4}" name="Column3076"/>
    <tableColumn id="3082" xr3:uid="{60130568-FFB4-4F39-8E9F-FE957A17B7B1}" name="Column3077"/>
    <tableColumn id="3083" xr3:uid="{D7F561C2-9BC2-4016-96FB-7B57504DE1BF}" name="Column3078"/>
    <tableColumn id="3084" xr3:uid="{CB739F49-9E05-49D8-B331-F665ABABB5B7}" name="Column3079"/>
    <tableColumn id="3085" xr3:uid="{BC3E004A-1822-4136-8CF8-1809D7D686AB}" name="Column3080"/>
    <tableColumn id="3086" xr3:uid="{71B0AC21-4465-44DE-8115-21DE9065658C}" name="Column3081"/>
    <tableColumn id="3087" xr3:uid="{7ACDBC3C-D92B-4720-9F45-AF8208377237}" name="Column3082"/>
    <tableColumn id="3088" xr3:uid="{55B4311F-6280-429D-BACA-FD62A21E5744}" name="Column3083"/>
    <tableColumn id="3089" xr3:uid="{E3F8DEDF-E21B-4554-9867-4E7A0FADEEF3}" name="Column3084"/>
    <tableColumn id="3090" xr3:uid="{BE376FC5-CAC5-4D70-86D2-77477425734F}" name="Column3085"/>
    <tableColumn id="3091" xr3:uid="{A412CEEC-DD3D-44E1-BD74-35AD0748E366}" name="Column3086"/>
    <tableColumn id="3092" xr3:uid="{467D4AB2-1ECD-4706-A657-C9D5B2D623DA}" name="Column3087"/>
    <tableColumn id="3093" xr3:uid="{41718AD0-B4B9-444B-8D43-4BCC664FE1C5}" name="Column3088"/>
    <tableColumn id="3094" xr3:uid="{60195121-194C-49AE-9FF7-BCF2B62AF194}" name="Column3089"/>
    <tableColumn id="3095" xr3:uid="{9D4A1DFF-BC1B-464D-A611-837C2CA836EF}" name="Column3090"/>
    <tableColumn id="3096" xr3:uid="{4E3F6CCB-4589-45AB-A612-98442F45A68F}" name="Column3091"/>
    <tableColumn id="3097" xr3:uid="{1616BB72-BCE1-46B9-9841-F91521E5333D}" name="Column3092"/>
    <tableColumn id="3098" xr3:uid="{BDB741BF-8CB9-40D2-B5BB-43A7AC30C5C0}" name="Column3093"/>
    <tableColumn id="3099" xr3:uid="{B7C3663E-8A78-4B45-BAA2-0F35B83A60CF}" name="Column3094"/>
    <tableColumn id="3100" xr3:uid="{62993DA0-3F57-467A-BF0E-881F8B26D8AD}" name="Column3095"/>
    <tableColumn id="3101" xr3:uid="{E83B0D7C-97EF-4F13-BD7C-CCE8F37056E6}" name="Column3096"/>
    <tableColumn id="3102" xr3:uid="{2496B350-2B02-4BFA-9F1A-30D387CEF8DE}" name="Column3097"/>
    <tableColumn id="3103" xr3:uid="{83D204DF-6EFB-4680-A817-F4C695546892}" name="Column3098"/>
    <tableColumn id="3104" xr3:uid="{2EA8AFCB-B48F-469E-BAF0-CEF1BC6565C7}" name="Column3099"/>
    <tableColumn id="3105" xr3:uid="{144F78AF-C1EE-4662-B878-ADCE2F868515}" name="Column3100"/>
    <tableColumn id="3106" xr3:uid="{89212BAD-D0BE-423C-BE23-7EA4CFE4311C}" name="Column3101"/>
    <tableColumn id="3107" xr3:uid="{A8B7DC45-BC80-4898-A2B3-B5CE2E2E61BC}" name="Column3102"/>
    <tableColumn id="3108" xr3:uid="{17F125E8-9E81-455C-845F-00B7147FFDBE}" name="Column3103"/>
    <tableColumn id="3109" xr3:uid="{485C9EDF-E3EE-4D0C-934E-CB1A27612450}" name="Column3104"/>
    <tableColumn id="3110" xr3:uid="{A3F41413-B576-4AB5-93D6-68F7C7314A35}" name="Column3105"/>
    <tableColumn id="3111" xr3:uid="{FECF0C2D-9379-4641-A127-81DE8393F73E}" name="Column3106"/>
    <tableColumn id="3112" xr3:uid="{413ED484-1ADE-4CB3-A72A-BBA29EBA3501}" name="Column3107"/>
    <tableColumn id="3113" xr3:uid="{BB725A2A-83B4-45E1-B57D-C57156BC9FC1}" name="Column3108"/>
    <tableColumn id="3114" xr3:uid="{AE0CE75A-00EA-4B20-B813-2E97A6B921EE}" name="Column3109"/>
    <tableColumn id="3115" xr3:uid="{6A8C21BE-B841-4A09-8E2C-7057D2A7A9C3}" name="Column3110"/>
    <tableColumn id="3116" xr3:uid="{74218179-C6E4-4926-9A6F-5B04FF7ECD28}" name="Column3111"/>
    <tableColumn id="3117" xr3:uid="{D296BA49-4DB1-41E2-B1F4-2F4587E0EA82}" name="Column3112"/>
    <tableColumn id="3118" xr3:uid="{F342145C-D1CD-4113-BF2B-B786B999FA1D}" name="Column3113"/>
    <tableColumn id="3119" xr3:uid="{A305C222-1C35-44C0-8A8D-574CD4ABA87A}" name="Column3114"/>
    <tableColumn id="3120" xr3:uid="{57E90BAB-07B0-4396-A209-F16E577444F4}" name="Column3115"/>
    <tableColumn id="3121" xr3:uid="{EF20E3E9-420E-4F77-A92D-D6BE2DF10F6B}" name="Column3116"/>
    <tableColumn id="3122" xr3:uid="{6A163FDF-1DFB-41F7-B06F-F23CD0BB1F8A}" name="Column3117"/>
    <tableColumn id="3123" xr3:uid="{0EACBC3F-C897-4B99-AD55-2161B463C202}" name="Column3118"/>
    <tableColumn id="3124" xr3:uid="{3D473482-2131-46E1-8432-773F1EA3C194}" name="Column3119"/>
    <tableColumn id="3125" xr3:uid="{07497A8F-4C88-4D62-BAFA-F13E311A880A}" name="Column3120"/>
    <tableColumn id="3126" xr3:uid="{668080BB-0706-41E2-A797-DE0E4EA26387}" name="Column3121"/>
    <tableColumn id="3127" xr3:uid="{E06181D1-0C17-4C3F-952F-9414B10402FF}" name="Column3122"/>
    <tableColumn id="3128" xr3:uid="{D858504B-0FBC-421A-AC6C-C9B5B6752A7D}" name="Column3123"/>
    <tableColumn id="3129" xr3:uid="{42152FE8-FF12-49E8-BC6C-B0A6DBFDAC3C}" name="Column3124"/>
    <tableColumn id="3130" xr3:uid="{CB568035-54B7-493C-908C-91B0C10EF642}" name="Column3125"/>
    <tableColumn id="3131" xr3:uid="{81F7B28F-E096-4E2D-9034-A71DF5989D6E}" name="Column3126"/>
    <tableColumn id="3132" xr3:uid="{7729EFAF-5D7C-4F2E-9692-AA02EF9CA998}" name="Column3127"/>
    <tableColumn id="3133" xr3:uid="{0E71B1CA-A210-4767-B5A9-E39B5D177437}" name="Column3128"/>
    <tableColumn id="3134" xr3:uid="{AFDB9462-AC12-4191-A6AC-483B77AF9C3B}" name="Column3129"/>
    <tableColumn id="3135" xr3:uid="{E74E877C-CADB-4879-A6E7-F8943B488342}" name="Column3130"/>
    <tableColumn id="3136" xr3:uid="{A703CD68-E4B9-487B-BB0F-E4E93A4349CD}" name="Column3131"/>
    <tableColumn id="3137" xr3:uid="{59D9EEAC-AC88-4708-A83A-BFB1B144222A}" name="Column3132"/>
    <tableColumn id="3138" xr3:uid="{4391F239-1B9D-4B3A-B723-BFB498D595D8}" name="Column3133"/>
    <tableColumn id="3139" xr3:uid="{0829CC72-64E9-43B0-BF8A-A827E9F06E0C}" name="Column3134"/>
    <tableColumn id="3140" xr3:uid="{335AEC2E-67B6-412E-8E57-9FC41E750110}" name="Column3135"/>
    <tableColumn id="3141" xr3:uid="{3C34B42F-9819-4D44-B846-14BA082953ED}" name="Column3136"/>
    <tableColumn id="3142" xr3:uid="{BCD6D437-261C-4EA4-82AE-77834C36FACC}" name="Column3137"/>
    <tableColumn id="3143" xr3:uid="{18548843-835F-4EAD-BAB3-49D791627ECE}" name="Column3138"/>
    <tableColumn id="3144" xr3:uid="{1818E5DE-B2B5-42A8-A647-825019E011E6}" name="Column3139"/>
    <tableColumn id="3145" xr3:uid="{781FE062-3081-4030-A1A2-74401EC7B445}" name="Column3140"/>
    <tableColumn id="3146" xr3:uid="{E319DB9F-8C07-4B51-A5FE-C3525CD82780}" name="Column3141"/>
    <tableColumn id="3147" xr3:uid="{44C79CDA-6809-478F-B7F7-A23192A5621B}" name="Column3142"/>
    <tableColumn id="3148" xr3:uid="{31E4EF9B-B93C-4CF7-A417-AF3F1AC7FBEB}" name="Column3143"/>
    <tableColumn id="3149" xr3:uid="{ACE378E4-033D-4FDD-B57D-140259A4421B}" name="Column3144"/>
    <tableColumn id="3150" xr3:uid="{CAA99AF2-CB26-4D89-9D12-CBFABF414B28}" name="Column3145"/>
    <tableColumn id="3151" xr3:uid="{BAD12D98-4AB5-4C77-BAAA-6637DFB750A3}" name="Column3146"/>
    <tableColumn id="3152" xr3:uid="{6AB997A9-F350-4E4C-AEA7-CC1599F5CCDA}" name="Column3147"/>
    <tableColumn id="3153" xr3:uid="{1C5EA78A-BAC4-4F9A-8390-F7E012A3100D}" name="Column3148"/>
    <tableColumn id="3154" xr3:uid="{F0B09A44-485A-4D1E-BC46-3AEAA418714D}" name="Column3149"/>
    <tableColumn id="3155" xr3:uid="{F92931CD-54CF-4681-B592-421A5EF48CD4}" name="Column3150"/>
    <tableColumn id="3156" xr3:uid="{A7BBA629-728A-4A47-A7C4-5F8E6D386A9C}" name="Column3151"/>
    <tableColumn id="3157" xr3:uid="{082A7930-4C8A-4E16-8143-AA2175F8D8C5}" name="Column3152"/>
    <tableColumn id="3158" xr3:uid="{63A27687-861B-46F1-B9BC-7E28E2D0DA51}" name="Column3153"/>
    <tableColumn id="3159" xr3:uid="{DE12B14A-A037-4D6D-B5D8-D635A78850D4}" name="Column3154"/>
    <tableColumn id="3160" xr3:uid="{988BC09B-7B9F-4026-9639-758690A35374}" name="Column3155"/>
    <tableColumn id="3161" xr3:uid="{1BF6127D-3253-4874-8747-09F9F36C636D}" name="Column3156"/>
    <tableColumn id="3162" xr3:uid="{24A79DAE-CFA5-4E5D-95DD-B36B015D82DC}" name="Column3157"/>
    <tableColumn id="3163" xr3:uid="{29631766-2F36-427A-BC53-2878E71138F6}" name="Column3158"/>
    <tableColumn id="3164" xr3:uid="{D917DECF-0966-4A25-A508-3E90F150795B}" name="Column3159"/>
    <tableColumn id="3165" xr3:uid="{5D8E1665-E7E0-4FA4-ACBB-E232AF8F7A89}" name="Column3160"/>
    <tableColumn id="3166" xr3:uid="{CF5AD962-BB64-4C37-96F9-8C5C81E21B28}" name="Column3161"/>
    <tableColumn id="3167" xr3:uid="{1D64C106-5416-423B-9EF0-C07A4506AC22}" name="Column3162"/>
    <tableColumn id="3168" xr3:uid="{9EF99DAD-B9A7-48C9-BA64-A8E34BDFAFE8}" name="Column3163"/>
    <tableColumn id="3169" xr3:uid="{6CF7CD9D-9ECB-4FB4-8164-584B514CF80D}" name="Column3164"/>
    <tableColumn id="3170" xr3:uid="{89CE35B1-ABF8-44DB-B2B1-C455DE1AB6D0}" name="Column3165"/>
    <tableColumn id="3171" xr3:uid="{CBEC9704-E480-42D0-B3AA-D274AC29C45B}" name="Column3166"/>
    <tableColumn id="3172" xr3:uid="{3D41E718-EA51-497A-8A2E-3BF6CB0B37B0}" name="Column3167"/>
    <tableColumn id="3173" xr3:uid="{27510E1A-9672-4A01-A74C-F09E891BB26F}" name="Column3168"/>
    <tableColumn id="3174" xr3:uid="{075E5F86-ADAC-49C4-B7D9-ABDC9926F7E1}" name="Column3169"/>
    <tableColumn id="3175" xr3:uid="{926579B1-163B-4623-8D55-1D169EAD47EA}" name="Column3170"/>
    <tableColumn id="3176" xr3:uid="{099A6FF8-693F-4405-AF81-47FDA92ADD76}" name="Column3171"/>
    <tableColumn id="3177" xr3:uid="{0A2262F2-E746-44F4-9D4F-EEF6C047EA15}" name="Column3172"/>
    <tableColumn id="3178" xr3:uid="{7ECDE6E5-D288-4DD6-844D-25F1CF557EBB}" name="Column3173"/>
    <tableColumn id="3179" xr3:uid="{CE4EFFA9-9C99-402E-9BB1-AC428A48A24A}" name="Column3174"/>
    <tableColumn id="3180" xr3:uid="{607B9CA6-1C0C-4510-BAEB-2DDCFFF54CB4}" name="Column3175"/>
    <tableColumn id="3181" xr3:uid="{805A813B-6724-4DB0-99FE-21D38DE7160C}" name="Column3176"/>
    <tableColumn id="3182" xr3:uid="{5613E516-519B-4318-ABA2-76C3B603D122}" name="Column3177"/>
    <tableColumn id="3183" xr3:uid="{989F1F78-3068-42E2-914E-73DEF198CDF5}" name="Column3178"/>
    <tableColumn id="3184" xr3:uid="{BFEFB2D8-0B6D-4719-AF02-8ABC6B4C1863}" name="Column3179"/>
    <tableColumn id="3185" xr3:uid="{F639049F-50A2-44C6-A305-E9E4972ED937}" name="Column3180"/>
    <tableColumn id="3186" xr3:uid="{C52D7D10-AA37-4E3C-8494-8143F403F27C}" name="Column3181"/>
    <tableColumn id="3187" xr3:uid="{8823C1EE-8393-4309-99B6-B7A34341FF0B}" name="Column3182"/>
    <tableColumn id="3188" xr3:uid="{443CE689-D092-4FDE-8B9E-5B9BE314B38F}" name="Column3183"/>
    <tableColumn id="3189" xr3:uid="{9E285678-9D00-4B3A-827E-C9FF68A2435E}" name="Column3184"/>
    <tableColumn id="3190" xr3:uid="{D94EF906-65A8-48DD-8855-3061F91BF9F2}" name="Column3185"/>
    <tableColumn id="3191" xr3:uid="{E134ADE7-A6B2-4BDB-9A34-BE64B311740A}" name="Column3186"/>
    <tableColumn id="3192" xr3:uid="{D63C46B4-071E-4932-9903-34D7C6274691}" name="Column3187"/>
    <tableColumn id="3193" xr3:uid="{0BC21F96-F178-438B-AB04-B50A10242F7E}" name="Column3188"/>
    <tableColumn id="3194" xr3:uid="{6DE2D26C-4664-40EB-BE3D-61451837B001}" name="Column3189"/>
    <tableColumn id="3195" xr3:uid="{6B46855D-3E6E-464F-B1CB-9055AA539C3E}" name="Column3190"/>
    <tableColumn id="3196" xr3:uid="{202041ED-AE1B-4EB3-BB4C-C8ED928B8D11}" name="Column3191"/>
    <tableColumn id="3197" xr3:uid="{32C8DF3D-316B-4F92-B529-690B3FEB4371}" name="Column3192"/>
    <tableColumn id="3198" xr3:uid="{9191EBC0-5068-4DE7-81AA-6B54567B82F7}" name="Column3193"/>
    <tableColumn id="3199" xr3:uid="{B77BB2A8-7CD8-4B3F-9CF3-6939E00F8A19}" name="Column3194"/>
    <tableColumn id="3200" xr3:uid="{A03761C7-F8F0-4DC4-BE96-F20DAF3DF71E}" name="Column3195"/>
    <tableColumn id="3201" xr3:uid="{F7935ADA-79BB-4F7D-A01A-A33A53B7DFDF}" name="Column3196"/>
    <tableColumn id="3202" xr3:uid="{AFD97789-9A4A-4392-A195-D5DC75BBDDDE}" name="Column3197"/>
    <tableColumn id="3203" xr3:uid="{A1AFEF29-D9FC-449F-8303-F064599F2F88}" name="Column3198"/>
    <tableColumn id="3204" xr3:uid="{F08B7E6E-5D5C-4DE9-868D-0DA99D673A32}" name="Column3199"/>
    <tableColumn id="3205" xr3:uid="{1FF071A0-6217-4BE9-8C2B-53FC1FF1B4D0}" name="Column3200"/>
    <tableColumn id="3206" xr3:uid="{1674B02E-35E8-4308-9663-E7E42BFFE641}" name="Column3201"/>
    <tableColumn id="3207" xr3:uid="{979CB92F-EA2D-40D0-913E-19CA03E95923}" name="Column3202"/>
    <tableColumn id="3208" xr3:uid="{7B9DD128-8287-49AD-B51D-83C10BBA2086}" name="Column3203"/>
    <tableColumn id="3209" xr3:uid="{56470317-99B4-4DA8-B6C6-477C636C81D3}" name="Column3204"/>
    <tableColumn id="3210" xr3:uid="{E156F0F8-A032-4D2F-8C08-A49158FAD8C1}" name="Column3205"/>
    <tableColumn id="3211" xr3:uid="{D2FD83AF-EBCB-4174-A483-E065DD81F398}" name="Column3206"/>
    <tableColumn id="3212" xr3:uid="{9938BB39-A7CC-4E6D-A377-FC17C3157007}" name="Column3207"/>
    <tableColumn id="3213" xr3:uid="{EF758E94-8013-4695-94C9-1B57F9B154D1}" name="Column3208"/>
    <tableColumn id="3214" xr3:uid="{5348B814-9608-4776-B800-836CE8349289}" name="Column3209"/>
    <tableColumn id="3215" xr3:uid="{2F972FC4-9E88-4ADF-8232-9B3931BB3CBA}" name="Column3210"/>
    <tableColumn id="3216" xr3:uid="{2051B6F2-3FDA-4408-B4AC-079A2F7B7418}" name="Column3211"/>
    <tableColumn id="3217" xr3:uid="{C727A296-1726-4AD3-91E5-DC3F181FF45A}" name="Column3212"/>
    <tableColumn id="3218" xr3:uid="{5A83C73F-AD0C-41F8-BA0E-8D140420EB4F}" name="Column3213"/>
    <tableColumn id="3219" xr3:uid="{1C70A442-D1A8-4F0D-8640-DADD359C6D1C}" name="Column3214"/>
    <tableColumn id="3220" xr3:uid="{8957CECC-7080-4566-9484-3A119999C366}" name="Column3215"/>
    <tableColumn id="3221" xr3:uid="{53A12F29-2052-461A-91D9-99E0963B3D16}" name="Column3216"/>
    <tableColumn id="3222" xr3:uid="{EE88DE08-4A34-41F7-8381-F50D1B843CFB}" name="Column3217"/>
    <tableColumn id="3223" xr3:uid="{6F92777B-96A5-4C0B-8810-11A040D4A0F1}" name="Column3218"/>
    <tableColumn id="3224" xr3:uid="{6E0AAB1F-4EA2-416C-AED5-FA035165EFBE}" name="Column3219"/>
    <tableColumn id="3225" xr3:uid="{317EDB8E-ED5A-4CD1-B20E-4EEA797BB8F7}" name="Column3220"/>
    <tableColumn id="3226" xr3:uid="{BDA61E30-D338-4497-AA02-9F9AD9038B87}" name="Column3221"/>
    <tableColumn id="3227" xr3:uid="{F1B6C322-581D-421C-8DD4-1130DE674A2C}" name="Column3222"/>
    <tableColumn id="3228" xr3:uid="{A1C6EF8F-0720-48AA-B614-A56F610F7C80}" name="Column3223"/>
    <tableColumn id="3229" xr3:uid="{9B0C15AF-7E5F-406C-8F24-832E053C310C}" name="Column3224"/>
    <tableColumn id="3230" xr3:uid="{64DC50CB-56D2-45D7-929F-D690583492E8}" name="Column3225"/>
    <tableColumn id="3231" xr3:uid="{0BDFEA54-1ADD-4062-BCD1-BC4AFF9FC9CF}" name="Column3226"/>
    <tableColumn id="3232" xr3:uid="{6BF06C7E-8DF1-406F-B9C2-AB66C0895AFF}" name="Column3227"/>
    <tableColumn id="3233" xr3:uid="{7537703C-D170-4198-B99A-9AC47236C085}" name="Column3228"/>
    <tableColumn id="3234" xr3:uid="{8160D3D5-A1A8-4F2F-973C-2BC3ED838393}" name="Column3229"/>
    <tableColumn id="3235" xr3:uid="{8A19C89F-3F56-44C6-994A-FB269524E94D}" name="Column3230"/>
    <tableColumn id="3236" xr3:uid="{C658226F-606A-48DF-9310-09D491C1BA53}" name="Column3231"/>
    <tableColumn id="3237" xr3:uid="{2E33D754-DF84-489A-B7C8-F031506A56C2}" name="Column3232"/>
    <tableColumn id="3238" xr3:uid="{FD67C541-B6D0-48BB-B965-8B93FDA5899D}" name="Column3233"/>
    <tableColumn id="3239" xr3:uid="{CC88A360-F795-4DEB-AD3A-B3322EE85086}" name="Column3234"/>
    <tableColumn id="3240" xr3:uid="{E6AA20DE-3BB7-4FB2-B947-12A1AED30031}" name="Column3235"/>
    <tableColumn id="3241" xr3:uid="{AE923FCA-4142-41A8-B986-806F79ABA234}" name="Column3236"/>
    <tableColumn id="3242" xr3:uid="{99BCCAD5-1FC5-4442-A0C0-850A2021C02C}" name="Column3237"/>
    <tableColumn id="3243" xr3:uid="{0E7BA721-78FA-4662-9CE4-A25D501DD03C}" name="Column3238"/>
    <tableColumn id="3244" xr3:uid="{CE5C29EC-DE0F-4734-9544-E2D350ECB2B0}" name="Column3239"/>
    <tableColumn id="3245" xr3:uid="{CBE376A0-2DE9-494B-B28F-9B73E77D4F49}" name="Column3240"/>
    <tableColumn id="3246" xr3:uid="{2100D8D1-7231-413F-B25E-62D1E1295483}" name="Column3241"/>
    <tableColumn id="3247" xr3:uid="{9F138482-B7C7-4613-B5E8-8DEE5C36E23D}" name="Column3242"/>
    <tableColumn id="3248" xr3:uid="{FD9196FE-323A-4D2E-9B00-D394F0433DBE}" name="Column3243"/>
    <tableColumn id="3249" xr3:uid="{A2DA7AC9-BFD7-4002-9DEA-20E856B75BB0}" name="Column3244"/>
    <tableColumn id="3250" xr3:uid="{430405CB-023E-45FC-9209-51F86F67F0C0}" name="Column3245"/>
    <tableColumn id="3251" xr3:uid="{ECAED90D-96F9-4E05-8E8F-61579DAFB685}" name="Column3246"/>
    <tableColumn id="3252" xr3:uid="{0B94AA79-1DC1-478B-B3C0-2792A71582A7}" name="Column3247"/>
    <tableColumn id="3253" xr3:uid="{4F9A71BC-9997-4E1E-84A1-47A18A70E485}" name="Column3248"/>
    <tableColumn id="3254" xr3:uid="{515B9B08-5084-466A-9418-D564BC4A4B62}" name="Column3249"/>
    <tableColumn id="3255" xr3:uid="{642E7740-31EF-4CBA-AA61-8448D218EFFF}" name="Column3250"/>
    <tableColumn id="3256" xr3:uid="{FC5E61C4-47C5-4A5F-8F9D-8BA2EC1B62C4}" name="Column3251"/>
    <tableColumn id="3257" xr3:uid="{39D8BC11-EC2D-4C6B-AB9A-7BB91E20DB85}" name="Column3252"/>
    <tableColumn id="3258" xr3:uid="{2B2129D5-F06F-4A74-94E3-25CF4C1461CB}" name="Column3253"/>
    <tableColumn id="3259" xr3:uid="{1B414E89-6595-497D-A852-3F7F5252DA00}" name="Column3254"/>
    <tableColumn id="3260" xr3:uid="{AE88B917-33B0-4D51-8444-CAD99EF331EF}" name="Column3255"/>
    <tableColumn id="3261" xr3:uid="{5CFE04E5-3341-4EB4-93F5-D20C4EC90666}" name="Column3256"/>
    <tableColumn id="3262" xr3:uid="{2ED651B9-5F75-41DC-8101-F912D636C922}" name="Column3257"/>
    <tableColumn id="3263" xr3:uid="{132FD307-80F7-4FFD-AC19-0846E316DBF7}" name="Column3258"/>
    <tableColumn id="3264" xr3:uid="{9DA8DFB6-0CEB-466C-AA35-6E2BB7533BD3}" name="Column3259"/>
    <tableColumn id="3265" xr3:uid="{3CA07D5C-CD97-48EE-A202-C3D02BA762DF}" name="Column3260"/>
    <tableColumn id="3266" xr3:uid="{D343017D-BA73-49A8-AD2D-37E3515B4385}" name="Column3261"/>
    <tableColumn id="3267" xr3:uid="{8C1E68C7-725F-4DFB-BF37-9C9DC6BB2FEB}" name="Column3262"/>
    <tableColumn id="3268" xr3:uid="{F7D89CA8-80C8-4398-9D1D-549CC4395F87}" name="Column3263"/>
    <tableColumn id="3269" xr3:uid="{24AC9F81-AC09-48E5-A127-2C96137FD850}" name="Column3264"/>
    <tableColumn id="3270" xr3:uid="{14221C4B-6DF3-4EC6-B892-AE5F8B4D4452}" name="Column3265"/>
    <tableColumn id="3271" xr3:uid="{4984360E-3332-4E8F-AC89-3B0E66C06250}" name="Column3266"/>
    <tableColumn id="3272" xr3:uid="{64BA2DF5-C7E3-455D-AF52-FC8572D05F49}" name="Column3267"/>
    <tableColumn id="3273" xr3:uid="{DB793AF9-8106-43AD-8433-E6A0A72A4051}" name="Column3268"/>
    <tableColumn id="3274" xr3:uid="{8867F48B-C3DD-4B79-810B-A38CDE74A3D2}" name="Column3269"/>
    <tableColumn id="3275" xr3:uid="{09124C62-88D9-492D-9E12-714CB04CC06E}" name="Column3270"/>
    <tableColumn id="3276" xr3:uid="{2DC1BBB7-AE6A-4218-A905-B6C7E4B00ACD}" name="Column3271"/>
    <tableColumn id="3277" xr3:uid="{7DBB6C1D-9A42-4441-9847-DEBBDD3CFD8A}" name="Column3272"/>
    <tableColumn id="3278" xr3:uid="{44036839-13BA-4CC9-8565-D5F60C309C3B}" name="Column3273"/>
    <tableColumn id="3279" xr3:uid="{07AEE8AB-D7A6-4811-832D-BF45381A5B56}" name="Column3274"/>
    <tableColumn id="3280" xr3:uid="{11CAA227-0FA3-418F-90D1-12D28618A342}" name="Column3275"/>
    <tableColumn id="3281" xr3:uid="{190019C0-D983-4137-9734-11DAD893665A}" name="Column3276"/>
    <tableColumn id="3282" xr3:uid="{76AE6419-026E-45A4-B311-146B11F1C746}" name="Column3277"/>
    <tableColumn id="3283" xr3:uid="{77AADF53-92A7-4712-A0E9-A1A4D4D4B7F4}" name="Column3278"/>
    <tableColumn id="3284" xr3:uid="{7DEDAD73-7228-483B-AC15-91E0B7616A55}" name="Column3279"/>
    <tableColumn id="3285" xr3:uid="{ADAB33E0-631D-49D8-9234-EC75E37A18C0}" name="Column3280"/>
    <tableColumn id="3286" xr3:uid="{A7AE3293-92FF-4968-AF48-3B1BDD47BE3B}" name="Column3281"/>
    <tableColumn id="3287" xr3:uid="{CD9604AC-13EA-4F6B-A137-48D2EDFEEC87}" name="Column3282"/>
    <tableColumn id="3288" xr3:uid="{D51BBD16-4A31-4842-907F-3193F2D67F07}" name="Column3283"/>
    <tableColumn id="3289" xr3:uid="{A2CE65D8-EA61-465F-B5BE-CD6EC66D49FA}" name="Column3284"/>
    <tableColumn id="3290" xr3:uid="{A5C06EB2-D806-4DC7-8616-964632BF4F36}" name="Column3285"/>
    <tableColumn id="3291" xr3:uid="{EE8D648F-24FC-4C61-B79B-16541668673D}" name="Column3286"/>
    <tableColumn id="3292" xr3:uid="{8641D7E3-DCC2-4ECA-8AB2-192254E764D6}" name="Column3287"/>
    <tableColumn id="3293" xr3:uid="{16D9EFFF-F26B-4DF8-BAAA-AEE2D74130DD}" name="Column3288"/>
    <tableColumn id="3294" xr3:uid="{0643F276-DB6A-4DEF-BCEC-FCC379F19F37}" name="Column3289"/>
    <tableColumn id="3295" xr3:uid="{7EBE5297-9388-47F7-B004-1A344095B5D7}" name="Column3290"/>
    <tableColumn id="3296" xr3:uid="{953F11EF-7024-420C-8C07-AA0FA46EB56D}" name="Column3291"/>
    <tableColumn id="3297" xr3:uid="{32FBC14F-C7B4-4005-912E-162E7918766B}" name="Column3292"/>
    <tableColumn id="3298" xr3:uid="{4F8786E4-BDF7-44B7-8A84-391B277F34EB}" name="Column3293"/>
    <tableColumn id="3299" xr3:uid="{4072C429-8E5E-4A21-B3F0-133271C3EB54}" name="Column3294"/>
    <tableColumn id="3300" xr3:uid="{F9DAC910-7683-4196-91DA-CA7817A3CA56}" name="Column3295"/>
    <tableColumn id="3301" xr3:uid="{10EA98E4-255B-4C3B-9F75-CB8E455A7CF3}" name="Column3296"/>
    <tableColumn id="3302" xr3:uid="{71862425-80F7-47C2-9C03-7C5BDD29509C}" name="Column3297"/>
    <tableColumn id="3303" xr3:uid="{CC066E38-F100-4ADF-B1DC-3495FDDF0C21}" name="Column3298"/>
    <tableColumn id="3304" xr3:uid="{F8C6DE3F-2BDC-476F-8414-3306D75DD556}" name="Column3299"/>
    <tableColumn id="3305" xr3:uid="{629630D3-1922-429F-A821-0A7FF91B351B}" name="Column3300"/>
    <tableColumn id="3306" xr3:uid="{D20172D5-1B46-4863-AC51-33F27F7C4A2F}" name="Column3301"/>
    <tableColumn id="3307" xr3:uid="{5CCCF503-641F-4BF8-BC5E-EC9E68479CD1}" name="Column3302"/>
    <tableColumn id="3308" xr3:uid="{C9C774BA-16BA-416F-8DEB-A9FA741FB83C}" name="Column3303"/>
    <tableColumn id="3309" xr3:uid="{7A28EC82-C68B-4DF5-9D8A-2F58FB8F98A9}" name="Column3304"/>
    <tableColumn id="3310" xr3:uid="{BBE7E626-F24B-45E6-A24E-AE57BD4A389F}" name="Column3305"/>
    <tableColumn id="3311" xr3:uid="{1A03C21C-0DDE-4F54-9C52-7D6E9B15319D}" name="Column3306"/>
    <tableColumn id="3312" xr3:uid="{1981EC05-94F5-4978-A1FB-99B9E3A728DF}" name="Column3307"/>
    <tableColumn id="3313" xr3:uid="{51C06DED-AD30-4AA4-BFD6-9FBC4573D00C}" name="Column3308"/>
    <tableColumn id="3314" xr3:uid="{C8724848-9223-4D79-AD7D-0C0EF039D6E2}" name="Column3309"/>
    <tableColumn id="3315" xr3:uid="{92F237C4-CDC2-4652-B526-89D7C6790AED}" name="Column3310"/>
    <tableColumn id="3316" xr3:uid="{17D0428D-E5CF-43BC-AB35-32579E95479D}" name="Column3311"/>
    <tableColumn id="3317" xr3:uid="{8483F20E-4DC7-4C75-AB78-F5D1FC446275}" name="Column3312"/>
    <tableColumn id="3318" xr3:uid="{93A1390A-01C3-4DF0-8086-ADB7D2FF835C}" name="Column3313"/>
    <tableColumn id="3319" xr3:uid="{0B4F06BA-2935-4049-8CDD-3FB48DF4CBE6}" name="Column3314"/>
    <tableColumn id="3320" xr3:uid="{64C3BB1F-185D-47BE-8CA0-728A805BF603}" name="Column3315"/>
    <tableColumn id="3321" xr3:uid="{9665F01C-A843-4BD3-A227-B7FEF6883D30}" name="Column3316"/>
    <tableColumn id="3322" xr3:uid="{DECBD7B0-6D7B-4C41-9FD7-56BDCA544709}" name="Column3317"/>
    <tableColumn id="3323" xr3:uid="{FDA63593-610A-4CFC-9E51-CCCB12932515}" name="Column3318"/>
    <tableColumn id="3324" xr3:uid="{9F1709DB-CC67-4D45-84D5-C3C602E8B0E0}" name="Column3319"/>
    <tableColumn id="3325" xr3:uid="{603E7794-B990-4252-B198-F61BC04D7433}" name="Column3320"/>
    <tableColumn id="3326" xr3:uid="{AE2C61C2-0572-45FA-A275-5F0AEB33E290}" name="Column3321"/>
    <tableColumn id="3327" xr3:uid="{FD0B6ED9-5556-4465-B80B-DAA4D1AAC52D}" name="Column3322"/>
    <tableColumn id="3328" xr3:uid="{D864B1A8-1B27-4792-BDE5-22BBDEEADFB2}" name="Column3323"/>
    <tableColumn id="3329" xr3:uid="{25AD23AD-2204-4F5C-ABD4-84427A730738}" name="Column3324"/>
    <tableColumn id="3330" xr3:uid="{808D3D1D-3214-4B52-8641-217AA9512C3E}" name="Column3325"/>
    <tableColumn id="3331" xr3:uid="{620DEB6E-0FF4-40DB-B9AF-B2B8938392E3}" name="Column3326"/>
    <tableColumn id="3332" xr3:uid="{2A6F154D-E83A-4C38-85AE-66711EE920AF}" name="Column3327"/>
    <tableColumn id="3333" xr3:uid="{99DB4133-9B7E-4DAF-832F-351F436C8412}" name="Column3328"/>
    <tableColumn id="3334" xr3:uid="{B484503B-88FF-42BF-BF11-50F0E28B29E1}" name="Column3329"/>
    <tableColumn id="3335" xr3:uid="{561D5645-1D07-413E-82BB-CE39C8F582F5}" name="Column3330"/>
    <tableColumn id="3336" xr3:uid="{59E7DBC8-CC13-4E9B-8061-8C767BFFCD9A}" name="Column3331"/>
    <tableColumn id="3337" xr3:uid="{F9F0555E-F638-4759-8AB3-707B6FAB79A9}" name="Column3332"/>
    <tableColumn id="3338" xr3:uid="{F10D48CF-C79C-481A-889E-2AD116FBBB6F}" name="Column3333"/>
    <tableColumn id="3339" xr3:uid="{EBD8878E-5732-4984-AA08-AA85F037B634}" name="Column3334"/>
    <tableColumn id="3340" xr3:uid="{AACA085A-C848-4D28-A0ED-A0245D877639}" name="Column3335"/>
    <tableColumn id="3341" xr3:uid="{9CBAB417-9F92-40D4-AACD-694E2B90EB01}" name="Column3336"/>
    <tableColumn id="3342" xr3:uid="{0EC07A8D-1027-464C-AB8F-95A3522B91C8}" name="Column3337"/>
    <tableColumn id="3343" xr3:uid="{A9F6B258-53DA-42FF-8947-0709AD41F854}" name="Column3338"/>
    <tableColumn id="3344" xr3:uid="{9C29C99E-D60D-4341-A7D1-811B9D642A50}" name="Column3339"/>
    <tableColumn id="3345" xr3:uid="{3CB54FCC-38B1-47F7-8659-12EFAEDAE310}" name="Column3340"/>
    <tableColumn id="3346" xr3:uid="{82F7BB8A-AA15-4D01-8376-3CDB9201E721}" name="Column3341"/>
    <tableColumn id="3347" xr3:uid="{35D041C6-666C-41D3-8741-3B690C30BDA5}" name="Column3342"/>
    <tableColumn id="3348" xr3:uid="{AF2DE9B8-120A-46B9-864E-E53586C243A5}" name="Column3343"/>
    <tableColumn id="3349" xr3:uid="{3AD70362-4EA4-40F7-8153-33E5121AE45E}" name="Column3344"/>
    <tableColumn id="3350" xr3:uid="{0132FBA6-AF2A-417D-9996-E3C0FB364BAA}" name="Column3345"/>
    <tableColumn id="3351" xr3:uid="{F9827B3F-48EB-4683-9937-7D18A062BA29}" name="Column3346"/>
    <tableColumn id="3352" xr3:uid="{5F15F92A-BB80-44EE-B904-3C953422FFAF}" name="Column3347"/>
    <tableColumn id="3353" xr3:uid="{F31197C1-3B91-448C-8F8C-CA95E4638C4E}" name="Column3348"/>
    <tableColumn id="3354" xr3:uid="{89ABB122-3145-4DDC-9981-E98D4F65A17C}" name="Column3349"/>
    <tableColumn id="3355" xr3:uid="{96FBBE74-3CF5-4020-995D-7CF57AAE24C9}" name="Column3350"/>
    <tableColumn id="3356" xr3:uid="{91169BEB-77B4-4F94-B4E0-4FB29A058541}" name="Column3351"/>
    <tableColumn id="3357" xr3:uid="{7D435592-F5F4-470E-9376-6FD5DA24A0FD}" name="Column3352"/>
    <tableColumn id="3358" xr3:uid="{9C613F01-1753-4BAB-8B25-B333A57C7F8C}" name="Column3353"/>
    <tableColumn id="3359" xr3:uid="{FB98D52A-1AA7-4B3C-AC50-4F33F1B6B03D}" name="Column3354"/>
    <tableColumn id="3360" xr3:uid="{763188D5-83FC-46B6-A7A3-B3E7A48E7810}" name="Column3355"/>
    <tableColumn id="3361" xr3:uid="{726AF918-F4CC-4250-8DE7-4828A3AD35EF}" name="Column3356"/>
    <tableColumn id="3362" xr3:uid="{F2C24A0C-AAE6-42F0-A87F-3BC6421D6A3A}" name="Column3357"/>
    <tableColumn id="3363" xr3:uid="{D4490B73-3643-4012-A61E-43A04CB99979}" name="Column3358"/>
    <tableColumn id="3364" xr3:uid="{C10198C9-E379-4FAB-9B92-C4BDC3A63035}" name="Column3359"/>
    <tableColumn id="3365" xr3:uid="{8B66B91A-E30C-4673-99DD-BA1807A7F11B}" name="Column3360"/>
    <tableColumn id="3366" xr3:uid="{4D2A80FC-FE87-4633-A782-835E450FD179}" name="Column3361"/>
    <tableColumn id="3367" xr3:uid="{7411698D-A192-409B-8A9B-F8E825080839}" name="Column3362"/>
    <tableColumn id="3368" xr3:uid="{752F7218-643C-4A4F-9942-1C867F5FD06F}" name="Column3363"/>
    <tableColumn id="3369" xr3:uid="{579CDC55-5026-4363-9546-19EDB48E2BCB}" name="Column3364"/>
    <tableColumn id="3370" xr3:uid="{39EE2C78-8336-45CA-8F77-9CC3EE9A2DC4}" name="Column3365"/>
    <tableColumn id="3371" xr3:uid="{F689C977-BC1F-44F0-9466-2032653CE456}" name="Column3366"/>
    <tableColumn id="3372" xr3:uid="{16C625DB-1316-4C0F-8FFC-78FF3B80570E}" name="Column3367"/>
    <tableColumn id="3373" xr3:uid="{895420BA-E7FD-4C11-9C68-B1F4EAA4122D}" name="Column3368"/>
    <tableColumn id="3374" xr3:uid="{FC0ED858-8D79-44D9-9201-CD31B10C5760}" name="Column3369"/>
    <tableColumn id="3375" xr3:uid="{78476DA0-2876-41BE-AD51-8ABB4C4ABD52}" name="Column3370"/>
    <tableColumn id="3376" xr3:uid="{40A8C2F6-E3F6-4FF4-B7D0-3B3BD5DC6F5D}" name="Column3371"/>
    <tableColumn id="3377" xr3:uid="{A09D7384-D886-4340-BAA9-4A852332584F}" name="Column3372"/>
    <tableColumn id="3378" xr3:uid="{E9AEC50D-B079-4A4C-8C3D-B16103850F2D}" name="Column3373"/>
    <tableColumn id="3379" xr3:uid="{52756A50-E24C-4C8F-A522-1384703027CA}" name="Column3374"/>
    <tableColumn id="3380" xr3:uid="{0B5454FF-0DE9-4358-8AF1-8DC98C0FA969}" name="Column3375"/>
    <tableColumn id="3381" xr3:uid="{40246BDF-D479-4AC4-9FA5-2BFAEFBBCEB7}" name="Column3376"/>
    <tableColumn id="3382" xr3:uid="{44A2D2BD-8A42-4B0A-92D8-6634103DFA09}" name="Column3377"/>
    <tableColumn id="3383" xr3:uid="{D1256021-7169-4175-A063-3921138934EC}" name="Column3378"/>
    <tableColumn id="3384" xr3:uid="{FFAA3B26-6D38-4D9B-AB1E-014377A2C825}" name="Column3379"/>
    <tableColumn id="3385" xr3:uid="{9166850E-E880-4577-9491-14F9E9FA4C38}" name="Column3380"/>
    <tableColumn id="3386" xr3:uid="{4DD2A429-52E5-49C7-9271-C6DF84963EDA}" name="Column3381"/>
    <tableColumn id="3387" xr3:uid="{23BBBBF1-E43F-485B-BC55-6061CA89A706}" name="Column3382"/>
    <tableColumn id="3388" xr3:uid="{56736323-49F6-4911-8310-583F5D26121B}" name="Column3383"/>
    <tableColumn id="3389" xr3:uid="{0D9F82F3-062A-4767-92A9-7512FB19771E}" name="Column3384"/>
    <tableColumn id="3390" xr3:uid="{0439D356-BFA0-41E7-8255-63462A4809BC}" name="Column3385"/>
    <tableColumn id="3391" xr3:uid="{F87B503F-5294-4813-B1B9-457A5F9C4433}" name="Column3386"/>
    <tableColumn id="3392" xr3:uid="{AC299FBB-C1D5-498F-9426-FBEE36475366}" name="Column3387"/>
    <tableColumn id="3393" xr3:uid="{AB8DAD3A-5FC4-4A3E-8D29-3A960410E254}" name="Column3388"/>
    <tableColumn id="3394" xr3:uid="{D77139B2-4614-40A9-8C06-157870E5487C}" name="Column3389"/>
    <tableColumn id="3395" xr3:uid="{3D61522C-F84B-4316-8C59-F1A542F17830}" name="Column3390"/>
    <tableColumn id="3396" xr3:uid="{38CD8883-43C3-4E60-8173-045F1EEB1373}" name="Column3391"/>
    <tableColumn id="3397" xr3:uid="{528A9960-7EE4-4EFA-A88F-8D15DF7F655C}" name="Column3392"/>
    <tableColumn id="3398" xr3:uid="{7BC10B77-33AF-4B6B-8359-9FDF207047E2}" name="Column3393"/>
    <tableColumn id="3399" xr3:uid="{4BE22A55-D663-4625-9D35-B59D18E3EF21}" name="Column3394"/>
    <tableColumn id="3400" xr3:uid="{11708CF7-7D2E-445F-8F0C-350F129BF4CA}" name="Column3395"/>
    <tableColumn id="3401" xr3:uid="{AC9D21BC-FD3E-4EC4-9689-9A9F05E35269}" name="Column3396"/>
    <tableColumn id="3402" xr3:uid="{E265F2CD-5095-4AD6-A407-F157CD3B9306}" name="Column3397"/>
    <tableColumn id="3403" xr3:uid="{2B24F51B-B985-4114-9685-AA9C22348B81}" name="Column3398"/>
    <tableColumn id="3404" xr3:uid="{A062F9A3-7E77-4099-A28F-994428C855B6}" name="Column3399"/>
    <tableColumn id="3405" xr3:uid="{757BB074-6683-40AF-B96A-913BBB75564B}" name="Column3400"/>
    <tableColumn id="3406" xr3:uid="{23FC51F0-5A00-45E1-A3B4-A7306DD5E383}" name="Column3401"/>
    <tableColumn id="3407" xr3:uid="{48FB7463-2B82-44F4-98D3-0BFC89841709}" name="Column3402"/>
    <tableColumn id="3408" xr3:uid="{8EC20539-2ABF-4136-93C1-834C0C0A5624}" name="Column3403"/>
    <tableColumn id="3409" xr3:uid="{837D274D-16B1-4855-8AA0-DF32E65E8224}" name="Column3404"/>
    <tableColumn id="3410" xr3:uid="{20B9A581-C67A-4EF1-B753-193D0FF3DEA1}" name="Column3405"/>
    <tableColumn id="3411" xr3:uid="{FAC5EF28-95AF-49E2-902F-FC9AAFA54887}" name="Column3406"/>
    <tableColumn id="3412" xr3:uid="{BAF7207A-2B6B-40DE-AC90-83E084F66B24}" name="Column3407"/>
    <tableColumn id="3413" xr3:uid="{1FB4D9BB-43EB-4A49-9656-44B834D69412}" name="Column3408"/>
    <tableColumn id="3414" xr3:uid="{F5492FAF-11D8-43BA-8F13-1466BDB90596}" name="Column3409"/>
    <tableColumn id="3415" xr3:uid="{398EA2E8-09BA-4DEC-9465-D08C7892DBC8}" name="Column3410"/>
    <tableColumn id="3416" xr3:uid="{DC06E728-FC5A-4DD2-8E36-DAC3D69E663F}" name="Column3411"/>
    <tableColumn id="3417" xr3:uid="{268A95A2-9782-41F9-85EE-D2CA951D7588}" name="Column3412"/>
    <tableColumn id="3418" xr3:uid="{A622C33D-448A-4024-8320-D5CFB5FB6447}" name="Column3413"/>
    <tableColumn id="3419" xr3:uid="{AFEBE43E-524B-415A-BFD1-E0505E0D4E3E}" name="Column3414"/>
    <tableColumn id="3420" xr3:uid="{5436D5EC-8B23-49A8-92C6-22B511A08ADF}" name="Column3415"/>
    <tableColumn id="3421" xr3:uid="{1C4E54BF-CE65-4FF3-9438-C549A2FD5CBD}" name="Column3416"/>
    <tableColumn id="3422" xr3:uid="{A3000BDD-5A06-465D-9556-829286F46AC6}" name="Column3417"/>
    <tableColumn id="3423" xr3:uid="{61958B34-4FFB-4CCB-9414-28F3155A5F80}" name="Column3418"/>
    <tableColumn id="3424" xr3:uid="{5FADA60A-ADDC-4B4D-B22E-5986B2703824}" name="Column3419"/>
    <tableColumn id="3425" xr3:uid="{7092B324-F714-4AC5-8575-49C46DAA0AA1}" name="Column3420"/>
    <tableColumn id="3426" xr3:uid="{44417AB8-3321-4B52-AD53-9EBBD9F774DC}" name="Column3421"/>
    <tableColumn id="3427" xr3:uid="{84F3E377-7D80-47A5-AE12-9655B7AEE0E8}" name="Column3422"/>
    <tableColumn id="3428" xr3:uid="{611B9AAE-47BF-4A2B-9B32-E9E35CE50270}" name="Column3423"/>
    <tableColumn id="3429" xr3:uid="{45D50CD7-9AE0-4FEC-A251-65185733427E}" name="Column3424"/>
    <tableColumn id="3430" xr3:uid="{5E3CF585-BD21-4FE3-BFDD-DF78FFD8ECA1}" name="Column3425"/>
    <tableColumn id="3431" xr3:uid="{719E52C5-C2CC-4873-A58F-4AA363357E90}" name="Column3426"/>
    <tableColumn id="3432" xr3:uid="{213C7F0D-B9BC-492B-A517-FA59BD38B82C}" name="Column3427"/>
    <tableColumn id="3433" xr3:uid="{BCFD6317-82E5-4FB9-90DA-A66D21A85D8E}" name="Column3428"/>
    <tableColumn id="3434" xr3:uid="{BD63F374-9ADE-43C0-9DDC-4C171C30452C}" name="Column3429"/>
    <tableColumn id="3435" xr3:uid="{FC593217-D40D-4376-B26D-E88B09872238}" name="Column3430"/>
    <tableColumn id="3436" xr3:uid="{6EF43236-CF50-489D-81F5-A6D85A573023}" name="Column3431"/>
    <tableColumn id="3437" xr3:uid="{3A66F4E6-9C75-44E0-8686-F1776361B9CC}" name="Column3432"/>
    <tableColumn id="3438" xr3:uid="{778EAC95-B811-42CD-8830-13F1914E1659}" name="Column3433"/>
    <tableColumn id="3439" xr3:uid="{7AE783D0-F38C-4E6F-8108-A9C535E08D0D}" name="Column3434"/>
    <tableColumn id="3440" xr3:uid="{30FF2C77-A4D3-4C94-910F-4CA7F7172D2D}" name="Column3435"/>
    <tableColumn id="3441" xr3:uid="{10CE09ED-2B83-4318-B9C0-5E34FC442B86}" name="Column3436"/>
    <tableColumn id="3442" xr3:uid="{B4393978-04ED-4E6D-BCC7-44098E0CED51}" name="Column3437"/>
    <tableColumn id="3443" xr3:uid="{89A49481-3D41-416D-B9ED-76F5EB0201B7}" name="Column3438"/>
    <tableColumn id="3444" xr3:uid="{00601491-F36B-4769-9A64-3139F04CB8DE}" name="Column3439"/>
    <tableColumn id="3445" xr3:uid="{16110E72-1691-4A3F-9F9A-D78552F1AE5B}" name="Column3440"/>
    <tableColumn id="3446" xr3:uid="{20FC436E-5306-4614-A127-F68A59CDB6A7}" name="Column3441"/>
    <tableColumn id="3447" xr3:uid="{AEA71BFB-AAFD-4BD3-B105-3A44E1C55B1A}" name="Column3442"/>
    <tableColumn id="3448" xr3:uid="{270F484D-1C49-492F-8801-B4FBB1372070}" name="Column3443"/>
    <tableColumn id="3449" xr3:uid="{40B16D40-643B-4AFF-8A5A-3FF6F1388646}" name="Column3444"/>
    <tableColumn id="3450" xr3:uid="{7E2C5571-A3EC-4F2A-A087-88CA6748341F}" name="Column3445"/>
    <tableColumn id="3451" xr3:uid="{6DE6CCD9-05BF-48ED-B745-062B6303ED36}" name="Column3446"/>
    <tableColumn id="3452" xr3:uid="{322D1537-FCF0-47FC-B3C2-C3361211BC36}" name="Column3447"/>
    <tableColumn id="3453" xr3:uid="{1A4AB260-889B-4315-8FAC-CD656EA72DE3}" name="Column3448"/>
    <tableColumn id="3454" xr3:uid="{DA10BB16-C3BF-468D-9FF6-81C0D3EBF77B}" name="Column3449"/>
    <tableColumn id="3455" xr3:uid="{068B6D84-4938-4016-83F7-0FD3A15F1978}" name="Column3450"/>
    <tableColumn id="3456" xr3:uid="{D29001B5-5ACD-4029-870C-8FC1BFC6F674}" name="Column3451"/>
    <tableColumn id="3457" xr3:uid="{7DBD73ED-ECA7-4C54-90DA-030A34F0FCB0}" name="Column3452"/>
    <tableColumn id="3458" xr3:uid="{AD12032C-09B3-43A9-AD77-198D833325C1}" name="Column3453"/>
    <tableColumn id="3459" xr3:uid="{D1942C6B-90DE-43D8-A4B0-2F70FEDA01C4}" name="Column3454"/>
    <tableColumn id="3460" xr3:uid="{20663B1E-7E9F-4308-AB6E-277D9B6F6546}" name="Column3455"/>
    <tableColumn id="3461" xr3:uid="{6EC4EA59-0F5F-403D-99F2-69B9AA52A099}" name="Column3456"/>
    <tableColumn id="3462" xr3:uid="{A0013F5C-C158-4517-A287-6041658EA64D}" name="Column3457"/>
    <tableColumn id="3463" xr3:uid="{F8951C72-FA1A-44A7-B025-173465FA6FFF}" name="Column3458"/>
    <tableColumn id="3464" xr3:uid="{8D4A9488-6A3E-4C4C-AAFB-9AEA39CEE3D5}" name="Column3459"/>
    <tableColumn id="3465" xr3:uid="{8AA0E597-ED50-4D50-949B-AD778D73CEF9}" name="Column3460"/>
    <tableColumn id="3466" xr3:uid="{EF974527-402D-4131-8170-AA404F53CDDC}" name="Column3461"/>
    <tableColumn id="3467" xr3:uid="{6A822901-1BD2-4D81-B020-F745DE3E4C4B}" name="Column3462"/>
    <tableColumn id="3468" xr3:uid="{65A4CE78-F5D9-40C1-A6B6-7C8EAB3BEF5A}" name="Column3463"/>
    <tableColumn id="3469" xr3:uid="{68FF9554-79E6-44A8-84BA-0993F725AD78}" name="Column3464"/>
    <tableColumn id="3470" xr3:uid="{B0F6ABE4-07FC-4803-AF69-FEB5A6370EFB}" name="Column3465"/>
    <tableColumn id="3471" xr3:uid="{CFB35528-0DAB-4469-8D3B-4110A7F87C6B}" name="Column3466"/>
    <tableColumn id="3472" xr3:uid="{2AD66A99-971A-432B-A680-919BFFF47E54}" name="Column3467"/>
    <tableColumn id="3473" xr3:uid="{672C4E0D-C7E5-4B2A-BC5A-29D27A1D350B}" name="Column3468"/>
    <tableColumn id="3474" xr3:uid="{EF94DAC8-170E-4586-A55C-5D278C207B16}" name="Column3469"/>
    <tableColumn id="3475" xr3:uid="{8B44D3F9-F93D-4D90-A613-08B5D6728E11}" name="Column3470"/>
    <tableColumn id="3476" xr3:uid="{4BE15435-73FF-4E06-B1F7-B6F81A26739A}" name="Column3471"/>
    <tableColumn id="3477" xr3:uid="{5404019D-0F0E-469A-ADE1-29C5366D3E2A}" name="Column3472"/>
    <tableColumn id="3478" xr3:uid="{A51EED88-0CB9-4A42-B268-ED8FEF727D5A}" name="Column3473"/>
    <tableColumn id="3479" xr3:uid="{FE6CB6D4-546C-4A37-99A3-0E6A1B758C26}" name="Column3474"/>
    <tableColumn id="3480" xr3:uid="{40B222C7-A00E-41D7-9626-69231BC0881E}" name="Column3475"/>
    <tableColumn id="3481" xr3:uid="{0F4B88D7-480B-4B82-BCC9-4AAA86497CB8}" name="Column3476"/>
    <tableColumn id="3482" xr3:uid="{1D13375E-9DE0-448C-9BCB-33622B2CB53F}" name="Column3477"/>
    <tableColumn id="3483" xr3:uid="{1759DCA6-3951-4AC5-8522-ACE5287353CB}" name="Column3478"/>
    <tableColumn id="3484" xr3:uid="{AED0446E-AB16-4E98-86CB-7CCDC3F917A1}" name="Column3479"/>
    <tableColumn id="3485" xr3:uid="{C419C005-6980-4EE5-B284-D346BA341596}" name="Column3480"/>
    <tableColumn id="3486" xr3:uid="{40A1A84F-1B3C-49D1-B94D-3AB678879881}" name="Column3481"/>
    <tableColumn id="3487" xr3:uid="{EA5C0FF7-00CA-48B6-B18F-636B1FBA7074}" name="Column3482"/>
    <tableColumn id="3488" xr3:uid="{245B210D-D30B-4EEC-80A4-AA94876A325C}" name="Column3483"/>
    <tableColumn id="3489" xr3:uid="{F02E01EF-8FB8-4FF5-AF4D-E52F316C44A1}" name="Column3484"/>
    <tableColumn id="3490" xr3:uid="{B642B5A4-FC73-4630-A210-2665C4FD71FF}" name="Column3485"/>
    <tableColumn id="3491" xr3:uid="{394F0BE9-DB5B-47DD-9F11-CBD67FC5D9A3}" name="Column3486"/>
    <tableColumn id="3492" xr3:uid="{5C5E08EC-02E4-428B-A8A0-C30460B5763E}" name="Column3487"/>
    <tableColumn id="3493" xr3:uid="{F46FA5D5-ED30-48A9-B8DF-3785A6805EE3}" name="Column3488"/>
    <tableColumn id="3494" xr3:uid="{810CDBBF-A0DF-4F08-A426-5D5B5D4A12E8}" name="Column3489"/>
    <tableColumn id="3495" xr3:uid="{FE33E5CB-6761-44C6-8E0B-23ABEB4A82BE}" name="Column3490"/>
    <tableColumn id="3496" xr3:uid="{F3E410AE-35A0-4DEC-9976-C0364B909F40}" name="Column3491"/>
    <tableColumn id="3497" xr3:uid="{ECF6A85E-BFA0-4DAB-A2CE-DCA1812A9A51}" name="Column3492"/>
    <tableColumn id="3498" xr3:uid="{17539F6E-D2B0-40B9-845A-D58E06372E13}" name="Column3493"/>
    <tableColumn id="3499" xr3:uid="{E72EAF63-0C7E-45EA-8645-48B5CDAAA2D9}" name="Column3494"/>
    <tableColumn id="3500" xr3:uid="{E1BB0F81-ADB2-4B1D-B806-66B894FCA86A}" name="Column3495"/>
    <tableColumn id="3501" xr3:uid="{D759B0CC-E6C7-4023-91B2-853DDD7EE475}" name="Column3496"/>
    <tableColumn id="3502" xr3:uid="{3B5CB02D-4554-46C7-A2C5-FA5FD9E8E6C4}" name="Column3497"/>
    <tableColumn id="3503" xr3:uid="{304215B0-F8BD-4242-828D-E012AA899F3F}" name="Column3498"/>
    <tableColumn id="3504" xr3:uid="{CFE3FC0E-109E-4A69-8DC7-674E608BA47A}" name="Column3499"/>
    <tableColumn id="3505" xr3:uid="{C4D1DCC7-F5EA-4B00-B0D8-19D9B2231657}" name="Column3500"/>
    <tableColumn id="3506" xr3:uid="{481EE96F-9ACB-4107-9665-A12E9217D2D0}" name="Column3501"/>
    <tableColumn id="3507" xr3:uid="{D7375F92-0A21-4459-871C-9718B6F79F5D}" name="Column3502"/>
    <tableColumn id="3508" xr3:uid="{E993563A-D2CA-46E7-ADA0-143ED00E6937}" name="Column3503"/>
    <tableColumn id="3509" xr3:uid="{BEA75F07-174C-4AA2-AF98-B64D4F8A5D0B}" name="Column3504"/>
    <tableColumn id="3510" xr3:uid="{D52D266B-4FD3-4E62-B55E-638254B27F84}" name="Column3505"/>
    <tableColumn id="3511" xr3:uid="{DF23F9CB-DE02-464B-A528-00E509B2AB20}" name="Column3506"/>
    <tableColumn id="3512" xr3:uid="{8170CBAD-77F6-4158-9F7C-DA420067A553}" name="Column3507"/>
    <tableColumn id="3513" xr3:uid="{002D1623-7E22-4AB0-92EB-2592753C3354}" name="Column3508"/>
    <tableColumn id="3514" xr3:uid="{4D02E1AB-DC1E-46C0-8FFC-E97B7511CC1D}" name="Column3509"/>
    <tableColumn id="3515" xr3:uid="{0698AC41-7FEB-4A32-A0AC-51A29F36035F}" name="Column3510"/>
    <tableColumn id="3516" xr3:uid="{9DFC1C6D-9E98-43F6-977C-65A3BBD237F8}" name="Column3511"/>
    <tableColumn id="3517" xr3:uid="{6791EFD1-F92D-4E53-BC4D-80913327D159}" name="Column3512"/>
    <tableColumn id="3518" xr3:uid="{14081F01-58DE-4643-B103-F13D33E9D27C}" name="Column3513"/>
    <tableColumn id="3519" xr3:uid="{A7C656CF-2C10-405D-9AE5-7416BBA1218D}" name="Column3514"/>
    <tableColumn id="3520" xr3:uid="{21C3AB13-58DA-46CB-ADDC-0435C2063025}" name="Column3515"/>
    <tableColumn id="3521" xr3:uid="{13F664A8-346A-42FC-9C60-2394DCF5F11A}" name="Column3516"/>
    <tableColumn id="3522" xr3:uid="{D92842ED-A75C-41F4-A9E2-FF2BED4BC1C0}" name="Column3517"/>
    <tableColumn id="3523" xr3:uid="{83CBF7A3-C374-4A8D-8206-F3190C5EBFBD}" name="Column3518"/>
    <tableColumn id="3524" xr3:uid="{F3A67BA3-DF47-4B0D-AE12-13BEEA21C4CB}" name="Column3519"/>
    <tableColumn id="3525" xr3:uid="{B620C628-E32A-490D-9CD2-C5CA3649E9DB}" name="Column3520"/>
    <tableColumn id="3526" xr3:uid="{1DF48289-8037-4D9F-A6F2-70275584CF60}" name="Column3521"/>
    <tableColumn id="3527" xr3:uid="{A5678532-CA04-436B-AD0C-33237214D8C4}" name="Column3522"/>
    <tableColumn id="3528" xr3:uid="{0CDF954F-A618-4F85-B61D-A7FCCE8AFD06}" name="Column3523"/>
    <tableColumn id="3529" xr3:uid="{E2E576E8-AED2-4938-94C3-2EF5907B526E}" name="Column3524"/>
    <tableColumn id="3530" xr3:uid="{8A10A650-D8CC-41CC-89E3-1D5AE6B02BB2}" name="Column3525"/>
    <tableColumn id="3531" xr3:uid="{0CE951C2-B071-4A71-B0CE-B01319F6B03B}" name="Column3526"/>
    <tableColumn id="3532" xr3:uid="{6E4D197C-FD98-4C67-8CC1-FC9141BAE1B9}" name="Column3527"/>
    <tableColumn id="3533" xr3:uid="{0D5688C5-CE63-4271-8183-765EDE4D0748}" name="Column3528"/>
    <tableColumn id="3534" xr3:uid="{53C79C6F-3AEF-4284-AB7A-90E1F49C9CA2}" name="Column3529"/>
    <tableColumn id="3535" xr3:uid="{A487C8FD-4039-476E-83B1-2017FB53BFDB}" name="Column3530"/>
    <tableColumn id="3536" xr3:uid="{F0FBE189-F987-498B-9766-9F206EE2DCC5}" name="Column3531"/>
    <tableColumn id="3537" xr3:uid="{76067960-680B-40D1-ABD9-E50E16199AB7}" name="Column3532"/>
    <tableColumn id="3538" xr3:uid="{38B58BAE-B142-4A51-A98E-F01F7ADEDADB}" name="Column3533"/>
    <tableColumn id="3539" xr3:uid="{6E868926-EE65-426B-86AD-DBE914439B45}" name="Column3534"/>
    <tableColumn id="3540" xr3:uid="{D8FD6DE4-249B-4021-A6B3-441EEE1E86E6}" name="Column3535"/>
    <tableColumn id="3541" xr3:uid="{ABFBED30-0A7C-479A-A6B2-3A91D15F93F5}" name="Column3536"/>
    <tableColumn id="3542" xr3:uid="{901D9119-FD99-4484-92FD-2444EE8CD312}" name="Column3537"/>
    <tableColumn id="3543" xr3:uid="{3B2C69AA-A4E0-4B3F-A005-33645C3D9E83}" name="Column3538"/>
    <tableColumn id="3544" xr3:uid="{04600C54-B3CB-4C43-A2FE-63723462DB51}" name="Column3539"/>
    <tableColumn id="3545" xr3:uid="{A18417E9-783A-4E1E-982E-F82F88DF606C}" name="Column3540"/>
    <tableColumn id="3546" xr3:uid="{83F68FA7-5444-4572-B018-936359D10C6A}" name="Column3541"/>
    <tableColumn id="3547" xr3:uid="{4007243E-996E-4152-8F12-EA9E60A0BEB7}" name="Column3542"/>
    <tableColumn id="3548" xr3:uid="{BAC75BFE-E9A1-40C2-9DED-D8DAF65E6BB0}" name="Column3543"/>
    <tableColumn id="3549" xr3:uid="{259B6C16-B910-4B29-AB2A-A0BBD6D7F075}" name="Column3544"/>
    <tableColumn id="3550" xr3:uid="{9401B7F1-E0AE-4BDD-A357-D0DC05A88036}" name="Column3545"/>
    <tableColumn id="3551" xr3:uid="{6F81D4C4-4477-4BF0-9AC0-92B94E81179E}" name="Column3546"/>
    <tableColumn id="3552" xr3:uid="{C451F106-FED5-4847-8D46-0080CA437001}" name="Column3547"/>
    <tableColumn id="3553" xr3:uid="{37089161-2A6A-436C-B924-C4BB4A737451}" name="Column3548"/>
    <tableColumn id="3554" xr3:uid="{5C5AA2AB-8D0C-42AD-9F15-491CE91A6E67}" name="Column3549"/>
    <tableColumn id="3555" xr3:uid="{7A7AF489-F032-434B-BFA1-8166FAC8D648}" name="Column3550"/>
    <tableColumn id="3556" xr3:uid="{013F343C-2E69-46CD-97FA-510FBFE78AD3}" name="Column3551"/>
    <tableColumn id="3557" xr3:uid="{0A22098B-2024-47F5-B970-464D13FABE78}" name="Column3552"/>
    <tableColumn id="3558" xr3:uid="{5DD8CE95-2B4B-49A4-84ED-3C990081BB40}" name="Column3553"/>
    <tableColumn id="3559" xr3:uid="{596D68AF-51F4-41E2-9F4B-C927996D336F}" name="Column3554"/>
    <tableColumn id="3560" xr3:uid="{93BFE997-95DD-42C5-9F33-1D3C4B62850E}" name="Column3555"/>
    <tableColumn id="3561" xr3:uid="{BE52422C-50DA-4D4B-86B4-0BAF0670AB9B}" name="Column3556"/>
    <tableColumn id="3562" xr3:uid="{C57B47F1-70E2-46D8-A4C9-072E5486F498}" name="Column3557"/>
    <tableColumn id="3563" xr3:uid="{53D6B947-EE17-486C-A02D-DF2175E4D73D}" name="Column3558"/>
    <tableColumn id="3564" xr3:uid="{1E04FE41-E31D-4074-9869-B729F44D748A}" name="Column3559"/>
    <tableColumn id="3565" xr3:uid="{F34F27EF-308C-4D15-B04C-6DEA55130054}" name="Column3560"/>
    <tableColumn id="3566" xr3:uid="{748C0AFC-824A-4AD1-B5D0-AD503AF735C6}" name="Column3561"/>
    <tableColumn id="3567" xr3:uid="{56BFDB97-982C-41DA-A4E1-D7F63B8871BC}" name="Column3562"/>
    <tableColumn id="3568" xr3:uid="{1EE70EB4-CFA2-4571-B88A-EB5F6A67A717}" name="Column3563"/>
    <tableColumn id="3569" xr3:uid="{A6F215E0-6983-400E-9F30-728C3AF4724F}" name="Column3564"/>
    <tableColumn id="3570" xr3:uid="{199E7AB9-9799-4226-B245-71B26317288B}" name="Column3565"/>
    <tableColumn id="3571" xr3:uid="{27E23EB8-A964-47DB-9384-B92725D164AA}" name="Column3566"/>
    <tableColumn id="3572" xr3:uid="{910B04EE-07D5-46D7-AF9A-4E33D2601F6B}" name="Column3567"/>
    <tableColumn id="3573" xr3:uid="{1B2849DE-0286-4822-A0B6-8A3AF9AEE858}" name="Column3568"/>
    <tableColumn id="3574" xr3:uid="{7A799C94-4AE4-4C2F-B9AC-849E1A75BAA4}" name="Column3569"/>
    <tableColumn id="3575" xr3:uid="{9B8405B9-02C7-4140-8D45-087878F12DE6}" name="Column3570"/>
    <tableColumn id="3576" xr3:uid="{EE5704ED-2671-4F44-A47F-EC7BDE417CCF}" name="Column3571"/>
    <tableColumn id="3577" xr3:uid="{F7E41F73-A0A4-4763-83A0-D2B70311813B}" name="Column3572"/>
    <tableColumn id="3578" xr3:uid="{35E347A2-1815-407C-8FE8-E9930F9A0DD7}" name="Column3573"/>
    <tableColumn id="3579" xr3:uid="{6513DEC3-D4C8-47F4-9563-C500869BB533}" name="Column3574"/>
    <tableColumn id="3580" xr3:uid="{93270416-DC7C-4E37-A193-9B18BD2EE0E8}" name="Column3575"/>
    <tableColumn id="3581" xr3:uid="{F718AB75-9F4D-4CD6-B4A7-BB7B51B94018}" name="Column3576"/>
    <tableColumn id="3582" xr3:uid="{1FA1597C-C294-4C95-B5F2-A0205F16A004}" name="Column3577"/>
    <tableColumn id="3583" xr3:uid="{7E2C3571-BF9F-45B7-9155-A46B2082DF7C}" name="Column3578"/>
    <tableColumn id="3584" xr3:uid="{40556935-8E1F-4D27-A58A-4C935F57D95B}" name="Column3579"/>
    <tableColumn id="3585" xr3:uid="{BD32666A-3DB9-47CA-A76C-A0F228B505B5}" name="Column3580"/>
    <tableColumn id="3586" xr3:uid="{DB74A32B-EADB-4C3D-9046-3982580D950F}" name="Column3581"/>
    <tableColumn id="3587" xr3:uid="{20E3A25E-8C43-4492-8C3F-86C1959C35F2}" name="Column3582"/>
    <tableColumn id="3588" xr3:uid="{F0617A23-5FA5-4862-955D-D6BA2CB00AF9}" name="Column3583"/>
    <tableColumn id="3589" xr3:uid="{5EBBE0AE-ABFD-4810-A146-EBECE8DBE018}" name="Column3584"/>
    <tableColumn id="3590" xr3:uid="{1B5C8C5B-C5E7-4BAF-BA6A-0DCDCAB7312B}" name="Column3585"/>
    <tableColumn id="3591" xr3:uid="{10D1D42E-F3F9-41F5-BECD-7ECF5C3C13C4}" name="Column3586"/>
    <tableColumn id="3592" xr3:uid="{B127E8CD-2254-4D32-87F0-A95612064431}" name="Column3587"/>
    <tableColumn id="3593" xr3:uid="{E40F94C3-DDD1-4EA6-95EF-CC024EC9A602}" name="Column3588"/>
    <tableColumn id="3594" xr3:uid="{4E27CFFE-AF84-4289-A671-D990456EB3ED}" name="Column3589"/>
    <tableColumn id="3595" xr3:uid="{2B75F8BD-74B1-4E8F-A1FA-61D8BEA5D932}" name="Column3590"/>
    <tableColumn id="3596" xr3:uid="{195973D8-BC75-4087-B491-C144D49DF597}" name="Column3591"/>
    <tableColumn id="3597" xr3:uid="{084FD298-0528-4FEA-A14A-9B53BA985FC5}" name="Column3592"/>
    <tableColumn id="3598" xr3:uid="{8F81FE6C-301D-42EA-AA5D-692A25F3DC68}" name="Column3593"/>
    <tableColumn id="3599" xr3:uid="{40DCDD3F-5BAB-4153-ACD1-7F6EACE04C3C}" name="Column3594"/>
    <tableColumn id="3600" xr3:uid="{911B587D-27D2-4462-8EFC-3B98D4715ABA}" name="Column3595"/>
    <tableColumn id="3601" xr3:uid="{8D3B69B0-8351-4C70-91A6-5BAFFAFA2ECC}" name="Column3596"/>
    <tableColumn id="3602" xr3:uid="{21C39CB9-A9A5-49D0-93A0-7725E9BA7DFB}" name="Column3597"/>
    <tableColumn id="3603" xr3:uid="{80E5D208-81E8-43EA-BEC2-843911C82140}" name="Column3598"/>
    <tableColumn id="3604" xr3:uid="{D32AFEC2-CCDB-4A4C-91A6-1070E9E636F9}" name="Column3599"/>
    <tableColumn id="3605" xr3:uid="{8386AB2D-2B57-4BA5-A4D5-34FF5D054D07}" name="Column3600"/>
    <tableColumn id="3606" xr3:uid="{64A59BD8-6287-433C-ABCA-9E5127A58CB0}" name="Column3601"/>
    <tableColumn id="3607" xr3:uid="{E593C309-F7CC-4BE4-9DA0-31EB3CD1A8FB}" name="Column3602"/>
    <tableColumn id="3608" xr3:uid="{722CB1C1-8FB9-409B-A48D-C38C4E824983}" name="Column3603"/>
    <tableColumn id="3609" xr3:uid="{EEA07E92-0D72-49A1-BA39-0DA4A8ADB204}" name="Column3604"/>
    <tableColumn id="3610" xr3:uid="{402F002C-31D5-46DB-9B33-723557429BD3}" name="Column3605"/>
    <tableColumn id="3611" xr3:uid="{3473B37B-AD3D-4765-9E50-D6C291C0F111}" name="Column3606"/>
    <tableColumn id="3612" xr3:uid="{7ACDB3AA-315C-4752-B107-F65085D0826A}" name="Column3607"/>
    <tableColumn id="3613" xr3:uid="{3303E85B-51D5-4AB4-8D58-ABEC6F3D7B3A}" name="Column3608"/>
    <tableColumn id="3614" xr3:uid="{A19B8D5F-8A18-48A4-B73A-589726A69447}" name="Column3609"/>
    <tableColumn id="3615" xr3:uid="{DCEDCE83-CEDB-4FD7-AE48-DB4707331265}" name="Column3610"/>
    <tableColumn id="3616" xr3:uid="{B7102519-1DD2-4CD7-B2E6-CDB21A6D6C0D}" name="Column3611"/>
    <tableColumn id="3617" xr3:uid="{C6097FCC-B66B-44E9-99B8-F326A53B5D0A}" name="Column3612"/>
    <tableColumn id="3618" xr3:uid="{0CC7D2FF-7B22-4EC8-9A7B-0C15F0A06526}" name="Column3613"/>
    <tableColumn id="3619" xr3:uid="{634A9400-BDD4-450A-8685-32AF35AFB490}" name="Column3614"/>
    <tableColumn id="3620" xr3:uid="{2132FD79-315C-47F6-82CF-27B9A3D9EA0B}" name="Column3615"/>
    <tableColumn id="3621" xr3:uid="{52942666-1FBA-409E-9AA4-D766C34F5503}" name="Column3616"/>
    <tableColumn id="3622" xr3:uid="{43D4DA21-B2A6-424B-9E6F-A6FDD698FED6}" name="Column3617"/>
    <tableColumn id="3623" xr3:uid="{6149202A-D7B6-415D-9E4E-6F713F7C8733}" name="Column3618"/>
    <tableColumn id="3624" xr3:uid="{E8458003-F138-4AC6-99D7-DCEDC4456A4C}" name="Column3619"/>
    <tableColumn id="3625" xr3:uid="{06998D8F-AABF-4693-BE57-F3C1244D2817}" name="Column3620"/>
    <tableColumn id="3626" xr3:uid="{BE3A27E3-83C1-48F6-BCEC-7DE2CCDC3198}" name="Column3621"/>
    <tableColumn id="3627" xr3:uid="{7AD24A56-95E0-4EF1-8082-49B140309720}" name="Column3622"/>
    <tableColumn id="3628" xr3:uid="{ADB019DA-9F4A-4B53-87AA-F8C844B5F231}" name="Column3623"/>
    <tableColumn id="3629" xr3:uid="{1EBED961-1531-4FAC-82AF-056963A4C357}" name="Column3624"/>
    <tableColumn id="3630" xr3:uid="{8FA2BE9F-F4F2-48AA-8374-C538A63FEFC5}" name="Column3625"/>
    <tableColumn id="3631" xr3:uid="{B2198D62-0081-4B98-990E-BE97A6DA3E93}" name="Column3626"/>
    <tableColumn id="3632" xr3:uid="{AC93174D-8712-4B7B-A741-6B7663AFD10A}" name="Column3627"/>
    <tableColumn id="3633" xr3:uid="{B9C2B72A-7C66-463C-9EB7-37980D172757}" name="Column3628"/>
    <tableColumn id="3634" xr3:uid="{2F71DDCF-CC21-49A6-9762-315063FBDFF2}" name="Column3629"/>
    <tableColumn id="3635" xr3:uid="{0C98CF3D-BDC7-4FFA-8B77-A529EB1B26EC}" name="Column3630"/>
    <tableColumn id="3636" xr3:uid="{74A18210-A680-40A7-A41B-E5FA26D33832}" name="Column3631"/>
    <tableColumn id="3637" xr3:uid="{0F43B8E5-1A82-403D-9D58-F62B256C5474}" name="Column3632"/>
    <tableColumn id="3638" xr3:uid="{900403D4-33D3-47DD-A154-AC6C10AF8AA8}" name="Column3633"/>
    <tableColumn id="3639" xr3:uid="{C9381717-F62D-4942-A32F-A533C356513B}" name="Column3634"/>
    <tableColumn id="3640" xr3:uid="{1191978E-AF22-4592-AAA8-E36D45B0F62E}" name="Column3635"/>
    <tableColumn id="3641" xr3:uid="{51ADAE9A-A16A-4ED8-A6CD-7617B3BCE3F2}" name="Column3636"/>
    <tableColumn id="3642" xr3:uid="{06F9FAE2-73E1-4852-977F-88A6ACF2D610}" name="Column3637"/>
    <tableColumn id="3643" xr3:uid="{290F8510-DC20-447C-9EA7-A428B3217DCC}" name="Column3638"/>
    <tableColumn id="3644" xr3:uid="{417A2832-38DA-4563-B404-D3F043D068A9}" name="Column3639"/>
    <tableColumn id="3645" xr3:uid="{0AE84E12-E4E6-48D7-8AD5-D3382CAAF075}" name="Column3640"/>
    <tableColumn id="3646" xr3:uid="{68C0C463-B411-4B98-83F3-B35F264F8D22}" name="Column3641"/>
    <tableColumn id="3647" xr3:uid="{4984CDBF-FE90-4459-9AD9-B85462058332}" name="Column3642"/>
    <tableColumn id="3648" xr3:uid="{8B127610-435F-4CE4-BE82-83B84FDE0308}" name="Column3643"/>
    <tableColumn id="3649" xr3:uid="{CAE68ACA-FFB3-44C3-ACCE-20F7D0DD886F}" name="Column3644"/>
    <tableColumn id="3650" xr3:uid="{81B7BBF5-DDFB-4DDD-8101-316B6130C87B}" name="Column3645"/>
    <tableColumn id="3651" xr3:uid="{E723BCC1-A5E1-46C1-924D-3D8F5AEF2B85}" name="Column3646"/>
    <tableColumn id="3652" xr3:uid="{09924DD6-D937-4516-84D5-F749045F59B2}" name="Column3647"/>
    <tableColumn id="3653" xr3:uid="{03D72BA4-2828-4D7B-AD80-382948263B0E}" name="Column3648"/>
    <tableColumn id="3654" xr3:uid="{8FB918AB-501D-4FE8-B283-49B87E283078}" name="Column3649"/>
    <tableColumn id="3655" xr3:uid="{A6959A36-F32C-423F-B5FF-454A6CE9645D}" name="Column3650"/>
    <tableColumn id="3656" xr3:uid="{359C2548-D778-444F-888E-4221B80B0F8D}" name="Column3651"/>
    <tableColumn id="3657" xr3:uid="{4B02882B-4C2C-4006-9982-0D474504490F}" name="Column3652"/>
    <tableColumn id="3658" xr3:uid="{AB15734B-6617-4877-B04C-5060972027CF}" name="Column3653"/>
    <tableColumn id="3659" xr3:uid="{31F7BDC5-4959-4CD5-814B-1719BF31AF03}" name="Column3654"/>
    <tableColumn id="3660" xr3:uid="{4B9D4AB5-D65B-4A61-A8E1-4F899F053277}" name="Column3655"/>
    <tableColumn id="3661" xr3:uid="{62EF0545-9D5E-4838-92D2-7E235968440C}" name="Column3656"/>
    <tableColumn id="3662" xr3:uid="{7DEA078F-7995-4714-9DA2-234203CD96BE}" name="Column3657"/>
    <tableColumn id="3663" xr3:uid="{97791CE3-273B-4D5A-8679-1EA0235904B8}" name="Column3658"/>
    <tableColumn id="3664" xr3:uid="{EAD0004A-A9BC-4A9D-A02B-886A951E621A}" name="Column3659"/>
    <tableColumn id="3665" xr3:uid="{E8ACE199-D954-44AF-9896-FE626136BD46}" name="Column3660"/>
    <tableColumn id="3666" xr3:uid="{4E0067A0-B6CA-43F2-8671-2ED2B7C5D79B}" name="Column3661"/>
    <tableColumn id="3667" xr3:uid="{5DBF02E3-5198-42A6-94D9-B8D15666EDE5}" name="Column3662"/>
    <tableColumn id="3668" xr3:uid="{032025D2-402F-4003-829A-1995DD77AEC4}" name="Column3663"/>
    <tableColumn id="3669" xr3:uid="{EAC7F7F6-3000-4E33-9FD5-283175BDD45F}" name="Column3664"/>
    <tableColumn id="3670" xr3:uid="{92377B98-5183-4838-A5EC-69701E662A73}" name="Column3665"/>
    <tableColumn id="3671" xr3:uid="{A93AF3A8-1063-458D-BD1C-2AE3F7C1440D}" name="Column3666"/>
    <tableColumn id="3672" xr3:uid="{9AF616D6-DB4B-4D25-A02D-DA853F365D67}" name="Column3667"/>
    <tableColumn id="3673" xr3:uid="{1B163403-4F82-4692-AEC6-52B12E2FBD98}" name="Column3668"/>
    <tableColumn id="3674" xr3:uid="{36DC2B9B-6CFA-489B-9D51-08420F8DFE7A}" name="Column3669"/>
    <tableColumn id="3675" xr3:uid="{95465933-7E83-498F-9068-EC83DD056C97}" name="Column3670"/>
    <tableColumn id="3676" xr3:uid="{7438CECB-D122-4032-8F50-8A07460307C5}" name="Column3671"/>
    <tableColumn id="3677" xr3:uid="{C4735E9F-CACF-4680-BAA5-3F32FB90477B}" name="Column3672"/>
    <tableColumn id="3678" xr3:uid="{FC91C682-DE58-402F-9E90-EE5E73D83F8F}" name="Column3673"/>
    <tableColumn id="3679" xr3:uid="{B15CF336-6B58-4ACA-9312-A69D04FBE342}" name="Column3674"/>
    <tableColumn id="3680" xr3:uid="{7F32133C-CD44-4671-91D4-40E6B764CD2D}" name="Column3675"/>
    <tableColumn id="3681" xr3:uid="{AECB48F4-7BFD-47EE-844C-E0958CCD6A62}" name="Column3676"/>
    <tableColumn id="3682" xr3:uid="{A043132D-3DE1-42C9-9214-5E86F9DBC66A}" name="Column3677"/>
    <tableColumn id="3683" xr3:uid="{6D262C05-A972-408E-BD9A-6CE0AABC9207}" name="Column3678"/>
    <tableColumn id="3684" xr3:uid="{F71472C4-1D98-43C1-AC8A-E06B0979A4A8}" name="Column3679"/>
    <tableColumn id="3685" xr3:uid="{4E23522F-32EE-4602-BD4E-D4DD0BE44AB2}" name="Column3680"/>
    <tableColumn id="3686" xr3:uid="{B65C53F0-908E-4C88-9268-0DD08A05388F}" name="Column3681"/>
    <tableColumn id="3687" xr3:uid="{BBCB0668-DF1F-41D9-BA09-80580F09CAA0}" name="Column3682"/>
    <tableColumn id="3688" xr3:uid="{CFB97171-69F6-4523-9AE4-E854832BBF94}" name="Column3683"/>
    <tableColumn id="3689" xr3:uid="{07A27D11-070A-453B-B1CC-6D82A22065D9}" name="Column3684"/>
    <tableColumn id="3690" xr3:uid="{932F1A57-3D1E-4092-84BD-0E39555604EE}" name="Column3685"/>
    <tableColumn id="3691" xr3:uid="{36D5D79C-812C-4EC9-8A32-12A24B7F0C0F}" name="Column3686"/>
    <tableColumn id="3692" xr3:uid="{DF84D7C7-1EB4-4F0A-9594-F2761971B406}" name="Column3687"/>
    <tableColumn id="3693" xr3:uid="{68F2B1A4-57FC-46B2-9F5F-CA60205B167C}" name="Column3688"/>
    <tableColumn id="3694" xr3:uid="{563835B9-8DF2-491F-8A14-7F9E8E223A34}" name="Column3689"/>
    <tableColumn id="3695" xr3:uid="{EA804A7F-0158-4B08-B30B-5C19E9479817}" name="Column3690"/>
    <tableColumn id="3696" xr3:uid="{C2522512-EF86-4443-8117-4A2173274305}" name="Column3691"/>
    <tableColumn id="3697" xr3:uid="{9843C2D0-295B-473D-80E8-A67E5C2E040A}" name="Column3692"/>
    <tableColumn id="3698" xr3:uid="{30D4747E-92D1-4BF9-A457-70DB3A1061A5}" name="Column3693"/>
    <tableColumn id="3699" xr3:uid="{0AC0411B-FCA5-4B0D-A929-D055EF81AD4C}" name="Column3694"/>
    <tableColumn id="3700" xr3:uid="{5C5D226F-E190-41BC-9598-475AFDF29E06}" name="Column3695"/>
    <tableColumn id="3701" xr3:uid="{B04C45E6-09A2-4A2F-B267-555C1AE24C64}" name="Column3696"/>
    <tableColumn id="3702" xr3:uid="{047BB0AE-81CC-4231-B8E3-C67D82DBC7D5}" name="Column3697"/>
    <tableColumn id="3703" xr3:uid="{147AD93A-86ED-4654-BB27-54706503FFE0}" name="Column3698"/>
    <tableColumn id="3704" xr3:uid="{0A05F418-C208-44BB-A3CE-161298666B97}" name="Column3699"/>
    <tableColumn id="3705" xr3:uid="{F4F7192B-CA7F-4EB4-B51B-BA5DBFDEB7BD}" name="Column3700"/>
    <tableColumn id="3706" xr3:uid="{CD2C0D5A-A212-4B2B-9819-EFE68D15049D}" name="Column3701"/>
    <tableColumn id="3707" xr3:uid="{CA5498BD-1DE2-403D-A45A-4C0CF8CCB326}" name="Column3702"/>
    <tableColumn id="3708" xr3:uid="{0811262C-40CA-4D86-9A8F-2256139C201D}" name="Column3703"/>
    <tableColumn id="3709" xr3:uid="{BEDA7F99-CCA1-4102-8DF7-BEDE826C2D49}" name="Column3704"/>
    <tableColumn id="3710" xr3:uid="{C784ACEC-9A71-45DA-931C-F5EA6B0C4439}" name="Column3705"/>
    <tableColumn id="3711" xr3:uid="{509A0EF2-36BD-4725-96B0-6F4D005C5238}" name="Column3706"/>
    <tableColumn id="3712" xr3:uid="{CDD21C9D-9588-4DBE-BC28-E2A676FA1728}" name="Column3707"/>
    <tableColumn id="3713" xr3:uid="{5567388F-5FB4-4498-8A52-A78AE0A7F2A0}" name="Column3708"/>
    <tableColumn id="3714" xr3:uid="{BC532679-EDF5-4F27-95DA-EACC182FA6EB}" name="Column3709"/>
    <tableColumn id="3715" xr3:uid="{B7F0E211-08B5-4CF0-972A-B1CE43F0B570}" name="Column3710"/>
    <tableColumn id="3716" xr3:uid="{9EC5CC96-F28E-4357-9045-FA18956BB5DA}" name="Column3711"/>
    <tableColumn id="3717" xr3:uid="{FF2F0685-333C-4688-8E10-9798189EDA57}" name="Column3712"/>
    <tableColumn id="3718" xr3:uid="{84B6B357-7326-412B-948B-B590D52AB31E}" name="Column3713"/>
    <tableColumn id="3719" xr3:uid="{F82AD255-6B9B-481D-8BB0-4A14FED4B80C}" name="Column3714"/>
    <tableColumn id="3720" xr3:uid="{DD29B3B3-9E6A-407C-BB5A-C4C7EDE2006E}" name="Column3715"/>
    <tableColumn id="3721" xr3:uid="{151F64CD-166B-4E8B-BE6F-3A817CC58FAC}" name="Column3716"/>
    <tableColumn id="3722" xr3:uid="{D5370FD3-F1AB-4317-808D-104BE255F7E4}" name="Column3717"/>
    <tableColumn id="3723" xr3:uid="{67F286ED-D4B1-43E1-8E40-5859CC285D3D}" name="Column3718"/>
    <tableColumn id="3724" xr3:uid="{8E921034-EC95-41BE-AB37-365C0287DA61}" name="Column3719"/>
    <tableColumn id="3725" xr3:uid="{D4B1232F-C208-4F2B-B762-7B40261B039A}" name="Column3720"/>
    <tableColumn id="3726" xr3:uid="{EF22F4F7-E74E-4AFD-8727-8FE49121F1FF}" name="Column3721"/>
    <tableColumn id="3727" xr3:uid="{461DD438-FDD5-43CC-9A0A-64B9C2053CD7}" name="Column3722"/>
    <tableColumn id="3728" xr3:uid="{718B9B4E-F078-42A1-9191-070AA493AAD7}" name="Column3723"/>
    <tableColumn id="3729" xr3:uid="{804827BC-2DCC-4D41-93FB-C1335904CBC1}" name="Column3724"/>
    <tableColumn id="3730" xr3:uid="{C190DB8C-2D3E-4CB3-B40D-E61FBF8A9D74}" name="Column3725"/>
    <tableColumn id="3731" xr3:uid="{85421FE3-397D-412F-BF0B-F552AC7F00CC}" name="Column3726"/>
    <tableColumn id="3732" xr3:uid="{D14B6484-DBA5-4C3B-9E2C-21FDFD045846}" name="Column3727"/>
    <tableColumn id="3733" xr3:uid="{52992543-8435-4D97-9F10-F567B67D08A5}" name="Column3728"/>
    <tableColumn id="3734" xr3:uid="{E753BED9-88ED-42DC-8A95-21BFA4B4E90A}" name="Column3729"/>
    <tableColumn id="3735" xr3:uid="{F07F6594-FFCD-4ECF-BDB7-FB65889A8BBB}" name="Column3730"/>
    <tableColumn id="3736" xr3:uid="{179D3120-6075-437C-8282-183A1CFE53CB}" name="Column3731"/>
    <tableColumn id="3737" xr3:uid="{B31EE4EF-9D0E-48A6-A13F-56B906D6961D}" name="Column3732"/>
    <tableColumn id="3738" xr3:uid="{B028E0C0-4AA0-4503-A60F-0642C5FB5F84}" name="Column3733"/>
    <tableColumn id="3739" xr3:uid="{5648DFF4-78C2-4AF9-BEF1-C429AE8A535A}" name="Column3734"/>
    <tableColumn id="3740" xr3:uid="{E5B6224B-52B6-485C-BDB3-403302E8B54E}" name="Column3735"/>
    <tableColumn id="3741" xr3:uid="{50193F76-08F9-44AB-A257-7B6C3E9C98EE}" name="Column3736"/>
    <tableColumn id="3742" xr3:uid="{FA9BBEFC-63A4-40EF-B0ED-2A35C0DCD88B}" name="Column3737"/>
    <tableColumn id="3743" xr3:uid="{794BE1B3-A2D8-4E23-BAA9-D0A4A7AF287F}" name="Column3738"/>
    <tableColumn id="3744" xr3:uid="{63288A75-BE9B-4928-8E13-A8967355DB60}" name="Column3739"/>
    <tableColumn id="3745" xr3:uid="{AAF8B879-E005-449B-93C5-C6D85150507C}" name="Column3740"/>
    <tableColumn id="3746" xr3:uid="{7DF93F76-31EC-4EFE-9FE4-A38E03870207}" name="Column3741"/>
    <tableColumn id="3747" xr3:uid="{513D6E61-1455-4056-9B8A-969A31C5E6A9}" name="Column3742"/>
    <tableColumn id="3748" xr3:uid="{361DBD43-B0DD-48A4-B09D-CEF61B7F6039}" name="Column3743"/>
    <tableColumn id="3749" xr3:uid="{D44930FF-2995-43CB-BDDC-1CEA6A3850DC}" name="Column3744"/>
    <tableColumn id="3750" xr3:uid="{2CC7F4D0-D474-440A-8E27-A5CAFE0E9DB2}" name="Column3745"/>
    <tableColumn id="3751" xr3:uid="{1401F82E-91CA-4A72-ADA0-52F61BE1548A}" name="Column3746"/>
    <tableColumn id="3752" xr3:uid="{89DA500D-AD3E-4EBE-AF7B-ED90F3B88D79}" name="Column3747"/>
    <tableColumn id="3753" xr3:uid="{352A50AC-5362-4B96-A25B-417EC7965319}" name="Column3748"/>
    <tableColumn id="3754" xr3:uid="{E9D17BF5-9B23-4AC7-9F0F-AB2A7D5A6F6A}" name="Column3749"/>
    <tableColumn id="3755" xr3:uid="{E80942A8-63AE-4852-B58B-E4D4625E3390}" name="Column3750"/>
    <tableColumn id="3756" xr3:uid="{CF894A33-79D1-4448-AD6A-7DF8E4F66992}" name="Column3751"/>
    <tableColumn id="3757" xr3:uid="{61E114CB-7902-4CDD-8381-135828F8BE6F}" name="Column3752"/>
    <tableColumn id="3758" xr3:uid="{BF16132F-3F7D-4A1B-8B86-407B0073F807}" name="Column3753"/>
    <tableColumn id="3759" xr3:uid="{510FEB27-AD00-444F-B44C-BE7588A1EAE8}" name="Column3754"/>
    <tableColumn id="3760" xr3:uid="{E928696F-8C49-403C-8DF8-840C8578FFE8}" name="Column3755"/>
    <tableColumn id="3761" xr3:uid="{48E74FB7-2144-4C9E-8AFF-D0C1287C039D}" name="Column3756"/>
    <tableColumn id="3762" xr3:uid="{5C7CB4B3-C0C1-492F-951F-9E6EBDB5F7F4}" name="Column3757"/>
    <tableColumn id="3763" xr3:uid="{3DC57A92-7592-468A-8AAD-ABFE44CCE172}" name="Column3758"/>
    <tableColumn id="3764" xr3:uid="{1315B39A-5058-465C-B5AA-C1014EBC0DF3}" name="Column3759"/>
    <tableColumn id="3765" xr3:uid="{8B2FCC7F-2267-45C7-BD44-83CF761CCF91}" name="Column3760"/>
    <tableColumn id="3766" xr3:uid="{1ABBA3C4-8891-4B91-BF4A-6F3B7A54CFD5}" name="Column3761"/>
    <tableColumn id="3767" xr3:uid="{1A7F4C97-5F8E-416F-8D37-2AE357FDC952}" name="Column3762"/>
    <tableColumn id="3768" xr3:uid="{24F5FDC4-9B2F-487E-B6DB-97AEC231617A}" name="Column3763"/>
    <tableColumn id="3769" xr3:uid="{F76AF288-3178-45FD-A18D-55EE4850FA76}" name="Column3764"/>
    <tableColumn id="3770" xr3:uid="{D7D4BBE8-8658-46A7-9CFB-A0E6DE3522DB}" name="Column3765"/>
    <tableColumn id="3771" xr3:uid="{F26AE025-7431-4169-9991-16AC6B1C3066}" name="Column3766"/>
    <tableColumn id="3772" xr3:uid="{9DD9272C-9247-4807-BF9A-67400D7DF402}" name="Column3767"/>
    <tableColumn id="3773" xr3:uid="{2EB21728-9935-40B1-BCAE-64026045DB0D}" name="Column3768"/>
    <tableColumn id="3774" xr3:uid="{6D47F859-93CB-4C46-AE5C-2CEF91CE395F}" name="Column3769"/>
    <tableColumn id="3775" xr3:uid="{AE1113A4-E9E2-474B-8CCC-7A38E4817429}" name="Column3770"/>
    <tableColumn id="3776" xr3:uid="{304D9E36-A536-40E9-841E-371577906064}" name="Column3771"/>
    <tableColumn id="3777" xr3:uid="{58A792B5-2D0B-4AE5-A5D4-99039DA6FFC6}" name="Column3772"/>
    <tableColumn id="3778" xr3:uid="{5CAD237D-E781-4EFA-AE05-A85E26317F89}" name="Column3773"/>
    <tableColumn id="3779" xr3:uid="{6CF16763-4688-4271-9F06-EA2DEF9CCE58}" name="Column3774"/>
    <tableColumn id="3780" xr3:uid="{40E312D3-6D7B-4C84-9D56-CE726FC8BFFB}" name="Column3775"/>
    <tableColumn id="3781" xr3:uid="{08CBA5E4-1DF4-49C8-A11A-98350DDC22F9}" name="Column3776"/>
    <tableColumn id="3782" xr3:uid="{00D89C58-431C-4627-9D8E-1895DFD0EB8F}" name="Column3777"/>
    <tableColumn id="3783" xr3:uid="{0E3B2981-18C9-4921-ACFE-2B48ACE000DC}" name="Column3778"/>
    <tableColumn id="3784" xr3:uid="{DA75F86F-FF15-49D2-A1EE-F02878275458}" name="Column3779"/>
    <tableColumn id="3785" xr3:uid="{1FA5ACE5-3622-44FB-8B75-517EC29298A6}" name="Column3780"/>
    <tableColumn id="3786" xr3:uid="{EBD0E5E7-71A4-4DF1-A19B-05A2730C7885}" name="Column3781"/>
    <tableColumn id="3787" xr3:uid="{7242367B-FEF0-42F1-8B15-2DD4DEA72B11}" name="Column3782"/>
    <tableColumn id="3788" xr3:uid="{82212C75-E8BE-48B3-8D1D-5789B8007EBF}" name="Column3783"/>
    <tableColumn id="3789" xr3:uid="{784FC96A-351F-479B-89B4-5FC98B740FC9}" name="Column3784"/>
    <tableColumn id="3790" xr3:uid="{AFE61D28-E1BD-4E67-910B-44788D15B095}" name="Column3785"/>
    <tableColumn id="3791" xr3:uid="{DB7545DC-9BC3-4A83-92FC-E9CEC05DEF99}" name="Column3786"/>
    <tableColumn id="3792" xr3:uid="{00D32AA0-9755-4644-9E96-972C3CFA3E6C}" name="Column3787"/>
    <tableColumn id="3793" xr3:uid="{A81D0F13-FB7D-43C6-BE91-4A0AAFE6E1E1}" name="Column3788"/>
    <tableColumn id="3794" xr3:uid="{D2573939-55F3-4A29-81BF-7181E2779822}" name="Column3789"/>
    <tableColumn id="3795" xr3:uid="{23124F3C-49D3-4CC8-99CF-BD584AA21463}" name="Column3790"/>
    <tableColumn id="3796" xr3:uid="{A4155C84-875B-4EE2-B32D-E93B91AB5AF6}" name="Column3791"/>
    <tableColumn id="3797" xr3:uid="{AB2CB3F8-386B-40AC-BD50-F0AB3027841F}" name="Column3792"/>
    <tableColumn id="3798" xr3:uid="{F9793028-872D-4334-8EDE-FC7660D74363}" name="Column3793"/>
    <tableColumn id="3799" xr3:uid="{499663AC-CA50-4003-902E-C77E1800FACA}" name="Column3794"/>
    <tableColumn id="3800" xr3:uid="{C10F414F-889D-4E0D-AB11-C11CD9E8F7D9}" name="Column3795"/>
    <tableColumn id="3801" xr3:uid="{163A8BE1-D428-4664-9128-4DA1B3D4D55E}" name="Column3796"/>
    <tableColumn id="3802" xr3:uid="{F95F47D3-8378-4720-8568-D4CD90D9C899}" name="Column3797"/>
    <tableColumn id="3803" xr3:uid="{85DE302D-B8B0-4023-A318-067FCFC52372}" name="Column3798"/>
    <tableColumn id="3804" xr3:uid="{5A723DE3-7800-42ED-BBE5-E8B8881E5E76}" name="Column3799"/>
    <tableColumn id="3805" xr3:uid="{AD8AFAB2-C2CC-4584-BEF9-6C95C105DB1D}" name="Column3800"/>
    <tableColumn id="3806" xr3:uid="{68BD2ACC-CF84-4183-BDA1-558437FE11DE}" name="Column3801"/>
    <tableColumn id="3807" xr3:uid="{7D758F4E-6F46-4F91-A478-1955083292BC}" name="Column3802"/>
    <tableColumn id="3808" xr3:uid="{379BFFC9-4ADC-44C7-82F2-D355D2E31B79}" name="Column3803"/>
    <tableColumn id="3809" xr3:uid="{379FAAF4-8AF5-4D16-AE68-C27618E125EB}" name="Column3804"/>
    <tableColumn id="3810" xr3:uid="{57EFBD6D-7606-4657-8E05-F23648A95EC4}" name="Column3805"/>
    <tableColumn id="3811" xr3:uid="{C434BB04-2B95-4119-A4E3-BCD7DEADE70A}" name="Column3806"/>
    <tableColumn id="3812" xr3:uid="{0F335C73-33E6-4242-AA2E-E9746CFA196A}" name="Column3807"/>
    <tableColumn id="3813" xr3:uid="{DDA3034F-CB68-4279-A07E-A1EE83F94F93}" name="Column3808"/>
    <tableColumn id="3814" xr3:uid="{B53D74A3-8069-4272-976D-CDF1A40CC9BC}" name="Column3809"/>
    <tableColumn id="3815" xr3:uid="{EEC299A8-DACC-4076-87DA-A9F87B216F3F}" name="Column3810"/>
    <tableColumn id="3816" xr3:uid="{09CA018F-6F8D-4810-8EDB-E80B6977BA04}" name="Column3811"/>
    <tableColumn id="3817" xr3:uid="{11349610-A55F-47DE-9C86-01BB05C36C42}" name="Column3812"/>
    <tableColumn id="3818" xr3:uid="{98F29878-B5CC-4910-AFC6-2E1DE1BDE01F}" name="Column3813"/>
    <tableColumn id="3819" xr3:uid="{563616C1-295B-4149-B11B-7CADA79C71DE}" name="Column3814"/>
    <tableColumn id="3820" xr3:uid="{32110CA5-6321-4E36-82FC-1B4B25339FD7}" name="Column3815"/>
    <tableColumn id="3821" xr3:uid="{3E8F8E73-78D7-4493-AE71-F57C368DA07A}" name="Column3816"/>
    <tableColumn id="3822" xr3:uid="{73F1939A-3269-40E9-B415-288352497F78}" name="Column3817"/>
    <tableColumn id="3823" xr3:uid="{C12E2442-5D13-4B7C-85F4-CFAA0233BD91}" name="Column3818"/>
    <tableColumn id="3824" xr3:uid="{29822426-581D-4ECF-B15A-A729179F321C}" name="Column3819"/>
    <tableColumn id="3825" xr3:uid="{627E9D0D-8A12-4575-AEDF-50590BB699B8}" name="Column3820"/>
    <tableColumn id="3826" xr3:uid="{4F8189BB-5B18-4AE8-AD8B-7EA93A48E43B}" name="Column3821"/>
    <tableColumn id="3827" xr3:uid="{4072F024-BA59-447C-938C-1BF564F6F7EF}" name="Column3822"/>
    <tableColumn id="3828" xr3:uid="{49894C61-A163-4384-90AB-859751A7CA34}" name="Column3823"/>
    <tableColumn id="3829" xr3:uid="{5E69BAE2-520F-4339-802C-5FB862964AEE}" name="Column3824"/>
    <tableColumn id="3830" xr3:uid="{A07BB990-2D2F-4E48-B45E-6ACBF0240162}" name="Column3825"/>
    <tableColumn id="3831" xr3:uid="{6F9D980C-BBA3-4CAF-BDE6-58C7B9F0A957}" name="Column3826"/>
    <tableColumn id="3832" xr3:uid="{93B31EC6-9062-45D7-A3B2-E526EC6D9C58}" name="Column3827"/>
    <tableColumn id="3833" xr3:uid="{5D3275D1-5F2F-44CE-9BCD-E5300A3C753C}" name="Column3828"/>
    <tableColumn id="3834" xr3:uid="{52CCA195-15E6-4669-8881-EBC9F504E066}" name="Column3829"/>
    <tableColumn id="3835" xr3:uid="{4E50FF6C-1C74-49ED-83F1-F4E80AC2CCC9}" name="Column3830"/>
    <tableColumn id="3836" xr3:uid="{0F08B592-C4A0-4304-8C09-F23279006BDA}" name="Column3831"/>
    <tableColumn id="3837" xr3:uid="{EEA6949C-CA49-4B3E-BC87-CB74639660BF}" name="Column3832"/>
    <tableColumn id="3838" xr3:uid="{3053030F-A489-4BE0-A665-56A777BD51D0}" name="Column3833"/>
    <tableColumn id="3839" xr3:uid="{C02B37C3-BEA6-4959-B2BE-9610A80D6715}" name="Column3834"/>
    <tableColumn id="3840" xr3:uid="{D8C83526-0FD7-4664-87EC-288F72E5AF8E}" name="Column3835"/>
    <tableColumn id="3841" xr3:uid="{2574ACC0-F00E-411D-BB6F-854529FE8B72}" name="Column3836"/>
    <tableColumn id="3842" xr3:uid="{D49C3B87-D721-4466-97A9-3F823B42B6CA}" name="Column3837"/>
    <tableColumn id="3843" xr3:uid="{F6B4B34B-DDD9-4305-9FAF-381C6A584DBC}" name="Column3838"/>
    <tableColumn id="3844" xr3:uid="{ACC28E0E-4154-40DB-B98B-644FCCB43792}" name="Column3839"/>
    <tableColumn id="3845" xr3:uid="{3EDA20C8-B25D-4218-B8E0-8921765C06BF}" name="Column3840"/>
    <tableColumn id="3846" xr3:uid="{68F1E2F8-D41A-418D-8BF2-46B96B0A3149}" name="Column3841"/>
    <tableColumn id="3847" xr3:uid="{C8ADD8ED-C724-4D43-BB03-26C1A8DCE2CB}" name="Column3842"/>
    <tableColumn id="3848" xr3:uid="{E539FF1C-856D-4557-9644-6D8BE86A0796}" name="Column3843"/>
    <tableColumn id="3849" xr3:uid="{461B7288-3D2B-44BD-93E8-11B37A8136A1}" name="Column3844"/>
    <tableColumn id="3850" xr3:uid="{1077825F-747A-4E1D-9F7B-68813785E4F3}" name="Column3845"/>
    <tableColumn id="3851" xr3:uid="{B1F0A797-D3BC-429A-9903-82BB8145F471}" name="Column3846"/>
    <tableColumn id="3852" xr3:uid="{9C6D3A64-321E-48AB-9E44-FA0ACE93FBDF}" name="Column3847"/>
    <tableColumn id="3853" xr3:uid="{04E80CB1-2273-42C8-A5DF-D0661E6B5FE9}" name="Column3848"/>
    <tableColumn id="3854" xr3:uid="{E71AC587-C355-4CD7-BE05-D0BA476A6AB0}" name="Column3849"/>
    <tableColumn id="3855" xr3:uid="{03F12CA8-BC23-45AB-8527-9366EC84D3C0}" name="Column3850"/>
    <tableColumn id="3856" xr3:uid="{28E66A26-095F-45D2-A8CA-89669937C66C}" name="Column3851"/>
    <tableColumn id="3857" xr3:uid="{856FAAF6-35AA-4B6D-8630-91672410157A}" name="Column3852"/>
    <tableColumn id="3858" xr3:uid="{ADBD9CB7-E110-44EC-BE42-0EC268E9EE64}" name="Column3853"/>
    <tableColumn id="3859" xr3:uid="{676BE3D7-8405-4F5E-B37A-A9B49ACAA27E}" name="Column3854"/>
    <tableColumn id="3860" xr3:uid="{DA7F600A-0680-4EC6-8E74-E8A26C944D14}" name="Column3855"/>
    <tableColumn id="3861" xr3:uid="{35370E2D-6CED-4F6D-B1CF-77F3BDCB00AB}" name="Column3856"/>
    <tableColumn id="3862" xr3:uid="{338FC5B6-9D4C-41E8-B488-ADD4F6DD684F}" name="Column3857"/>
    <tableColumn id="3863" xr3:uid="{BBB62396-24ED-4E0C-81A3-4E065C11A96D}" name="Column3858"/>
    <tableColumn id="3864" xr3:uid="{9EBDC6A4-4571-4B0C-A3F4-4A449AA59394}" name="Column3859"/>
    <tableColumn id="3865" xr3:uid="{D307D3E7-2364-4A2B-8898-A893874B0F83}" name="Column3860"/>
    <tableColumn id="3866" xr3:uid="{C2860CB3-869A-4A8A-8F28-BBF34E26A6A7}" name="Column3861"/>
    <tableColumn id="3867" xr3:uid="{A0311286-1EE1-4617-9B43-D8FF5A134684}" name="Column3862"/>
    <tableColumn id="3868" xr3:uid="{96BD7043-27F4-4DB9-A390-859C18B9BDC8}" name="Column3863"/>
    <tableColumn id="3869" xr3:uid="{4A2CA515-E38F-4C43-8974-901EB83A30BD}" name="Column3864"/>
    <tableColumn id="3870" xr3:uid="{E71BB7AA-5006-4AE3-A5B0-2A9B1918B78A}" name="Column3865"/>
    <tableColumn id="3871" xr3:uid="{1BFCB21E-3424-4BFD-91AD-50C3AC5EA7A5}" name="Column3866"/>
    <tableColumn id="3872" xr3:uid="{1800B436-7CDB-44A7-A507-24BC62D2C11B}" name="Column3867"/>
    <tableColumn id="3873" xr3:uid="{1C9C56B4-2261-40B1-B6F0-E49480B2021B}" name="Column3868"/>
    <tableColumn id="3874" xr3:uid="{99F92E99-59BD-4D70-8F57-E570DAAB7322}" name="Column3869"/>
    <tableColumn id="3875" xr3:uid="{1EE0478B-65D3-49C1-A4D1-2CE8D9FBA618}" name="Column3870"/>
    <tableColumn id="3876" xr3:uid="{50B9FB9E-19C2-4DAD-8B8A-DB82A1FDBBB2}" name="Column3871"/>
    <tableColumn id="3877" xr3:uid="{E3F7CCFB-3934-4F62-8E05-ED5E9A21E884}" name="Column3872"/>
    <tableColumn id="3878" xr3:uid="{15511262-4DC3-44F9-B0A7-E7E615BF1439}" name="Column3873"/>
    <tableColumn id="3879" xr3:uid="{A7F457FF-3126-4192-BC26-CE444A385AE3}" name="Column3874"/>
    <tableColumn id="3880" xr3:uid="{DED5DED8-F13B-4DD5-8F2B-BD4EF90DEE73}" name="Column3875"/>
    <tableColumn id="3881" xr3:uid="{74C96D86-12F1-4E5C-8AFB-1A89A48BD5B2}" name="Column3876"/>
    <tableColumn id="3882" xr3:uid="{ED9F3592-A5EC-4656-8115-4386A727EFEC}" name="Column3877"/>
    <tableColumn id="3883" xr3:uid="{D13118E8-32C8-49EE-B095-4701A115FDBD}" name="Column3878"/>
    <tableColumn id="3884" xr3:uid="{79E15D76-8428-4124-B83E-DE805BB70F3F}" name="Column3879"/>
    <tableColumn id="3885" xr3:uid="{DBE10C82-CFC4-46C1-97A3-1024C3DABD97}" name="Column3880"/>
    <tableColumn id="3886" xr3:uid="{7CBA149E-CD54-4BAF-AA8A-9FFB36636735}" name="Column3881"/>
    <tableColumn id="3887" xr3:uid="{45CF938E-3954-4076-9BA6-B4D626CCB391}" name="Column3882"/>
    <tableColumn id="3888" xr3:uid="{4511F9E4-1F9E-48D2-86D4-FFF466FC07FB}" name="Column3883"/>
    <tableColumn id="3889" xr3:uid="{4CA2E603-B983-4B3A-9051-A988EA05522F}" name="Column3884"/>
    <tableColumn id="3890" xr3:uid="{75D7EDE7-687B-4D81-9968-94C46FE50032}" name="Column3885"/>
    <tableColumn id="3891" xr3:uid="{375438B9-0CD6-40B9-B5F0-110DA18E8041}" name="Column3886"/>
    <tableColumn id="3892" xr3:uid="{439E2DF9-F521-4C80-99C8-C566A476B979}" name="Column3887"/>
    <tableColumn id="3893" xr3:uid="{8B63BE10-9B7B-4CB6-AF13-37403CF71623}" name="Column3888"/>
    <tableColumn id="3894" xr3:uid="{96594D03-6762-4CC2-BB92-326545BA294B}" name="Column3889"/>
    <tableColumn id="3895" xr3:uid="{2195DB11-2CC5-4D95-B12B-08DCEA2C085C}" name="Column3890"/>
    <tableColumn id="3896" xr3:uid="{EAE4B4F5-C6D5-4776-94BF-A26E22C88305}" name="Column3891"/>
    <tableColumn id="3897" xr3:uid="{4F746D11-BEC3-4F65-B804-6E00115A10FE}" name="Column3892"/>
    <tableColumn id="3898" xr3:uid="{633DE497-356F-444E-B2B6-8C4AD49B5D6C}" name="Column3893"/>
    <tableColumn id="3899" xr3:uid="{C168D5E8-1550-474B-8B2D-DA102D79A32A}" name="Column3894"/>
    <tableColumn id="3900" xr3:uid="{6C17BFEA-97B1-47FB-BBD5-9963B0C04492}" name="Column3895"/>
    <tableColumn id="3901" xr3:uid="{D9C404B5-14A8-46C5-A317-D3696F86B685}" name="Column3896"/>
    <tableColumn id="3902" xr3:uid="{08F65CB7-B4C4-42FD-B831-22271C132280}" name="Column3897"/>
    <tableColumn id="3903" xr3:uid="{0E53F4D8-1A14-4D6C-A3E3-6BD53C5E93B1}" name="Column3898"/>
    <tableColumn id="3904" xr3:uid="{5B692071-1607-444E-BB53-B59D3C5C6D1F}" name="Column3899"/>
    <tableColumn id="3905" xr3:uid="{082BB208-00AD-4CEC-AC7A-7FF43DECEF84}" name="Column3900"/>
    <tableColumn id="3906" xr3:uid="{DF3EDFF2-CE19-4F66-9E77-A4797EFC255F}" name="Column3901"/>
    <tableColumn id="3907" xr3:uid="{3C4D3013-7080-49B6-BB75-8DE3226DB206}" name="Column3902"/>
    <tableColumn id="3908" xr3:uid="{23516433-94C0-4AD1-8DEC-12B0BC4F7838}" name="Column3903"/>
    <tableColumn id="3909" xr3:uid="{283961F3-F9F1-4C42-BBAA-700F86217D99}" name="Column3904"/>
    <tableColumn id="3910" xr3:uid="{7FACBCBA-8C69-4384-A4EF-657EA2C89FD5}" name="Column3905"/>
    <tableColumn id="3911" xr3:uid="{CA6FA120-3D49-4A70-A775-ACAFAC166D81}" name="Column3906"/>
    <tableColumn id="3912" xr3:uid="{7B399424-61B7-430B-8E5C-76F836CBC7C9}" name="Column3907"/>
    <tableColumn id="3913" xr3:uid="{E254F560-B571-4208-8A39-30281781A102}" name="Column3908"/>
    <tableColumn id="3914" xr3:uid="{CBC80E45-A261-42A7-8DFF-F3463880355B}" name="Column3909"/>
    <tableColumn id="3915" xr3:uid="{222E2B54-D227-4B06-AFFB-0774F56864F1}" name="Column3910"/>
    <tableColumn id="3916" xr3:uid="{B4ABF8E8-8932-440F-9CE5-A23F18AB3241}" name="Column3911"/>
    <tableColumn id="3917" xr3:uid="{2C812037-EBAB-4216-92CA-E2116D39C40D}" name="Column3912"/>
    <tableColumn id="3918" xr3:uid="{6D4B3A77-E250-4005-B935-1C454518FCDA}" name="Column3913"/>
    <tableColumn id="3919" xr3:uid="{09A7722C-D352-453C-9A4D-68E8501F3F5A}" name="Column3914"/>
    <tableColumn id="3920" xr3:uid="{366677E4-0E84-4F34-8ACF-971051E33B55}" name="Column3915"/>
    <tableColumn id="3921" xr3:uid="{7F91AEDB-76E2-4DA9-88CC-92BA87FAEAB6}" name="Column3916"/>
    <tableColumn id="3922" xr3:uid="{D6080CA3-DCB5-462D-8D98-60A8012123E1}" name="Column3917"/>
    <tableColumn id="3923" xr3:uid="{9EF43190-70D9-451C-8EBF-46B7B7B0997A}" name="Column3918"/>
    <tableColumn id="3924" xr3:uid="{5E5BC51C-74C6-4A05-AAF0-A9AA7E996197}" name="Column3919"/>
    <tableColumn id="3925" xr3:uid="{AA5CDB09-A064-4B60-A6FA-745A60E18020}" name="Column3920"/>
    <tableColumn id="3926" xr3:uid="{ADF1A2A2-11E0-417D-A4ED-604D0A1F9A80}" name="Column3921"/>
    <tableColumn id="3927" xr3:uid="{00C607B0-6496-43B1-A9C3-F65D6A092F4C}" name="Column3922"/>
    <tableColumn id="3928" xr3:uid="{6F80FBBD-CE90-4C5A-BC45-2B9BF34940A1}" name="Column3923"/>
    <tableColumn id="3929" xr3:uid="{145DA002-DB70-4B0F-BEDE-D3F0359734E6}" name="Column3924"/>
    <tableColumn id="3930" xr3:uid="{5B70069B-4D1D-4644-A006-AEDEDC678C11}" name="Column3925"/>
    <tableColumn id="3931" xr3:uid="{6E901A42-9F4C-431F-A0E1-B35E34B36F0F}" name="Column3926"/>
    <tableColumn id="3932" xr3:uid="{2C5A55DF-0039-45CD-9DB9-0D56BD2E844C}" name="Column3927"/>
    <tableColumn id="3933" xr3:uid="{7C705F37-26B8-407A-AB67-C6BC1D5F9CF0}" name="Column3928"/>
    <tableColumn id="3934" xr3:uid="{E6E0EC26-392F-4FF9-ADA7-9FADC312C34C}" name="Column3929"/>
    <tableColumn id="3935" xr3:uid="{0477E2BF-DA5A-4D08-BA08-5173393EFF37}" name="Column3930"/>
    <tableColumn id="3936" xr3:uid="{4342CD3E-49FF-48B0-8FBA-F97A2C5CBAF4}" name="Column3931"/>
    <tableColumn id="3937" xr3:uid="{0CA83D7A-04D8-43F3-9115-5CE353352680}" name="Column3932"/>
    <tableColumn id="3938" xr3:uid="{8A1C8208-C201-4537-AC9D-4A7175A5FA8C}" name="Column3933"/>
    <tableColumn id="3939" xr3:uid="{B0D72439-4156-443B-8241-191391F6EBE5}" name="Column3934"/>
    <tableColumn id="3940" xr3:uid="{DFAF531C-997D-4056-A05F-BD57565007FC}" name="Column3935"/>
    <tableColumn id="3941" xr3:uid="{32D58121-729E-4F9A-8654-39A80FE2D7FB}" name="Column3936"/>
    <tableColumn id="3942" xr3:uid="{E43184DE-28B9-4D40-B308-355C3BE6E610}" name="Column3937"/>
    <tableColumn id="3943" xr3:uid="{6C7E42EB-8207-4848-92B3-95E9E32AD978}" name="Column3938"/>
    <tableColumn id="3944" xr3:uid="{F2796CDB-14E9-4816-82BE-915E91CFEFCB}" name="Column3939"/>
    <tableColumn id="3945" xr3:uid="{9AE24CD8-3A86-434C-A68A-3D9BB725FB1C}" name="Column3940"/>
    <tableColumn id="3946" xr3:uid="{32E4F02E-1F80-447F-B607-4CB61C43AD53}" name="Column3941"/>
    <tableColumn id="3947" xr3:uid="{87306DFC-9032-4847-9609-3B7F817CAE85}" name="Column3942"/>
    <tableColumn id="3948" xr3:uid="{3BA320EC-3013-4293-8419-547EAFE1A37C}" name="Column3943"/>
    <tableColumn id="3949" xr3:uid="{E9395C55-25E8-4765-9186-0127B657AA08}" name="Column3944"/>
    <tableColumn id="3950" xr3:uid="{66C4F933-6647-46BD-B457-C46FF0679860}" name="Column3945"/>
    <tableColumn id="3951" xr3:uid="{66AC0DB1-B040-4054-9A75-71CE70229FA1}" name="Column3946"/>
    <tableColumn id="3952" xr3:uid="{EC21421C-6EEF-4119-BD5A-C7081A0AEE2B}" name="Column3947"/>
    <tableColumn id="3953" xr3:uid="{BD072690-57AB-4E1D-AB29-E7931D509474}" name="Column3948"/>
    <tableColumn id="3954" xr3:uid="{B36A51DE-A9DF-4239-8CDA-D8463FD512C7}" name="Column3949"/>
    <tableColumn id="3955" xr3:uid="{5EBCE504-4102-4850-BC79-5B39B0758C73}" name="Column3950"/>
    <tableColumn id="3956" xr3:uid="{D1F3A6A1-8731-4EC4-A9A1-2CA3E99CFDBD}" name="Column3951"/>
    <tableColumn id="3957" xr3:uid="{C1F81CA9-1F39-49AE-A621-BCAD6839ABF2}" name="Column3952"/>
    <tableColumn id="3958" xr3:uid="{B8922535-0F10-4C3B-A1C0-AFDFE6F965D6}" name="Column3953"/>
    <tableColumn id="3959" xr3:uid="{ADF11BA5-0599-44E1-933E-849D606C6DC1}" name="Column3954"/>
    <tableColumn id="3960" xr3:uid="{32C541BC-3260-4D60-B659-132E18CF1F1D}" name="Column3955"/>
    <tableColumn id="3961" xr3:uid="{3AF70D77-EC44-499E-BDC8-20AD21E73232}" name="Column3956"/>
    <tableColumn id="3962" xr3:uid="{12A35A54-0179-45A4-BFE0-DB5FE3F4FCD9}" name="Column3957"/>
    <tableColumn id="3963" xr3:uid="{146081FE-6827-477F-86AC-EA26B406F833}" name="Column3958"/>
    <tableColumn id="3964" xr3:uid="{63282AAF-5925-4F07-869B-9FC883A1ACA6}" name="Column3959"/>
    <tableColumn id="3965" xr3:uid="{6A2E9DC5-6669-42DF-A92E-E89CFA6C0706}" name="Column3960"/>
    <tableColumn id="3966" xr3:uid="{2172D006-E47C-410A-9BAE-766D1F445DD8}" name="Column3961"/>
    <tableColumn id="3967" xr3:uid="{530DD04A-9F08-4610-924F-2E075FC8BF8E}" name="Column3962"/>
    <tableColumn id="3968" xr3:uid="{7755DA7D-FEC0-457F-8B02-D80E104FDEA3}" name="Column3963"/>
    <tableColumn id="3969" xr3:uid="{400C873F-4BF6-457A-B141-57366114EACA}" name="Column3964"/>
    <tableColumn id="3970" xr3:uid="{CE96830E-49D8-4855-89AC-D1C8CC340499}" name="Column3965"/>
    <tableColumn id="3971" xr3:uid="{1CF824CC-D7CB-48CD-9F27-1B7E62ED1530}" name="Column3966"/>
    <tableColumn id="3972" xr3:uid="{A6A08F17-DE52-4906-8AE7-BDEF4E37F75D}" name="Column3967"/>
    <tableColumn id="3973" xr3:uid="{F33CCC77-87EC-43FA-B2B6-A87999EC9BAB}" name="Column3968"/>
    <tableColumn id="3974" xr3:uid="{0669BEA2-531C-4A4A-973E-539D533BD685}" name="Column3969"/>
    <tableColumn id="3975" xr3:uid="{AF148C62-6F1D-4839-8B6C-2B6C8041932D}" name="Column3970"/>
    <tableColumn id="3976" xr3:uid="{6A8ABD60-A541-444D-A60F-C617C77E6738}" name="Column3971"/>
    <tableColumn id="3977" xr3:uid="{1E38C7C3-631C-407A-9FF0-7E89152DA79F}" name="Column3972"/>
    <tableColumn id="3978" xr3:uid="{872BD7F6-6C7E-4EFC-94BE-F27122B3F30D}" name="Column3973"/>
    <tableColumn id="3979" xr3:uid="{4F331325-7CFB-416F-B760-B5F9CFCCB20A}" name="Column3974"/>
    <tableColumn id="3980" xr3:uid="{231425D8-D257-4522-B567-71F811F22EF0}" name="Column3975"/>
    <tableColumn id="3981" xr3:uid="{BCF42D77-9F3D-4192-A52E-B64EECD44ADF}" name="Column3976"/>
    <tableColumn id="3982" xr3:uid="{34FB0436-B52B-407B-A3E1-1B8C16885C45}" name="Column3977"/>
    <tableColumn id="3983" xr3:uid="{8460ADC4-3B2B-4E66-A678-3A20C8DFD4FB}" name="Column3978"/>
    <tableColumn id="3984" xr3:uid="{67018B3F-EE31-4133-89E0-E1C2140BE69A}" name="Column3979"/>
    <tableColumn id="3985" xr3:uid="{21367CCE-35B8-4565-B628-AD06663C65C2}" name="Column3980"/>
    <tableColumn id="3986" xr3:uid="{DD58B808-8513-406E-9722-C8760403498A}" name="Column3981"/>
    <tableColumn id="3987" xr3:uid="{FFB0C454-E923-444B-B817-7AB401D84A5C}" name="Column3982"/>
    <tableColumn id="3988" xr3:uid="{5AEB2839-381C-4772-B2EC-27CC807CB218}" name="Column3983"/>
    <tableColumn id="3989" xr3:uid="{55136190-9CB6-439F-B0CA-174CCD81E82B}" name="Column3984"/>
    <tableColumn id="3990" xr3:uid="{29464EB4-700C-4F38-B797-7B8199E9C434}" name="Column3985"/>
    <tableColumn id="3991" xr3:uid="{037F9DB2-3A00-433A-88F3-D73B312840F0}" name="Column3986"/>
    <tableColumn id="3992" xr3:uid="{BDE0DB75-D122-4A66-B44B-BA0C5EA5182C}" name="Column3987"/>
    <tableColumn id="3993" xr3:uid="{E6A5B9BE-ECF0-4A34-997C-F6FD5EC62FDF}" name="Column3988"/>
    <tableColumn id="3994" xr3:uid="{6B1BB9A1-7EE9-4162-B1AA-2D278C708630}" name="Column3989"/>
    <tableColumn id="3995" xr3:uid="{A82569EF-A95B-442B-9811-B5A2177B3E97}" name="Column3990"/>
    <tableColumn id="3996" xr3:uid="{44E99946-5B92-43FE-A392-76F1C31B8A56}" name="Column3991"/>
    <tableColumn id="3997" xr3:uid="{329175EC-B574-4DAD-B9DF-2E253D5876B3}" name="Column3992"/>
    <tableColumn id="3998" xr3:uid="{7D32DFF2-6F11-4126-B5FD-24C9F5DA4A54}" name="Column3993"/>
    <tableColumn id="3999" xr3:uid="{B80E05AF-DAB6-41A9-B058-BC3CD2217EC8}" name="Column3994"/>
    <tableColumn id="4000" xr3:uid="{56A7DD6E-C094-4DC2-AA28-3283202C580D}" name="Column3995"/>
    <tableColumn id="4001" xr3:uid="{7641F39B-FAA5-4C71-B550-15F6EB8F7F60}" name="Column3996"/>
    <tableColumn id="4002" xr3:uid="{947BAED0-AEAC-497A-BC62-4BF541AD427E}" name="Column3997"/>
    <tableColumn id="4003" xr3:uid="{7910C4C0-E89F-4D1A-9377-6442E52AE6C5}" name="Column3998"/>
    <tableColumn id="4004" xr3:uid="{C1732DB9-8551-49BC-8A82-3675B253D3F4}" name="Column3999"/>
    <tableColumn id="4005" xr3:uid="{66205110-170C-44CD-9F48-2F7CCB6B3AFA}" name="Column4000"/>
    <tableColumn id="4006" xr3:uid="{E4FF4315-991E-4512-93EA-59DA9C7EBFE1}" name="Column4001"/>
    <tableColumn id="4007" xr3:uid="{78862286-AC6A-4A10-866D-C58EE33097C4}" name="Column4002"/>
    <tableColumn id="4008" xr3:uid="{E84AAC62-F536-4031-AC83-DA6A1FDB0F48}" name="Column4003"/>
    <tableColumn id="4009" xr3:uid="{E60ACB2F-36E5-4CD2-ACAF-B2C150D4D420}" name="Column4004"/>
    <tableColumn id="4010" xr3:uid="{E6F1D0F9-E9A0-477F-97F2-55CF80A90789}" name="Column4005"/>
    <tableColumn id="4011" xr3:uid="{2A1D2CDF-BEEC-4B16-845B-E14F0490EDDC}" name="Column4006"/>
    <tableColumn id="4012" xr3:uid="{95900890-28B4-4808-A25D-E275E3AD8260}" name="Column4007"/>
    <tableColumn id="4013" xr3:uid="{CD24F264-C964-449E-A9FC-60EBDECA7A71}" name="Column4008"/>
    <tableColumn id="4014" xr3:uid="{8BDFC348-D724-4352-ADE5-FFB14336E137}" name="Column4009"/>
    <tableColumn id="4015" xr3:uid="{200F78E1-CFF6-4107-B4C7-205ED1F8F39D}" name="Column4010"/>
    <tableColumn id="4016" xr3:uid="{3FD51FED-1400-4380-88D2-263DAF2817B2}" name="Column4011"/>
    <tableColumn id="4017" xr3:uid="{82964F80-9FD0-4D0B-A26D-235804A5D12A}" name="Column4012"/>
    <tableColumn id="4018" xr3:uid="{C263C18E-886B-4309-B56B-3C0FDEEA6069}" name="Column4013"/>
    <tableColumn id="4019" xr3:uid="{CB1C4E0B-DB65-4A43-81FD-FB3E5147AC4F}" name="Column4014"/>
    <tableColumn id="4020" xr3:uid="{911394A2-519E-4267-8960-C5036527CA50}" name="Column4015"/>
    <tableColumn id="4021" xr3:uid="{6B8CC3CB-143D-41F2-88FE-65F2E7EC9F33}" name="Column4016"/>
    <tableColumn id="4022" xr3:uid="{89225540-716D-4150-AA39-66068D7076D0}" name="Column4017"/>
    <tableColumn id="4023" xr3:uid="{C591420C-35A2-4206-9AAC-C7B812980764}" name="Column4018"/>
    <tableColumn id="4024" xr3:uid="{A41857DB-A4F0-42A9-BAFE-74AB0FD45F3D}" name="Column4019"/>
    <tableColumn id="4025" xr3:uid="{7ADCFE73-C94B-4ECB-A05F-814003B2957C}" name="Column4020"/>
    <tableColumn id="4026" xr3:uid="{06005031-DD84-4FA1-BFEA-77E512F7B942}" name="Column4021"/>
    <tableColumn id="4027" xr3:uid="{FA29D3E4-377D-44A8-B2F8-82849124EC71}" name="Column4022"/>
    <tableColumn id="4028" xr3:uid="{2C745A84-9C32-4FBF-9297-E6EB9E7D7FBB}" name="Column4023"/>
    <tableColumn id="4029" xr3:uid="{EC098302-9734-4AC3-A840-DF4E1D2A4263}" name="Column4024"/>
    <tableColumn id="4030" xr3:uid="{69AA1D71-7B1F-4068-8EEF-871832F98A67}" name="Column4025"/>
    <tableColumn id="4031" xr3:uid="{BF8F593D-8FB2-4F63-82F1-DA66DF44CCA5}" name="Column4026"/>
    <tableColumn id="4032" xr3:uid="{2B8DDE26-C4C4-4550-B0A5-C6AC3F68D515}" name="Column4027"/>
    <tableColumn id="4033" xr3:uid="{7DCB403A-8ABA-4CA6-A063-AAA11151C305}" name="Column4028"/>
    <tableColumn id="4034" xr3:uid="{010E66E5-53FA-4228-82CA-A0E1F0E992CB}" name="Column4029"/>
    <tableColumn id="4035" xr3:uid="{973EB261-D634-4CC9-8229-89D4A95B8F94}" name="Column4030"/>
    <tableColumn id="4036" xr3:uid="{BAAEFD2E-DE05-4272-AA31-89C879EAE074}" name="Column4031"/>
    <tableColumn id="4037" xr3:uid="{71FC6624-0F76-4AD4-B5A9-F4100ECEFE51}" name="Column4032"/>
    <tableColumn id="4038" xr3:uid="{44840F83-E985-4E54-BA75-ACA184ACCAF1}" name="Column4033"/>
    <tableColumn id="4039" xr3:uid="{A95A45D8-5608-4A36-BEA9-F48ED19CFFB3}" name="Column4034"/>
    <tableColumn id="4040" xr3:uid="{21341968-4039-4458-9A9C-5C7099366927}" name="Column4035"/>
    <tableColumn id="4041" xr3:uid="{A92EA169-E859-4545-8C90-42A48FF835FF}" name="Column4036"/>
    <tableColumn id="4042" xr3:uid="{74E8A72D-E0DD-425D-A7F1-36951A8F6D46}" name="Column4037"/>
    <tableColumn id="4043" xr3:uid="{08322DA9-43D3-4139-839B-AF35442ED277}" name="Column4038"/>
    <tableColumn id="4044" xr3:uid="{6BC56680-729D-462F-929B-401266998329}" name="Column4039"/>
    <tableColumn id="4045" xr3:uid="{3C0FECA2-0546-4702-9051-3214B5945EF0}" name="Column4040"/>
    <tableColumn id="4046" xr3:uid="{C77D343B-D2AF-49F6-8F73-6F77D4B461C5}" name="Column4041"/>
    <tableColumn id="4047" xr3:uid="{CDE940C8-7272-4D6A-B951-5CE4058CB120}" name="Column4042"/>
    <tableColumn id="4048" xr3:uid="{FDA2E5EB-25E2-4A31-82E2-50C6D8A81FFF}" name="Column4043"/>
    <tableColumn id="4049" xr3:uid="{057B1E86-96B9-402C-A093-65BB9F28E871}" name="Column4044"/>
    <tableColumn id="4050" xr3:uid="{9C2A507C-5CCD-4D73-B188-659E9E9AAE99}" name="Column4045"/>
    <tableColumn id="4051" xr3:uid="{C66671FF-7D5C-4A9F-9E73-BF3CB92261E4}" name="Column4046"/>
    <tableColumn id="4052" xr3:uid="{C1B3F9D7-E5B3-44E1-A6A1-5F574BF0571E}" name="Column4047"/>
    <tableColumn id="4053" xr3:uid="{A2F9EDBA-39C2-4350-BFF1-2F580E67704B}" name="Column4048"/>
    <tableColumn id="4054" xr3:uid="{5EABAFE5-7317-49DB-9724-A009C528BBAA}" name="Column4049"/>
    <tableColumn id="4055" xr3:uid="{22DBF0E2-4A6E-4661-846D-2615C37367B3}" name="Column4050"/>
    <tableColumn id="4056" xr3:uid="{CCC30D57-D0D8-4027-861D-B092CA11C4E3}" name="Column4051"/>
    <tableColumn id="4057" xr3:uid="{91B0AF0D-64EA-47D3-A858-A9B45EC1D4AD}" name="Column4052"/>
    <tableColumn id="4058" xr3:uid="{2656BC03-89C9-462A-8ED6-7A53F2064507}" name="Column4053"/>
    <tableColumn id="4059" xr3:uid="{6FE9B0E3-C74C-4534-812D-25CDF94A70F7}" name="Column4054"/>
    <tableColumn id="4060" xr3:uid="{261EA122-7CE3-494D-9F4D-5B6C57D152DF}" name="Column4055"/>
    <tableColumn id="4061" xr3:uid="{D882B8F5-19F4-4BB7-A2A0-6FDB3B026A67}" name="Column4056"/>
    <tableColumn id="4062" xr3:uid="{300E0E7D-4321-4AA2-A656-B65A8C74D632}" name="Column4057"/>
    <tableColumn id="4063" xr3:uid="{5CA3505B-F4F4-4381-93E6-26C9E09A6B8B}" name="Column4058"/>
    <tableColumn id="4064" xr3:uid="{A6B319F8-AAFE-4B63-B535-FC403ACC0FE1}" name="Column4059"/>
    <tableColumn id="4065" xr3:uid="{11B708AA-4C09-4FFE-9688-9B75CFD41474}" name="Column4060"/>
    <tableColumn id="4066" xr3:uid="{DE13EB18-F083-4036-8A35-939025713D3E}" name="Column4061"/>
    <tableColumn id="4067" xr3:uid="{28EAB471-3456-4909-B311-666ED0D84507}" name="Column4062"/>
    <tableColumn id="4068" xr3:uid="{85B83E89-E8BB-437F-B84D-4B6AEE380BF5}" name="Column4063"/>
    <tableColumn id="4069" xr3:uid="{44A49A6E-FFCF-4C6B-8D5F-12721EC8EB3C}" name="Column4064"/>
    <tableColumn id="4070" xr3:uid="{993A3C8B-998B-4D0D-A537-A1CAC6431AA1}" name="Column4065"/>
    <tableColumn id="4071" xr3:uid="{5E87C67C-D0C4-4E18-BD0F-6A817D4DDCD5}" name="Column4066"/>
    <tableColumn id="4072" xr3:uid="{F3CDA09F-D554-44DC-A608-BA6A45D11008}" name="Column4067"/>
    <tableColumn id="4073" xr3:uid="{BE9963BE-E974-4AB2-8CA4-7832B655D01D}" name="Column4068"/>
    <tableColumn id="4074" xr3:uid="{9D6DCEF3-24B9-441F-8B8E-2E68B2AF32AC}" name="Column4069"/>
    <tableColumn id="4075" xr3:uid="{D76F9AD4-52AC-495A-BD21-BD1050196C38}" name="Column4070"/>
    <tableColumn id="4076" xr3:uid="{A35DD7FB-75AE-4320-93EB-9CAF5CC31BEC}" name="Column4071"/>
    <tableColumn id="4077" xr3:uid="{F500C80E-F8AC-4328-BCF5-65932C77652D}" name="Column4072"/>
    <tableColumn id="4078" xr3:uid="{F43DD24B-2FD4-4D3C-9F0A-2B50AF2D8412}" name="Column4073"/>
    <tableColumn id="4079" xr3:uid="{837ADDB0-C961-4C58-A5CF-9B81C2874178}" name="Column4074"/>
    <tableColumn id="4080" xr3:uid="{FCD082A5-EC99-4961-A6E2-CC540BA29D0D}" name="Column4075"/>
    <tableColumn id="4081" xr3:uid="{B412EC35-0FCB-4AE3-95A1-CCEA63795F18}" name="Column4076"/>
    <tableColumn id="4082" xr3:uid="{48500B8D-6E19-4037-9C54-A42F286AD202}" name="Column4077"/>
    <tableColumn id="4083" xr3:uid="{C3DD9F35-62A8-49B1-99AC-A7BA3C903389}" name="Column4078"/>
    <tableColumn id="4084" xr3:uid="{A7C7C980-596C-4993-9FBD-0E42B315266C}" name="Column4079"/>
    <tableColumn id="4085" xr3:uid="{A253C4D0-249D-4063-9B01-83DE5306A782}" name="Column4080"/>
    <tableColumn id="4086" xr3:uid="{366EFCDC-6871-47D1-B738-1AA4A50C4467}" name="Column4081"/>
    <tableColumn id="4087" xr3:uid="{FFB52BD4-E5CC-4955-85F1-FBD67FF10A2D}" name="Column4082"/>
    <tableColumn id="4088" xr3:uid="{CC53BD0C-7D42-4E5E-8D93-8F8B5D655072}" name="Column4083"/>
    <tableColumn id="4089" xr3:uid="{5E85C78D-98C7-4B47-8DE9-1198158D2D8F}" name="Column4084"/>
    <tableColumn id="4090" xr3:uid="{ABD3ED58-B10F-4F34-AAF7-4CD413F43A23}" name="Column4085"/>
    <tableColumn id="4091" xr3:uid="{341124E8-F2D9-435E-BA5E-24E13B4423AA}" name="Column4086"/>
    <tableColumn id="4092" xr3:uid="{0A8602BC-EE5B-448C-859A-91EAC8AC125E}" name="Column4087"/>
    <tableColumn id="4093" xr3:uid="{8C309092-F965-44E3-A1A8-14B6F37642A2}" name="Column4088"/>
    <tableColumn id="4094" xr3:uid="{7E302B41-7B65-49B3-8270-7E65218843A3}" name="Column4089"/>
    <tableColumn id="4095" xr3:uid="{64EBACCC-F8AC-41AD-8DCC-004CD9CE2E97}" name="Column4090"/>
    <tableColumn id="4096" xr3:uid="{EA88B910-9C72-4A9D-996C-AD3BB442884E}" name="Column4091"/>
    <tableColumn id="4097" xr3:uid="{B17F5043-3BA6-42EE-BAF9-F7F57C060343}" name="Column4092"/>
    <tableColumn id="4098" xr3:uid="{FBB7CA77-0FDC-4418-9F14-F359838B4B86}" name="Column4093"/>
    <tableColumn id="4099" xr3:uid="{62E71FDD-5868-4797-8A0C-6E76A6ABEF3B}" name="Column4094"/>
    <tableColumn id="4100" xr3:uid="{E9B29ADB-31F4-45C4-ABF3-DAA265A4018E}" name="Column4095"/>
    <tableColumn id="4101" xr3:uid="{55D83726-5655-4B5A-81DD-2379774848BA}" name="Column4096"/>
    <tableColumn id="4102" xr3:uid="{D1645618-74E5-432C-8012-467457B42F91}" name="Column4097"/>
    <tableColumn id="4103" xr3:uid="{76D4D373-0DB7-4896-9FCB-F939D97FCA3D}" name="Column4098"/>
    <tableColumn id="4104" xr3:uid="{ED6ED897-156E-47CE-A091-9F80E4D22599}" name="Column4099"/>
    <tableColumn id="4105" xr3:uid="{5362826D-F292-4DD8-A0E8-835E42217D4F}" name="Column4100"/>
    <tableColumn id="4106" xr3:uid="{3BCC72D7-1E25-4C66-B257-F2583CCE5A1F}" name="Column4101"/>
    <tableColumn id="4107" xr3:uid="{2E990F90-6F1C-41F3-82E2-91A3CFBCD539}" name="Column4102"/>
    <tableColumn id="4108" xr3:uid="{6271BD12-501C-462E-9ABC-54891C93B611}" name="Column4103"/>
    <tableColumn id="4109" xr3:uid="{9B32D2D9-4741-4AD1-A888-0AC389721D3F}" name="Column4104"/>
    <tableColumn id="4110" xr3:uid="{B301EF79-876E-4665-AD8F-2EED6E96645E}" name="Column4105"/>
    <tableColumn id="4111" xr3:uid="{0A642D8D-6415-492D-B918-58BA0F63CDCA}" name="Column4106"/>
    <tableColumn id="4112" xr3:uid="{9CFDF7AE-FE8E-47E4-9B39-BA2A2CD84AB9}" name="Column4107"/>
    <tableColumn id="4113" xr3:uid="{6023ECAF-43D6-48CE-AB8D-1BD19CD3366E}" name="Column4108"/>
    <tableColumn id="4114" xr3:uid="{D6104EF3-2141-49E6-8451-C864A0FFD1F6}" name="Column4109"/>
    <tableColumn id="4115" xr3:uid="{6FD633A5-9B4A-4EFA-9F3B-067A76A0967D}" name="Column4110"/>
    <tableColumn id="4116" xr3:uid="{7D3CFE89-E9CF-49BF-BD8B-9B889EAAF668}" name="Column4111"/>
    <tableColumn id="4117" xr3:uid="{4A8C6EE8-6CA9-489C-AF28-5043678A43AF}" name="Column4112"/>
    <tableColumn id="4118" xr3:uid="{30A5838A-C13C-4122-A12A-431EF5F4748B}" name="Column4113"/>
    <tableColumn id="4119" xr3:uid="{D8537BE9-98FD-48C0-BA43-F5CA24E6B9E8}" name="Column4114"/>
    <tableColumn id="4120" xr3:uid="{9B792DE2-0659-4BBF-9F1F-F14265350FC7}" name="Column4115"/>
    <tableColumn id="4121" xr3:uid="{9C5BF3B2-EA88-4355-99B3-CA69365192DE}" name="Column4116"/>
    <tableColumn id="4122" xr3:uid="{DB02168F-3171-4197-AD47-6C82F573BC49}" name="Column4117"/>
    <tableColumn id="4123" xr3:uid="{0CB21109-439F-4F51-86E6-0C1DDF8C49CA}" name="Column4118"/>
    <tableColumn id="4124" xr3:uid="{2E03B879-97FE-494D-ACE7-CF267D8D1295}" name="Column4119"/>
    <tableColumn id="4125" xr3:uid="{F6C1E6B8-5475-4EF5-8A15-01E97A9C5E7F}" name="Column4120"/>
    <tableColumn id="4126" xr3:uid="{BB619D61-F5B9-474B-BF7D-962EF30867CB}" name="Column4121"/>
    <tableColumn id="4127" xr3:uid="{63714FE6-599D-4AE0-B51A-22CA01920CE8}" name="Column4122"/>
    <tableColumn id="4128" xr3:uid="{19985A0E-A8B2-4D97-A0FE-14C03E24A185}" name="Column4123"/>
    <tableColumn id="4129" xr3:uid="{EE442171-6F94-4B0B-89B8-8AFD616E4F39}" name="Column4124"/>
    <tableColumn id="4130" xr3:uid="{4CE8EE4C-6CCD-474C-B49B-87DCE213B30F}" name="Column4125"/>
    <tableColumn id="4131" xr3:uid="{6066764F-888E-4108-B8A8-0DB2374C10AC}" name="Column4126"/>
    <tableColumn id="4132" xr3:uid="{7FE9F70F-75E8-41AA-9221-CE11E3AF7A3D}" name="Column4127"/>
    <tableColumn id="4133" xr3:uid="{92F2330E-D4A3-4B76-942D-1449126BBCFC}" name="Column4128"/>
    <tableColumn id="4134" xr3:uid="{0B9E9B7D-BAEB-4779-AEAD-67DB82FD450B}" name="Column4129"/>
    <tableColumn id="4135" xr3:uid="{9CD6EB8A-75CB-4AB8-BC91-C893F07F3796}" name="Column4130"/>
    <tableColumn id="4136" xr3:uid="{F007264B-B1D8-4CA2-A791-1D53C441C28B}" name="Column4131"/>
    <tableColumn id="4137" xr3:uid="{004C75E1-EF6B-494E-A2C5-5AF20D4E35D6}" name="Column4132"/>
    <tableColumn id="4138" xr3:uid="{E9CC44A6-1309-48D6-8AEC-1C009D54A1B2}" name="Column4133"/>
    <tableColumn id="4139" xr3:uid="{84938FCA-F6D2-4510-8B44-CB5EE6A1DBE3}" name="Column4134"/>
    <tableColumn id="4140" xr3:uid="{D1AAC455-7FCC-424D-9C2B-3BD2A1ECA2C6}" name="Column4135"/>
    <tableColumn id="4141" xr3:uid="{BE8781BE-D6E4-4D55-8FB1-7D92EED784E9}" name="Column4136"/>
    <tableColumn id="4142" xr3:uid="{76CA05A6-AD6B-443F-B9D7-5711C5A4AA17}" name="Column4137"/>
    <tableColumn id="4143" xr3:uid="{EEED2BCF-D81B-4CC7-B2A2-7B387E9E4DAD}" name="Column4138"/>
    <tableColumn id="4144" xr3:uid="{0631CABE-5E4A-4597-B36E-B17D73F7EDA3}" name="Column4139"/>
    <tableColumn id="4145" xr3:uid="{8959973C-CB4F-47BA-8A9F-EEE4743A72CE}" name="Column4140"/>
    <tableColumn id="4146" xr3:uid="{DBDCA1F2-7431-4DD5-96F0-540F1AD014DC}" name="Column4141"/>
    <tableColumn id="4147" xr3:uid="{84E0A6F9-D08F-4C15-9653-25A5FBFE9F18}" name="Column4142"/>
    <tableColumn id="4148" xr3:uid="{2B372C19-E705-46B7-BA73-FFADEAE7AF41}" name="Column4143"/>
    <tableColumn id="4149" xr3:uid="{3A1FB402-774D-4139-BFBF-FA5BBFE027DA}" name="Column4144"/>
    <tableColumn id="4150" xr3:uid="{EA94987B-E27A-48FA-89E2-619CA3CFD3A7}" name="Column4145"/>
    <tableColumn id="4151" xr3:uid="{C8C98748-B96C-4B47-8363-ACBAD68B17EC}" name="Column4146"/>
    <tableColumn id="4152" xr3:uid="{1A6E001F-CAAA-4544-A0F2-60306B04D9A0}" name="Column4147"/>
    <tableColumn id="4153" xr3:uid="{8759D479-1C72-4C67-9F98-DA01E1165361}" name="Column4148"/>
    <tableColumn id="4154" xr3:uid="{2ADF0FC0-261C-4994-8EFA-F42D69C71208}" name="Column4149"/>
    <tableColumn id="4155" xr3:uid="{EEF5BCEB-8954-447C-8351-C95C6642EF54}" name="Column4150"/>
    <tableColumn id="4156" xr3:uid="{7DEF1B74-2DEB-42DD-BC2E-B6F135D5F48A}" name="Column4151"/>
    <tableColumn id="4157" xr3:uid="{716AF71B-9058-410A-BE74-91F8881BC308}" name="Column4152"/>
    <tableColumn id="4158" xr3:uid="{409B7AA3-A002-4F12-BBBE-6B7B1DDA9030}" name="Column4153"/>
    <tableColumn id="4159" xr3:uid="{47FE8375-6366-42C6-B788-DE0F23FA871C}" name="Column4154"/>
    <tableColumn id="4160" xr3:uid="{5F1CCEAB-C662-4664-A2DC-2136FDCB8858}" name="Column4155"/>
    <tableColumn id="4161" xr3:uid="{99D07A95-59FE-4ACC-97B1-7ED056CF85EA}" name="Column4156"/>
    <tableColumn id="4162" xr3:uid="{3F5E1DCF-57E5-4370-903C-5C1F7E832EA1}" name="Column4157"/>
    <tableColumn id="4163" xr3:uid="{C4ECCEBD-7FB8-4668-AC7F-351DEE0A557D}" name="Column4158"/>
    <tableColumn id="4164" xr3:uid="{CA072286-F8DC-4665-B6F8-ECF195D2C0D3}" name="Column4159"/>
    <tableColumn id="4165" xr3:uid="{8D514F52-6974-45D9-9A32-938529B239CD}" name="Column4160"/>
    <tableColumn id="4166" xr3:uid="{61BFFC1A-4FDA-4DBD-9840-DADE2F47DDFE}" name="Column4161"/>
    <tableColumn id="4167" xr3:uid="{6A23B36F-7C0A-42D7-B761-2B91712617B5}" name="Column4162"/>
    <tableColumn id="4168" xr3:uid="{DC06A013-4AA9-46A9-B0D5-946AC23FB826}" name="Column4163"/>
    <tableColumn id="4169" xr3:uid="{F3741F0D-6F52-496B-9D83-F8B5841E1F2C}" name="Column4164"/>
    <tableColumn id="4170" xr3:uid="{2B1EC395-D989-40E7-98AC-0E34BD3B9694}" name="Column4165"/>
    <tableColumn id="4171" xr3:uid="{E0661C0B-6710-4AF8-A8D1-10A97AD0D581}" name="Column4166"/>
    <tableColumn id="4172" xr3:uid="{9708DA1A-ACD8-4B7A-9585-B43DA96C45CA}" name="Column4167"/>
    <tableColumn id="4173" xr3:uid="{CB34E772-7D58-4822-819C-49AA585CDF9F}" name="Column4168"/>
    <tableColumn id="4174" xr3:uid="{08F34998-3853-4D0E-8AE8-CB2A541CD292}" name="Column4169"/>
    <tableColumn id="4175" xr3:uid="{FEE1D1F2-5156-462C-B782-038CC617643D}" name="Column4170"/>
    <tableColumn id="4176" xr3:uid="{B3D2D4CC-3E95-4068-BC00-D0BC336D8BEF}" name="Column4171"/>
    <tableColumn id="4177" xr3:uid="{F50B0431-D1B6-41E7-97F4-C5FF22297189}" name="Column4172"/>
    <tableColumn id="4178" xr3:uid="{E6365BC7-9A21-4D74-A438-9B636D308FD4}" name="Column4173"/>
    <tableColumn id="4179" xr3:uid="{C6F17A8A-BAC0-413D-AA34-A009E5BFE642}" name="Column4174"/>
    <tableColumn id="4180" xr3:uid="{D9A532BA-A945-4DDC-A1D0-6FE1D83E8D2E}" name="Column4175"/>
    <tableColumn id="4181" xr3:uid="{E3167BEC-450F-491F-A595-0CEBBD20FE77}" name="Column4176"/>
    <tableColumn id="4182" xr3:uid="{17C5913E-25C1-4D47-8D3A-6447E795A12D}" name="Column4177"/>
    <tableColumn id="4183" xr3:uid="{63A1E2F7-E98F-402F-80D7-C0C60CFCB561}" name="Column4178"/>
    <tableColumn id="4184" xr3:uid="{03B61CC7-D3C3-4459-830A-F74A8FB1E2F8}" name="Column4179"/>
    <tableColumn id="4185" xr3:uid="{4F069C41-22B6-4C4D-BB8E-86C3E34FC6B5}" name="Column4180"/>
    <tableColumn id="4186" xr3:uid="{A7B6B84C-9D0A-4163-88C8-5D3F30A90D4F}" name="Column4181"/>
    <tableColumn id="4187" xr3:uid="{D097349A-1EB3-424E-8ED2-D8F59DE4F63F}" name="Column4182"/>
    <tableColumn id="4188" xr3:uid="{8DD14DEA-E08E-45DF-91E8-EBC9A199BD58}" name="Column4183"/>
    <tableColumn id="4189" xr3:uid="{24783FA3-9846-49F8-908D-2A6CF88FD47A}" name="Column4184"/>
    <tableColumn id="4190" xr3:uid="{A5CFFAED-86B0-4EE8-BB54-8EB4B082B8E3}" name="Column4185"/>
    <tableColumn id="4191" xr3:uid="{1B520FE6-0E80-4F95-A4EA-98B574BF61E4}" name="Column4186"/>
    <tableColumn id="4192" xr3:uid="{19D5F9F6-0FDF-4A96-AA82-A9DA5834BF01}" name="Column4187"/>
    <tableColumn id="4193" xr3:uid="{5BD492B0-3A31-44E6-9374-C512E5BDE04D}" name="Column4188"/>
    <tableColumn id="4194" xr3:uid="{4FE947B8-B4C4-440C-97F7-BCB9E6640D64}" name="Column4189"/>
    <tableColumn id="4195" xr3:uid="{AEDA0474-5DCB-464D-99CF-13E628DAFF8B}" name="Column4190"/>
    <tableColumn id="4196" xr3:uid="{AD57F571-9483-4CB7-B71D-FBB8F341FDFC}" name="Column4191"/>
    <tableColumn id="4197" xr3:uid="{82D5CD41-B214-480B-9DEC-93EB1E5E0E03}" name="Column4192"/>
    <tableColumn id="4198" xr3:uid="{42F84DB6-79B0-462E-8624-05DEA3726D2D}" name="Column4193"/>
    <tableColumn id="4199" xr3:uid="{9D6C129A-93AF-4C4E-A6C6-FD704D2D2AEA}" name="Column4194"/>
    <tableColumn id="4200" xr3:uid="{03A570F0-059C-4FEA-B2E3-F8F2403192A7}" name="Column4195"/>
    <tableColumn id="4201" xr3:uid="{D16DE39A-559F-47FD-A2AC-277F511843C6}" name="Column4196"/>
    <tableColumn id="4202" xr3:uid="{F25BACE6-389D-4569-B52F-0F1B202789BD}" name="Column4197"/>
    <tableColumn id="4203" xr3:uid="{532250F1-CF55-4AC8-9692-5E8415C1AA2C}" name="Column4198"/>
    <tableColumn id="4204" xr3:uid="{E867D050-677E-4136-84A8-150A0B1ECA82}" name="Column4199"/>
    <tableColumn id="4205" xr3:uid="{5A481C83-7094-4F1E-B3A2-78B7FEB58393}" name="Column4200"/>
    <tableColumn id="4206" xr3:uid="{4F3DF221-0D53-41C1-BCCB-A754B83226A0}" name="Column4201"/>
    <tableColumn id="4207" xr3:uid="{4B3E853D-9E21-4719-9BEC-07BFCE064C07}" name="Column4202"/>
    <tableColumn id="4208" xr3:uid="{39CF1C0D-3D15-4DF3-B898-9DDDC6C0AA2D}" name="Column4203"/>
    <tableColumn id="4209" xr3:uid="{8711F59B-3055-4F8C-8776-AC0CA38024C6}" name="Column4204"/>
    <tableColumn id="4210" xr3:uid="{FB49277B-3F65-42BC-AE29-53B9F5D63594}" name="Column4205"/>
    <tableColumn id="4211" xr3:uid="{346A34BC-ABAA-42B3-8D29-273BC16FFAB4}" name="Column4206"/>
    <tableColumn id="4212" xr3:uid="{D36EA36C-2795-4BCE-B178-EC981BEA4BCF}" name="Column4207"/>
    <tableColumn id="4213" xr3:uid="{AA400F57-BD14-4945-B2E8-D3DCBCC872E1}" name="Column4208"/>
    <tableColumn id="4214" xr3:uid="{C7F345B4-CAFA-4DA4-8F14-B3F737709D3D}" name="Column4209"/>
    <tableColumn id="4215" xr3:uid="{F9E90E91-F1E1-4D9C-9354-3D075D5C9AE9}" name="Column4210"/>
    <tableColumn id="4216" xr3:uid="{BCAA3166-5040-43F7-A02C-1600CEADF4D8}" name="Column4211"/>
    <tableColumn id="4217" xr3:uid="{86FD9E5D-0140-496B-9C75-027961E65702}" name="Column4212"/>
    <tableColumn id="4218" xr3:uid="{D61588A2-AC2C-4E7E-842F-97F04822EE76}" name="Column4213"/>
    <tableColumn id="4219" xr3:uid="{B6B37D6A-7981-4F61-8CE9-C42FE18EB634}" name="Column4214"/>
    <tableColumn id="4220" xr3:uid="{AA6E18F0-1CCB-48F7-AD9E-3F193813BFA5}" name="Column4215"/>
    <tableColumn id="4221" xr3:uid="{3B226F60-6E57-4433-B4E1-6E99AAFA6162}" name="Column4216"/>
    <tableColumn id="4222" xr3:uid="{9DBD28BA-203E-42F2-9550-C96163ED6464}" name="Column4217"/>
    <tableColumn id="4223" xr3:uid="{557D664B-745B-4DA7-B497-BAB6417140D6}" name="Column4218"/>
    <tableColumn id="4224" xr3:uid="{EAAC27FA-67E2-43A0-AB58-53EF044846E9}" name="Column4219"/>
    <tableColumn id="4225" xr3:uid="{F63B2DFD-1FFD-45AF-8408-4FA812635C85}" name="Column4220"/>
    <tableColumn id="4226" xr3:uid="{72274E8E-337F-42B6-A10A-C79A853673A5}" name="Column4221"/>
    <tableColumn id="4227" xr3:uid="{87ED2C87-8B4B-4BE5-A879-3DED294023F2}" name="Column4222"/>
    <tableColumn id="4228" xr3:uid="{4E29478A-109E-4A71-A8F3-9C4F8B1DC08C}" name="Column4223"/>
    <tableColumn id="4229" xr3:uid="{3BE5778A-8912-4459-874F-FFBF12DA6461}" name="Column4224"/>
    <tableColumn id="4230" xr3:uid="{178BD0F5-7308-4E92-9860-B43553638BED}" name="Column4225"/>
    <tableColumn id="4231" xr3:uid="{9BBC407D-0671-4928-AEB2-4ED27A34D4C4}" name="Column4226"/>
    <tableColumn id="4232" xr3:uid="{990B45EF-ACE7-48E2-9E2F-3F0EBC966C60}" name="Column4227"/>
    <tableColumn id="4233" xr3:uid="{5116FFE1-4049-4515-8C04-779928A432CC}" name="Column4228"/>
    <tableColumn id="4234" xr3:uid="{853B06CF-5DFE-486D-966B-09A6A7E89D83}" name="Column4229"/>
    <tableColumn id="4235" xr3:uid="{9F7980C0-5B3C-4EAA-A224-1E9799193712}" name="Column4230"/>
    <tableColumn id="4236" xr3:uid="{EBB2246B-C23C-4FB5-9D2F-41768D193E24}" name="Column4231"/>
    <tableColumn id="4237" xr3:uid="{A946E30A-A27A-4532-81B6-89B14F4EDD18}" name="Column4232"/>
    <tableColumn id="4238" xr3:uid="{18A58623-3492-4C3F-88A1-6CD25B160C12}" name="Column4233"/>
    <tableColumn id="4239" xr3:uid="{DE7D419B-660D-41D4-8342-CD42C0659413}" name="Column4234"/>
    <tableColumn id="4240" xr3:uid="{543618E0-12DC-48D9-91EC-7324558B0ED6}" name="Column4235"/>
    <tableColumn id="4241" xr3:uid="{D7CE0853-05CA-402C-ACD9-D4D04E7DE2D4}" name="Column4236"/>
    <tableColumn id="4242" xr3:uid="{CBFD505A-F183-4209-98A4-F100FECC3937}" name="Column4237"/>
    <tableColumn id="4243" xr3:uid="{D910A42D-EE22-4A59-911D-2C1063D906C6}" name="Column4238"/>
    <tableColumn id="4244" xr3:uid="{ADF7DB3C-823A-47E3-88C7-1E6E8119569D}" name="Column4239"/>
    <tableColumn id="4245" xr3:uid="{45648062-7D99-45CF-9178-25B509BC2AE1}" name="Column4240"/>
    <tableColumn id="4246" xr3:uid="{D6C3117C-D3A5-4A19-B195-ED987B2103B4}" name="Column4241"/>
    <tableColumn id="4247" xr3:uid="{9A40D9D5-BC47-4D0F-9CAE-629A80CA5722}" name="Column4242"/>
    <tableColumn id="4248" xr3:uid="{1A90F089-772A-4B94-97A3-E5AEF9535FE0}" name="Column4243"/>
    <tableColumn id="4249" xr3:uid="{1D7918D8-621F-4286-B8A0-94900C2686A9}" name="Column4244"/>
    <tableColumn id="4250" xr3:uid="{B131C6EE-9E4E-4FB5-AEBB-FC236112B8C3}" name="Column4245"/>
    <tableColumn id="4251" xr3:uid="{856EA35C-8501-4A80-819C-2C2DB932B797}" name="Column4246"/>
    <tableColumn id="4252" xr3:uid="{3A7AAD2C-96B0-4778-8508-7083CD0FDC27}" name="Column4247"/>
    <tableColumn id="4253" xr3:uid="{0F29F2E2-78C8-45D6-9F40-E513769C28C3}" name="Column4248"/>
    <tableColumn id="4254" xr3:uid="{28BF445A-2BE4-4882-9F34-64807A3C8607}" name="Column4249"/>
    <tableColumn id="4255" xr3:uid="{A916158C-3A23-4676-AE7E-F10A4E6E8964}" name="Column4250"/>
    <tableColumn id="4256" xr3:uid="{D63DD77F-6C95-42E8-8974-83F28D2785BC}" name="Column4251"/>
    <tableColumn id="4257" xr3:uid="{F769EED9-A306-4571-8005-E77173371FDF}" name="Column4252"/>
    <tableColumn id="4258" xr3:uid="{84C1CB0B-85B7-4DE1-B8C0-B1D30B6EB7D4}" name="Column4253"/>
    <tableColumn id="4259" xr3:uid="{88C99B9A-4C1F-4E34-9A1C-A63A99B05495}" name="Column4254"/>
    <tableColumn id="4260" xr3:uid="{F1777BD3-F7AF-4E76-A2D0-E930DDD8B953}" name="Column4255"/>
    <tableColumn id="4261" xr3:uid="{EF1E8B02-3E77-4085-B82C-FEC5F06F8CD0}" name="Column4256"/>
    <tableColumn id="4262" xr3:uid="{AEC91940-8D81-4954-B624-C86A8596DCEC}" name="Column4257"/>
    <tableColumn id="4263" xr3:uid="{AAE5F882-C59E-4BC8-8FEC-CA33394A3D38}" name="Column4258"/>
    <tableColumn id="4264" xr3:uid="{F0F589A5-7E6C-48E5-BB0D-73694C79F4F3}" name="Column4259"/>
    <tableColumn id="4265" xr3:uid="{AE134BCC-6950-4487-BAE8-003D9B763649}" name="Column4260"/>
    <tableColumn id="4266" xr3:uid="{5CF1A5ED-7DE4-4092-B259-1D07B47C6688}" name="Column4261"/>
    <tableColumn id="4267" xr3:uid="{293452C5-2DF9-4540-BB66-0AC7B8BED43E}" name="Column4262"/>
    <tableColumn id="4268" xr3:uid="{3C7AF71F-90D1-47CF-A434-265BA6746D5B}" name="Column4263"/>
    <tableColumn id="4269" xr3:uid="{EBD030C6-66B6-4069-8A1D-E8486F53D2EC}" name="Column4264"/>
    <tableColumn id="4270" xr3:uid="{9EEF87F5-0C32-490A-B1DB-153C9F4EA3B4}" name="Column4265"/>
    <tableColumn id="4271" xr3:uid="{730CB88C-AAB1-4EB9-BE27-55D58664C876}" name="Column4266"/>
    <tableColumn id="4272" xr3:uid="{29D99BB4-27D2-4516-BA9C-CA50C80FD43F}" name="Column4267"/>
    <tableColumn id="4273" xr3:uid="{93A3F5D9-189D-4430-8C0A-511D91CDE28D}" name="Column4268"/>
    <tableColumn id="4274" xr3:uid="{6FA7FFD9-6056-4CC6-9BCA-0D404649AB54}" name="Column4269"/>
    <tableColumn id="4275" xr3:uid="{77AFA605-44E8-445D-B9AD-E3F973C3163A}" name="Column4270"/>
    <tableColumn id="4276" xr3:uid="{E24535E8-37B9-47FD-9F99-D0508B6DE977}" name="Column4271"/>
    <tableColumn id="4277" xr3:uid="{69FE2577-80F6-4859-A1AF-9914D9FFA3E4}" name="Column4272"/>
    <tableColumn id="4278" xr3:uid="{9F2D6D95-3208-4C67-812A-D16553E53A87}" name="Column4273"/>
    <tableColumn id="4279" xr3:uid="{81D6988B-32FF-472C-A067-CD7ABF5A398E}" name="Column4274"/>
    <tableColumn id="4280" xr3:uid="{6F21559A-A8F3-47D0-8726-5BE3226071D7}" name="Column4275"/>
    <tableColumn id="4281" xr3:uid="{BADF74A0-DBD1-4175-9EBC-82F101B8753B}" name="Column4276"/>
    <tableColumn id="4282" xr3:uid="{A0C8B423-C207-474B-A6B9-D54EEB092E94}" name="Column4277"/>
    <tableColumn id="4283" xr3:uid="{B8400998-F24E-4F86-BA98-2FF52A6D24AF}" name="Column4278"/>
    <tableColumn id="4284" xr3:uid="{1A83FFF9-4378-4D7F-867F-7A361576780B}" name="Column4279"/>
    <tableColumn id="4285" xr3:uid="{009B86E5-BE19-43D1-84DE-A66782C58EA1}" name="Column4280"/>
    <tableColumn id="4286" xr3:uid="{A13D0EC8-B895-453B-80B1-CED27DD841E0}" name="Column4281"/>
    <tableColumn id="4287" xr3:uid="{68B1FAC8-7F48-45B6-AA54-3429C07E1AFD}" name="Column4282"/>
    <tableColumn id="4288" xr3:uid="{3F8B21FE-EA27-4AA9-BAB2-FEA9693F948C}" name="Column4283"/>
    <tableColumn id="4289" xr3:uid="{26ADCCB9-35B0-4536-939B-BDA09BEB7DC2}" name="Column4284"/>
    <tableColumn id="4290" xr3:uid="{CF149583-5AD7-468F-8BC5-7A3D17CBCF7A}" name="Column4285"/>
    <tableColumn id="4291" xr3:uid="{B4C1FD7A-ACC0-4339-AC95-8E61D0F144CF}" name="Column4286"/>
    <tableColumn id="4292" xr3:uid="{C05DBB89-7540-4E1B-99B0-E452BFC0F59D}" name="Column4287"/>
    <tableColumn id="4293" xr3:uid="{3FE219CD-BDA5-4E0F-80AA-34390E9C5153}" name="Column4288"/>
    <tableColumn id="4294" xr3:uid="{08FED6D7-530B-44DE-B096-DCA59D53F695}" name="Column4289"/>
    <tableColumn id="4295" xr3:uid="{B619D7E0-021F-4D87-AEB3-DBDC24D2F277}" name="Column4290"/>
    <tableColumn id="4296" xr3:uid="{A41091D1-FB61-4957-B113-D3AEAA5055AF}" name="Column4291"/>
    <tableColumn id="4297" xr3:uid="{2AF11F21-B5B8-44CD-83B5-3492722E21F1}" name="Column4292"/>
    <tableColumn id="4298" xr3:uid="{F4887792-5DE9-4C86-80E6-4EECE9DEFDCA}" name="Column4293"/>
    <tableColumn id="4299" xr3:uid="{C32540BE-5B27-4849-A5D1-2AEC6C11CE0F}" name="Column4294"/>
    <tableColumn id="4300" xr3:uid="{A7254F7D-1B2D-4698-B847-F2C923DD1715}" name="Column4295"/>
    <tableColumn id="4301" xr3:uid="{87692A39-2F4A-4FA2-999E-E5BC6694AEEF}" name="Column4296"/>
    <tableColumn id="4302" xr3:uid="{B5E351C5-C114-4FE3-B619-9CFF667DECF4}" name="Column4297"/>
    <tableColumn id="4303" xr3:uid="{BFCF79AF-A017-464D-BEC5-90A965C00315}" name="Column4298"/>
    <tableColumn id="4304" xr3:uid="{1436A701-9151-4DBC-8D81-0C3543FF32F7}" name="Column4299"/>
    <tableColumn id="4305" xr3:uid="{088461FC-1359-425B-9A3C-87097916E89E}" name="Column4300"/>
    <tableColumn id="4306" xr3:uid="{C096356C-F3B8-4A96-B4C2-49DDA4A72EE0}" name="Column4301"/>
    <tableColumn id="4307" xr3:uid="{2587977A-BEF4-41E5-BDD5-489C70D1CDCF}" name="Column4302"/>
    <tableColumn id="4308" xr3:uid="{49FD767E-D5D0-476E-9CA2-D286D3F0CD7E}" name="Column4303"/>
    <tableColumn id="4309" xr3:uid="{98A992C3-A52C-44A5-93B3-B866F5253D38}" name="Column4304"/>
    <tableColumn id="4310" xr3:uid="{EDF941C7-2140-48F2-A278-103F5B266F13}" name="Column4305"/>
    <tableColumn id="4311" xr3:uid="{6892B525-3473-4A69-9B02-993BF0A32654}" name="Column4306"/>
    <tableColumn id="4312" xr3:uid="{BE317674-8DDE-4F23-AD06-98415E5D364E}" name="Column4307"/>
    <tableColumn id="4313" xr3:uid="{AE100619-0770-4AA8-871D-9C59869D78EE}" name="Column4308"/>
    <tableColumn id="4314" xr3:uid="{76C02650-006A-473F-A3D6-C730C7B19864}" name="Column4309"/>
    <tableColumn id="4315" xr3:uid="{1B2226AF-AF7C-480D-B920-B811414EA3D5}" name="Column4310"/>
    <tableColumn id="4316" xr3:uid="{A30F40FD-113A-42A1-A8FD-34B6410D01EE}" name="Column4311"/>
    <tableColumn id="4317" xr3:uid="{2123B8C5-3026-4D51-BFEB-2C92274D36C7}" name="Column4312"/>
    <tableColumn id="4318" xr3:uid="{BA2A1D19-4D90-4B37-98EE-A0D5F43396D1}" name="Column4313"/>
    <tableColumn id="4319" xr3:uid="{D799180B-B936-4465-8FA7-03614A8BA013}" name="Column4314"/>
    <tableColumn id="4320" xr3:uid="{DC824333-741E-46F6-A021-67EEA3788E38}" name="Column4315"/>
    <tableColumn id="4321" xr3:uid="{78A8140B-B0EC-422E-8029-0BFD62EA733E}" name="Column4316"/>
    <tableColumn id="4322" xr3:uid="{4222AA75-4FB6-4383-9F97-D859D7CB253A}" name="Column4317"/>
    <tableColumn id="4323" xr3:uid="{E2D424E0-632F-44F9-93A0-20820CB61393}" name="Column4318"/>
    <tableColumn id="4324" xr3:uid="{47672047-1ACF-4550-926F-B777D16F3AF7}" name="Column4319"/>
    <tableColumn id="4325" xr3:uid="{959AA083-3799-4D3F-88E9-E8272A74F8EF}" name="Column4320"/>
    <tableColumn id="4326" xr3:uid="{287CBEA8-B891-4E9F-B7F0-3F996DD4120B}" name="Column4321"/>
    <tableColumn id="4327" xr3:uid="{D1D06A63-29A9-4AE2-B43D-20C1535EE869}" name="Column4322"/>
    <tableColumn id="4328" xr3:uid="{85D8B7A6-4106-4E8B-AC93-887EAF7BE55B}" name="Column4323"/>
    <tableColumn id="4329" xr3:uid="{724CFD95-4DB3-414E-8F89-76C8CF45E3D3}" name="Column4324"/>
    <tableColumn id="4330" xr3:uid="{4BE74A9B-45B8-4E7E-88B0-1066AC3E45A8}" name="Column4325"/>
    <tableColumn id="4331" xr3:uid="{40FAA1FE-71E4-49A2-A422-D0BFB3884522}" name="Column4326"/>
    <tableColumn id="4332" xr3:uid="{72B92D42-9541-47FD-93C4-336F11872586}" name="Column4327"/>
    <tableColumn id="4333" xr3:uid="{605834E0-B182-4C72-8BBB-B6ACF4A7C0FA}" name="Column4328"/>
    <tableColumn id="4334" xr3:uid="{86AB067F-4C2C-411C-816E-B09541D6D6C0}" name="Column4329"/>
    <tableColumn id="4335" xr3:uid="{F6C7A2C9-4F01-46BF-B73D-7CA15A2A2D3C}" name="Column4330"/>
    <tableColumn id="4336" xr3:uid="{BA459F59-88AD-4BEE-86A1-590967D2C2E3}" name="Column4331"/>
    <tableColumn id="4337" xr3:uid="{D3B5D271-26FD-493C-92EB-BE0782EDA7FB}" name="Column4332"/>
    <tableColumn id="4338" xr3:uid="{080BCE70-F778-42C7-90AA-409474ADC166}" name="Column4333"/>
    <tableColumn id="4339" xr3:uid="{FD0F7114-E2D8-4BD7-99FC-33525420818B}" name="Column4334"/>
    <tableColumn id="4340" xr3:uid="{2303DBEB-E650-40F2-9BB2-991A16787B00}" name="Column4335"/>
    <tableColumn id="4341" xr3:uid="{B832C8EF-FBFD-4D13-ADBD-C7DCD278EF6E}" name="Column4336"/>
    <tableColumn id="4342" xr3:uid="{DF3C9050-74FE-4478-87C2-E02A04C4D11F}" name="Column4337"/>
    <tableColumn id="4343" xr3:uid="{0BBD8D83-312B-4E07-A657-8350FE357485}" name="Column4338"/>
    <tableColumn id="4344" xr3:uid="{05692603-29E9-48F7-A5F9-20B9C0125040}" name="Column4339"/>
    <tableColumn id="4345" xr3:uid="{EDBBDAC7-01EC-4C3C-B760-8F3F7485F931}" name="Column4340"/>
    <tableColumn id="4346" xr3:uid="{A6A92FB9-A68F-4090-BAD8-11CF772D72C7}" name="Column4341"/>
    <tableColumn id="4347" xr3:uid="{F7CD8187-5C2F-402C-8F2F-14115BEEF555}" name="Column4342"/>
    <tableColumn id="4348" xr3:uid="{50796641-7D19-4A6A-A5DD-DBFF6F27A05F}" name="Column4343"/>
    <tableColumn id="4349" xr3:uid="{267D2DAF-E7A8-4E75-B7B7-A4C8E8AB60FE}" name="Column4344"/>
    <tableColumn id="4350" xr3:uid="{38D3F6EE-B5AC-4947-9D04-1742E7D6F3D0}" name="Column4345"/>
    <tableColumn id="4351" xr3:uid="{D89261F3-4A3D-46C1-BCE2-EC60847400FD}" name="Column4346"/>
    <tableColumn id="4352" xr3:uid="{B2D147B3-B4EA-409A-BBD6-5AFF294DDD22}" name="Column4347"/>
    <tableColumn id="4353" xr3:uid="{A0A5B072-D2B9-4094-9CF7-A4C88BDDF041}" name="Column4348"/>
    <tableColumn id="4354" xr3:uid="{16E44D83-5388-4BB0-A583-2780893A363B}" name="Column4349"/>
    <tableColumn id="4355" xr3:uid="{322FB604-95E6-4A26-A4C5-E85BAEB92DB4}" name="Column4350"/>
    <tableColumn id="4356" xr3:uid="{B4B079F0-E560-4391-B0A4-DF533AE43337}" name="Column4351"/>
    <tableColumn id="4357" xr3:uid="{EF14DEB7-E719-4127-B948-6C4DA9D2A383}" name="Column4352"/>
    <tableColumn id="4358" xr3:uid="{B5C19862-00B6-4A64-A8E0-11CD771091F0}" name="Column4353"/>
    <tableColumn id="4359" xr3:uid="{65322247-6A8E-4420-9E57-DF4696C7FDB1}" name="Column4354"/>
    <tableColumn id="4360" xr3:uid="{AA326B70-C9C0-4BCF-A69D-E472C71DDD18}" name="Column4355"/>
    <tableColumn id="4361" xr3:uid="{7A0CCF83-82C5-4254-A495-B1D7444C126E}" name="Column4356"/>
    <tableColumn id="4362" xr3:uid="{0A86AED0-1097-42A2-8A3B-A5CE25315328}" name="Column4357"/>
    <tableColumn id="4363" xr3:uid="{68383393-374B-405A-9997-EF89F7932CD5}" name="Column4358"/>
    <tableColumn id="4364" xr3:uid="{5FE38D14-B01A-4919-BCF2-28D6F6EA9B49}" name="Column4359"/>
    <tableColumn id="4365" xr3:uid="{C6266DE3-D0C3-4DC4-9CE1-1A9757791B9A}" name="Column4360"/>
    <tableColumn id="4366" xr3:uid="{68F17419-B9E5-4FF3-BFC2-A3A3135BB585}" name="Column4361"/>
    <tableColumn id="4367" xr3:uid="{E4365CED-BF17-4493-BCE7-B047BD6C089D}" name="Column4362"/>
    <tableColumn id="4368" xr3:uid="{F47B854E-8B12-498C-B189-07E22C49679D}" name="Column4363"/>
    <tableColumn id="4369" xr3:uid="{F024EAC9-FB3E-40B1-9888-FC01837F42A1}" name="Column4364"/>
    <tableColumn id="4370" xr3:uid="{A937DC61-41C6-4B62-A9E7-30631B2DF44D}" name="Column4365"/>
    <tableColumn id="4371" xr3:uid="{4C8AC4F8-C22A-40E7-B009-9616079916C5}" name="Column4366"/>
    <tableColumn id="4372" xr3:uid="{1E705046-6936-4F5C-B059-415D9652F55F}" name="Column4367"/>
    <tableColumn id="4373" xr3:uid="{958B766B-9C7B-407D-95B0-60826FF6D0A7}" name="Column4368"/>
    <tableColumn id="4374" xr3:uid="{42BCEEBE-8C9B-4BF8-9AE5-06FF30E81FDD}" name="Column4369"/>
    <tableColumn id="4375" xr3:uid="{577626B9-A32A-4F26-ADC3-479F0ED14156}" name="Column4370"/>
    <tableColumn id="4376" xr3:uid="{72460C8D-C390-4255-907A-6C8FC3612AE7}" name="Column4371"/>
    <tableColumn id="4377" xr3:uid="{B24CB697-B4C2-40EA-B9DC-1E98D2EF5C72}" name="Column4372"/>
    <tableColumn id="4378" xr3:uid="{8A340FE6-3550-4F30-A599-2236E7943BC3}" name="Column4373"/>
    <tableColumn id="4379" xr3:uid="{DDD07ACB-9B7A-4859-8F31-0263A742DE64}" name="Column4374"/>
    <tableColumn id="4380" xr3:uid="{BFEC9BFA-565C-4BEF-8994-A4F59900AD84}" name="Column4375"/>
    <tableColumn id="4381" xr3:uid="{5F2638A5-BE92-46DC-B2A0-157EBD075843}" name="Column4376"/>
    <tableColumn id="4382" xr3:uid="{402A4F4D-233C-413E-BEDA-DE0535091984}" name="Column4377"/>
    <tableColumn id="4383" xr3:uid="{65A203FF-42EE-440F-A9E3-8422A52D4CC9}" name="Column4378"/>
    <tableColumn id="4384" xr3:uid="{85F114CA-B381-4246-A726-F1E1C50ADEBA}" name="Column4379"/>
    <tableColumn id="4385" xr3:uid="{BC593FC8-9F2E-431D-B073-6E63BA1C5E21}" name="Column4380"/>
    <tableColumn id="4386" xr3:uid="{BA0B474C-2FDD-4885-B4EE-2C32421E45E5}" name="Column4381"/>
    <tableColumn id="4387" xr3:uid="{D8A401BF-EDCE-421C-9018-4674EEC0CC08}" name="Column4382"/>
    <tableColumn id="4388" xr3:uid="{F78AC8FD-D8AD-4D9A-B645-EFDFD7A12CF1}" name="Column4383"/>
    <tableColumn id="4389" xr3:uid="{F708E249-5EC8-4BE6-A5A3-3288B3DBE245}" name="Column4384"/>
    <tableColumn id="4390" xr3:uid="{86A09C85-764E-48D6-AE0B-EE41BC0CA234}" name="Column4385"/>
    <tableColumn id="4391" xr3:uid="{B1CE903B-B3E9-4832-94FC-2B34E2C0530F}" name="Column4386"/>
    <tableColumn id="4392" xr3:uid="{DF83C2A8-5C29-41B5-B159-0507A3F7679C}" name="Column4387"/>
    <tableColumn id="4393" xr3:uid="{B60A7ABD-1949-4DB8-82F6-07953A90D646}" name="Column4388"/>
    <tableColumn id="4394" xr3:uid="{64E55D2C-F151-4BFD-8CB4-958534D3CC4B}" name="Column4389"/>
    <tableColumn id="4395" xr3:uid="{A49C248D-BCFF-4A44-9A7F-3E91307D823D}" name="Column4390"/>
    <tableColumn id="4396" xr3:uid="{8474E8D5-02A7-447D-B67F-86007F0C8E13}" name="Column4391"/>
    <tableColumn id="4397" xr3:uid="{AE537796-7240-45BA-A621-CE7E59E074BE}" name="Column4392"/>
    <tableColumn id="4398" xr3:uid="{7D0FDAB2-80CD-43ED-A616-788F9599FE71}" name="Column4393"/>
    <tableColumn id="4399" xr3:uid="{C0DAC2E8-9ABE-412D-80CB-BD4E1A45F134}" name="Column4394"/>
    <tableColumn id="4400" xr3:uid="{80E4EAB3-2B8A-4151-8DD8-692A41928CA6}" name="Column4395"/>
    <tableColumn id="4401" xr3:uid="{233966D5-0D53-4951-9F13-93BBC3637B3C}" name="Column4396"/>
    <tableColumn id="4402" xr3:uid="{62BD1AA8-E920-4450-8D9E-5968958E6C20}" name="Column4397"/>
    <tableColumn id="4403" xr3:uid="{52779BD9-85F2-4339-B3BC-89A4F5481911}" name="Column4398"/>
    <tableColumn id="4404" xr3:uid="{B335D287-73BE-49C7-A3EE-204155559F40}" name="Column4399"/>
    <tableColumn id="4405" xr3:uid="{6D81820F-FDB0-4468-B78F-B7D2C05378DC}" name="Column4400"/>
    <tableColumn id="4406" xr3:uid="{FE17B733-2FF9-4C46-9514-E40E6F238FA1}" name="Column4401"/>
    <tableColumn id="4407" xr3:uid="{F289B95D-C5EE-463B-AF69-476F54199C04}" name="Column4402"/>
    <tableColumn id="4408" xr3:uid="{B2EEF2B4-3986-4D9A-B620-88483A4CEA74}" name="Column4403"/>
    <tableColumn id="4409" xr3:uid="{5DAEF44D-66F4-4E14-AB16-6E18531BFEAC}" name="Column4404"/>
    <tableColumn id="4410" xr3:uid="{72E28659-CA6C-4242-A8E1-B8367F92ADAB}" name="Column4405"/>
    <tableColumn id="4411" xr3:uid="{F10D5E86-9C79-4DAC-BD5A-C78824963252}" name="Column4406"/>
    <tableColumn id="4412" xr3:uid="{1D44B162-BCF6-425A-8FA9-99FD48ECCFC4}" name="Column4407"/>
    <tableColumn id="4413" xr3:uid="{D8461F71-7190-49EE-8910-3F6D448A0A96}" name="Column4408"/>
    <tableColumn id="4414" xr3:uid="{074653F7-7463-4E9A-BB86-A08520429940}" name="Column4409"/>
    <tableColumn id="4415" xr3:uid="{24EB2340-74A3-4CAB-8A0E-36F6CBD5C11B}" name="Column4410"/>
    <tableColumn id="4416" xr3:uid="{47428A4C-5D72-449A-9954-644A2556FCE8}" name="Column4411"/>
    <tableColumn id="4417" xr3:uid="{3F47233E-EA8D-45ED-AB7D-0C292A1027BC}" name="Column4412"/>
    <tableColumn id="4418" xr3:uid="{1A716848-C0E3-4A6E-ADB3-6A1C88B2D0F0}" name="Column4413"/>
    <tableColumn id="4419" xr3:uid="{86168119-E8E6-4DFE-8104-FA7ADBDB0510}" name="Column4414"/>
    <tableColumn id="4420" xr3:uid="{DD90FA25-59A5-47ED-89FC-1ECCAE045654}" name="Column4415"/>
    <tableColumn id="4421" xr3:uid="{CAC4C1ED-3833-47B3-ACDE-FC8621FE274F}" name="Column4416"/>
    <tableColumn id="4422" xr3:uid="{AF7CE81D-6BE2-45D6-9AAB-46373601D311}" name="Column4417"/>
    <tableColumn id="4423" xr3:uid="{800F65B0-3904-4CD5-B2AF-8A47427911B0}" name="Column4418"/>
    <tableColumn id="4424" xr3:uid="{31888F54-7E8E-4C66-B8B8-F27C05029F01}" name="Column4419"/>
    <tableColumn id="4425" xr3:uid="{11A8BCEF-2EF4-4A0E-A34F-103F41DA690A}" name="Column4420"/>
    <tableColumn id="4426" xr3:uid="{79218B34-2566-4E23-A9AF-DE2502D57618}" name="Column4421"/>
    <tableColumn id="4427" xr3:uid="{82C0B157-7681-4EAD-B5E5-1424F643C129}" name="Column4422"/>
    <tableColumn id="4428" xr3:uid="{AB2156F5-C4F8-4A9E-888F-A1B6639084C5}" name="Column4423"/>
    <tableColumn id="4429" xr3:uid="{239CCF74-4A06-4EE6-8B89-17CEC8C070A4}" name="Column4424"/>
    <tableColumn id="4430" xr3:uid="{3FBE0CCF-E8C2-4C08-A10C-B1D04850931A}" name="Column4425"/>
    <tableColumn id="4431" xr3:uid="{B11A929C-40EC-4053-A638-07936035630B}" name="Column4426"/>
    <tableColumn id="4432" xr3:uid="{A1113B17-4D05-4775-9732-2C008B05647E}" name="Column4427"/>
    <tableColumn id="4433" xr3:uid="{FC4D73A6-37EA-495D-B63B-120141F999D3}" name="Column4428"/>
    <tableColumn id="4434" xr3:uid="{A82737DF-5446-4FD8-84CA-F9E9428266DC}" name="Column4429"/>
    <tableColumn id="4435" xr3:uid="{34F982B2-6742-4F58-9004-5C2C32598ADC}" name="Column4430"/>
    <tableColumn id="4436" xr3:uid="{F0EC0888-D4F6-44B3-8D54-0B8769BCB179}" name="Column4431"/>
    <tableColumn id="4437" xr3:uid="{A0151F1D-6C97-4CA6-A789-740973856AC8}" name="Column4432"/>
    <tableColumn id="4438" xr3:uid="{5D4F34E5-8F23-4952-8D41-FFA01BC1C4EA}" name="Column4433"/>
    <tableColumn id="4439" xr3:uid="{C14D158B-8307-453D-AC1A-E4DB0625BD82}" name="Column4434"/>
    <tableColumn id="4440" xr3:uid="{50C2AD80-D8C9-453F-940D-29CC779DA539}" name="Column4435"/>
    <tableColumn id="4441" xr3:uid="{D830D84D-3833-480F-83FF-EDDF5E7244C4}" name="Column4436"/>
    <tableColumn id="4442" xr3:uid="{1FEF0F63-BFEC-46C0-A6EE-87C5DE433C50}" name="Column4437"/>
    <tableColumn id="4443" xr3:uid="{80524239-D2FB-4162-925F-E0BC788E8A68}" name="Column4438"/>
    <tableColumn id="4444" xr3:uid="{4EB1FB2B-4231-428A-B150-A6D31D5FBC67}" name="Column4439"/>
    <tableColumn id="4445" xr3:uid="{56D8FFC3-587C-4D52-97BB-F497E30C490C}" name="Column4440"/>
    <tableColumn id="4446" xr3:uid="{6BAC7B8F-2601-4DA8-B532-DA78E971F459}" name="Column4441"/>
    <tableColumn id="4447" xr3:uid="{D94CC55B-6587-4D7D-881A-59F27F0EEA70}" name="Column4442"/>
    <tableColumn id="4448" xr3:uid="{F078D197-9371-4976-86F5-078F32AACB04}" name="Column4443"/>
    <tableColumn id="4449" xr3:uid="{677C6742-0F3D-4972-A014-3F8A46F443D7}" name="Column4444"/>
    <tableColumn id="4450" xr3:uid="{40ACF469-9747-4584-B34E-71928B05A490}" name="Column4445"/>
    <tableColumn id="4451" xr3:uid="{900E8E4D-4044-4B10-89DB-318D68C786D5}" name="Column4446"/>
    <tableColumn id="4452" xr3:uid="{DFB0079D-21D3-4855-9A22-C0D50ADFB7E3}" name="Column4447"/>
    <tableColumn id="4453" xr3:uid="{1988F2F4-F6AA-4B77-B283-26CAAA23A467}" name="Column4448"/>
    <tableColumn id="4454" xr3:uid="{80786474-F189-460F-ABEA-B1CE765BE0B0}" name="Column4449"/>
    <tableColumn id="4455" xr3:uid="{30D52C51-C0B6-41B2-AE19-9DC5BDA4B09E}" name="Column4450"/>
    <tableColumn id="4456" xr3:uid="{49B1DFB7-AA94-43C9-96EF-2D47523C07A0}" name="Column4451"/>
    <tableColumn id="4457" xr3:uid="{CB5E3C9C-AC6C-46BB-B8BE-A30A4276688F}" name="Column4452"/>
    <tableColumn id="4458" xr3:uid="{00BB89F0-D14F-453E-86AE-56B2BA8607F1}" name="Column4453"/>
    <tableColumn id="4459" xr3:uid="{24FE31F5-67B4-40F9-82D3-21A759C87727}" name="Column4454"/>
    <tableColumn id="4460" xr3:uid="{BB331620-653B-43EA-9E78-36C442960AE0}" name="Column4455"/>
    <tableColumn id="4461" xr3:uid="{E98EE53E-FF9F-486B-AAB8-FB3DC8E26415}" name="Column4456"/>
    <tableColumn id="4462" xr3:uid="{CB52BA84-2AD1-45A0-BF15-8F8F6744ED92}" name="Column4457"/>
    <tableColumn id="4463" xr3:uid="{DE2CC708-2DF6-4C36-8732-5276E5F11D81}" name="Column4458"/>
    <tableColumn id="4464" xr3:uid="{1329D312-F96F-4A55-8649-F639C799A7D3}" name="Column4459"/>
    <tableColumn id="4465" xr3:uid="{4E247447-6D6B-43B8-9BA6-9CDB57C5780D}" name="Column4460"/>
    <tableColumn id="4466" xr3:uid="{DAA681B3-906A-4974-A242-BC165974EB02}" name="Column4461"/>
    <tableColumn id="4467" xr3:uid="{D5C39494-8AFD-4A40-AF5F-2545F2B4CAF9}" name="Column4462"/>
    <tableColumn id="4468" xr3:uid="{F9A10C66-4BE9-4D53-832C-7FF8300C6979}" name="Column4463"/>
    <tableColumn id="4469" xr3:uid="{06C58706-9BB9-4CF0-8319-DE4C41755305}" name="Column4464"/>
    <tableColumn id="4470" xr3:uid="{9C65DB10-F63A-4FC1-9C62-307145178E2E}" name="Column4465"/>
    <tableColumn id="4471" xr3:uid="{2A70DBF9-9DEF-42B7-88D2-0E3BE2051A2A}" name="Column4466"/>
    <tableColumn id="4472" xr3:uid="{791DECBB-5F65-420D-A123-B76947634AA5}" name="Column4467"/>
    <tableColumn id="4473" xr3:uid="{13123D6A-140A-4D06-ABAE-F32D2E633E35}" name="Column4468"/>
    <tableColumn id="4474" xr3:uid="{7F8909FA-5247-4798-9F62-73DACFA6C365}" name="Column4469"/>
    <tableColumn id="4475" xr3:uid="{B4B8B85E-1229-4335-8172-0360A0012019}" name="Column4470"/>
    <tableColumn id="4476" xr3:uid="{FC9C0183-4930-4063-BCEE-F2C2E8477207}" name="Column4471"/>
    <tableColumn id="4477" xr3:uid="{96A34B6A-5582-4E14-A5F4-7299DF04D7C7}" name="Column4472"/>
    <tableColumn id="4478" xr3:uid="{FCF2F82C-1FFC-4EDE-9B0F-3291FD50A091}" name="Column4473"/>
    <tableColumn id="4479" xr3:uid="{1E4B93B6-08BB-479E-B84C-18EBC64F3FE6}" name="Column4474"/>
    <tableColumn id="4480" xr3:uid="{E08B2DB7-80DF-4411-9EB4-423767002B39}" name="Column4475"/>
    <tableColumn id="4481" xr3:uid="{C92F3CA1-B240-45DC-BB0A-52E289989197}" name="Column4476"/>
    <tableColumn id="4482" xr3:uid="{E1EC3717-D323-4D99-A0A0-D20B159E7437}" name="Column4477"/>
    <tableColumn id="4483" xr3:uid="{E4ED70AA-D1D4-4ECB-BD18-0E4DF8187EFA}" name="Column4478"/>
    <tableColumn id="4484" xr3:uid="{801A7581-10F8-4E1B-8FA7-2E4F7749D3A5}" name="Column4479"/>
    <tableColumn id="4485" xr3:uid="{E79A3086-AB3E-4592-9E8E-BD522E52C8DE}" name="Column4480"/>
    <tableColumn id="4486" xr3:uid="{4817C4C6-A193-47EC-8354-D7B24496003A}" name="Column4481"/>
    <tableColumn id="4487" xr3:uid="{50B292DB-6825-4D77-A8A7-1B1E97827DEF}" name="Column4482"/>
    <tableColumn id="4488" xr3:uid="{6319D3E6-A52A-472C-A82B-9BD30BA01BBF}" name="Column4483"/>
    <tableColumn id="4489" xr3:uid="{AA3A1080-0260-404C-80F3-66EDAA49069A}" name="Column4484"/>
    <tableColumn id="4490" xr3:uid="{8930A85F-1BCA-4725-8EE3-EC30329E39BD}" name="Column4485"/>
    <tableColumn id="4491" xr3:uid="{1B8C2BA9-D728-445C-8515-9CC0FDE3BB78}" name="Column4486"/>
    <tableColumn id="4492" xr3:uid="{626ABCB9-2E74-4822-AF00-F439667EEE9A}" name="Column4487"/>
    <tableColumn id="4493" xr3:uid="{59A43BE5-34BC-4468-A67A-DB7DB107EDC6}" name="Column4488"/>
    <tableColumn id="4494" xr3:uid="{C861D144-8508-424D-9C78-BABC6F90CBA9}" name="Column4489"/>
    <tableColumn id="4495" xr3:uid="{CF3666AE-5C29-4109-9468-4DDDAF82E0DA}" name="Column4490"/>
    <tableColumn id="4496" xr3:uid="{8F9DE10A-4E80-4041-BBD4-FC9D7986CB84}" name="Column4491"/>
    <tableColumn id="4497" xr3:uid="{DF0B3EC0-4FBF-46A2-99E0-AC362346B7A4}" name="Column4492"/>
    <tableColumn id="4498" xr3:uid="{BD8AD462-D924-4159-A1AA-ED8D86F6E5EE}" name="Column4493"/>
    <tableColumn id="4499" xr3:uid="{76EF48CB-A317-4E28-8ED9-BA7E74D7F8C2}" name="Column4494"/>
    <tableColumn id="4500" xr3:uid="{C66C9BBA-EE67-4242-9889-E4169A96DD6F}" name="Column4495"/>
    <tableColumn id="4501" xr3:uid="{5DD787DF-7EEC-432D-AC78-58E0B83ABA97}" name="Column4496"/>
    <tableColumn id="4502" xr3:uid="{B0BE24E1-C558-4A1B-916A-F99968E5272D}" name="Column4497"/>
    <tableColumn id="4503" xr3:uid="{3831C104-0EB7-44E0-9EBA-AD7D53C2A0A6}" name="Column4498"/>
    <tableColumn id="4504" xr3:uid="{14FF4198-2234-4880-A348-FCB6119A8880}" name="Column4499"/>
    <tableColumn id="4505" xr3:uid="{03384D06-8626-4D15-9630-D919F539D3EF}" name="Column4500"/>
    <tableColumn id="4506" xr3:uid="{61F0833B-5668-446B-8249-87CD27E7030A}" name="Column4501"/>
    <tableColumn id="4507" xr3:uid="{C1C03B47-BC0D-46A1-8A6E-72A2E0A74470}" name="Column4502"/>
    <tableColumn id="4508" xr3:uid="{F05FA9BB-52E9-437F-B9F8-BFE0347F9F43}" name="Column4503"/>
    <tableColumn id="4509" xr3:uid="{5D8023D8-9A44-4FF2-BEE5-ABFA64332C59}" name="Column4504"/>
    <tableColumn id="4510" xr3:uid="{3B4C31BF-9F30-4676-8C3D-BA3EC780381A}" name="Column4505"/>
    <tableColumn id="4511" xr3:uid="{EBB757C7-1A3D-48D4-B2DB-5F03E9088E78}" name="Column4506"/>
    <tableColumn id="4512" xr3:uid="{3F87741B-2E67-4A3B-8744-8127C9F206CD}" name="Column4507"/>
    <tableColumn id="4513" xr3:uid="{6E7E98B9-3BD5-4008-AB8A-68DA74E2A02B}" name="Column4508"/>
    <tableColumn id="4514" xr3:uid="{29289CD2-89F2-4294-84CF-4141756A8632}" name="Column4509"/>
    <tableColumn id="4515" xr3:uid="{194A089C-32F6-46B8-A94B-C215C9F19864}" name="Column4510"/>
    <tableColumn id="4516" xr3:uid="{71CF3C01-0DAC-470B-857E-183A874DAB25}" name="Column4511"/>
    <tableColumn id="4517" xr3:uid="{BDF657DC-2F6B-41D2-8B29-121E9BFEC703}" name="Column4512"/>
    <tableColumn id="4518" xr3:uid="{6F009E44-D6CF-4042-8C7A-A3BE0102A7DE}" name="Column4513"/>
    <tableColumn id="4519" xr3:uid="{7ECD19EE-3E4A-49B0-9676-6D33BBB6E4A0}" name="Column4514"/>
    <tableColumn id="4520" xr3:uid="{26463E0F-1232-4231-8CC1-193162FE8B51}" name="Column4515"/>
    <tableColumn id="4521" xr3:uid="{D6800C1D-7F88-45B2-81F7-C0D6C4FEB331}" name="Column4516"/>
    <tableColumn id="4522" xr3:uid="{6678C82B-3B59-49C2-9ED3-94A5FCD82C7B}" name="Column4517"/>
    <tableColumn id="4523" xr3:uid="{52A35547-B677-4AF7-B383-CB70DBE021CB}" name="Column4518"/>
    <tableColumn id="4524" xr3:uid="{4702D149-8E0A-4724-978D-1F147B24D37F}" name="Column4519"/>
    <tableColumn id="4525" xr3:uid="{3DF0F77C-C7E0-4B15-BC6F-5B40E6B2CF74}" name="Column4520"/>
    <tableColumn id="4526" xr3:uid="{0B12E869-3B15-4F54-9565-EF6551A24F2E}" name="Column4521"/>
    <tableColumn id="4527" xr3:uid="{CAF77D45-0CFA-42E1-AFC7-F6A85CDD589D}" name="Column4522"/>
    <tableColumn id="4528" xr3:uid="{C7EA5A4A-DD42-4426-8547-1084345101BB}" name="Column4523"/>
    <tableColumn id="4529" xr3:uid="{8A8C1476-D226-44D7-B87E-316BCE9CFF83}" name="Column4524"/>
    <tableColumn id="4530" xr3:uid="{B2E502DD-AB71-4FAD-9647-DC1B59133C2F}" name="Column4525"/>
    <tableColumn id="4531" xr3:uid="{7085A2FA-4C80-4C37-9DD0-0AF38FD59E97}" name="Column4526"/>
    <tableColumn id="4532" xr3:uid="{A43790BA-3B28-4BFD-9B7D-0BD1916464E9}" name="Column4527"/>
    <tableColumn id="4533" xr3:uid="{1244DD5B-F750-4DBF-B4DD-0969C47CE06C}" name="Column4528"/>
    <tableColumn id="4534" xr3:uid="{21EEA688-0258-49BF-8201-9B85B4E21631}" name="Column4529"/>
    <tableColumn id="4535" xr3:uid="{EF4C6587-105E-4513-AF8F-1C8CAA6DFD7E}" name="Column4530"/>
    <tableColumn id="4536" xr3:uid="{27500B30-8744-411E-8EA6-E5C6B1AAFB05}" name="Column4531"/>
    <tableColumn id="4537" xr3:uid="{C52FA175-2527-4D67-8D25-11BAF85DED86}" name="Column4532"/>
    <tableColumn id="4538" xr3:uid="{E19E50AF-9C0A-4F9D-AF86-0BCC5A2F0FEF}" name="Column4533"/>
    <tableColumn id="4539" xr3:uid="{33DAD3D5-7165-45D5-AD1A-EE9A7AFE9CF8}" name="Column4534"/>
    <tableColumn id="4540" xr3:uid="{EA0FA936-C40B-4E4C-AF60-AD47A9B25A70}" name="Column4535"/>
    <tableColumn id="4541" xr3:uid="{E4230B8D-1C70-4C98-905C-09C2318379DC}" name="Column4536"/>
    <tableColumn id="4542" xr3:uid="{37F516E4-BCE9-4A1B-9802-4271AF7CEADE}" name="Column4537"/>
    <tableColumn id="4543" xr3:uid="{3692FC83-AE0E-4A6F-8FC3-34B8C67641B8}" name="Column4538"/>
    <tableColumn id="4544" xr3:uid="{236C6606-A57D-4572-BD8E-802840FE7848}" name="Column4539"/>
    <tableColumn id="4545" xr3:uid="{12349DBC-57D5-47E3-BCCB-E71CD7D0E2FB}" name="Column4540"/>
    <tableColumn id="4546" xr3:uid="{E2B0CE33-D8BF-4490-9745-2C3BD7AF9FB4}" name="Column4541"/>
    <tableColumn id="4547" xr3:uid="{14AA9F7B-77B4-4B36-95A7-633EFAA65A46}" name="Column4542"/>
    <tableColumn id="4548" xr3:uid="{BBFE90F9-AF7D-4CFC-9403-5053478A32E9}" name="Column4543"/>
    <tableColumn id="4549" xr3:uid="{CE6DE0EB-E201-425F-AA4C-F5CCD98C668E}" name="Column4544"/>
    <tableColumn id="4550" xr3:uid="{0D849A2D-9042-4063-B57E-84FDD154BCBE}" name="Column4545"/>
    <tableColumn id="4551" xr3:uid="{5664E176-4427-4BAA-B994-80F6C6924619}" name="Column4546"/>
    <tableColumn id="4552" xr3:uid="{8AE112B2-FD47-4B51-BC0D-B64B4F0E292F}" name="Column4547"/>
    <tableColumn id="4553" xr3:uid="{A0857610-9883-41D7-979F-597D0E70C0DA}" name="Column4548"/>
    <tableColumn id="4554" xr3:uid="{48CA78AC-F2DE-4417-9775-1026BA8F5EC3}" name="Column4549"/>
    <tableColumn id="4555" xr3:uid="{32ECC834-A34D-4540-8AAC-119CCAC77586}" name="Column4550"/>
    <tableColumn id="4556" xr3:uid="{AA7CE1B7-940B-4286-9ADC-8B1F055082EA}" name="Column4551"/>
    <tableColumn id="4557" xr3:uid="{614150D8-44C2-4BA1-B5DA-FE9C9BA33568}" name="Column4552"/>
    <tableColumn id="4558" xr3:uid="{066FCCB4-6BA5-4DC4-B15B-A8158E6E7F33}" name="Column4553"/>
    <tableColumn id="4559" xr3:uid="{CFB40B7F-E82A-4C41-8598-68B8F98A2EEB}" name="Column4554"/>
    <tableColumn id="4560" xr3:uid="{58DE9375-8AA9-42E7-85C8-2299E32CF1A6}" name="Column4555"/>
    <tableColumn id="4561" xr3:uid="{20B1E8B8-CE8C-49B5-A072-F3AFC710DA9D}" name="Column4556"/>
    <tableColumn id="4562" xr3:uid="{01C10D45-6A2F-4BCB-92B9-1EEA4409ACEC}" name="Column4557"/>
    <tableColumn id="4563" xr3:uid="{1F98D844-C7CC-4226-8BBB-A8CE4C07BBEF}" name="Column4558"/>
    <tableColumn id="4564" xr3:uid="{D1A7ECCF-A8EF-470C-8D08-08E84076E8D2}" name="Column4559"/>
    <tableColumn id="4565" xr3:uid="{73912579-2932-4550-A365-342C84AED698}" name="Column4560"/>
    <tableColumn id="4566" xr3:uid="{9D820405-3860-4D5F-BE58-0F19844EF55C}" name="Column4561"/>
    <tableColumn id="4567" xr3:uid="{20E6A024-5BEC-4474-B407-18743A21AB06}" name="Column4562"/>
    <tableColumn id="4568" xr3:uid="{262CD4FD-5AD3-4B47-8E3E-83564ACD9E7D}" name="Column4563"/>
    <tableColumn id="4569" xr3:uid="{5B1EDDC6-1B5E-4EF6-A4C1-96DF7E421C00}" name="Column4564"/>
    <tableColumn id="4570" xr3:uid="{E4B0C187-5675-4635-B1D8-FD16D5FF0B92}" name="Column4565"/>
    <tableColumn id="4571" xr3:uid="{6893B4C1-07B1-4362-916B-CCFF54A1299D}" name="Column4566"/>
    <tableColumn id="4572" xr3:uid="{B16A83F4-4333-4DB5-90E7-87E38C907F76}" name="Column4567"/>
    <tableColumn id="4573" xr3:uid="{959C87C9-F1ED-48E9-92F6-7B6F6373A026}" name="Column4568"/>
    <tableColumn id="4574" xr3:uid="{2073B38F-EFB5-47F0-B78C-E2504B9892D7}" name="Column4569"/>
    <tableColumn id="4575" xr3:uid="{6324381C-3B93-4F3F-A42B-24FE324804D7}" name="Column4570"/>
    <tableColumn id="4576" xr3:uid="{A57168DC-F870-44E3-BF05-34A56A641B33}" name="Column4571"/>
    <tableColumn id="4577" xr3:uid="{8C46626B-CAD0-4041-99E3-69D4FC1168EB}" name="Column4572"/>
    <tableColumn id="4578" xr3:uid="{E5E89128-0A35-4077-99C6-7CDA66BFCF91}" name="Column4573"/>
    <tableColumn id="4579" xr3:uid="{B6D212EF-AB5C-479B-AC00-C28BB03298AB}" name="Column4574"/>
    <tableColumn id="4580" xr3:uid="{9C223EEE-274C-4B47-9A6B-26EA7AA8FF09}" name="Column4575"/>
    <tableColumn id="4581" xr3:uid="{9E34847C-4AAB-4231-9ACA-3C4DB0B73E9A}" name="Column4576"/>
    <tableColumn id="4582" xr3:uid="{A556D118-284E-4A61-BADC-E6F06C52F77B}" name="Column4577"/>
    <tableColumn id="4583" xr3:uid="{61279509-56A8-40D6-9FF7-46BA4A5AB854}" name="Column4578"/>
    <tableColumn id="4584" xr3:uid="{4B831D72-2FE2-4F1C-AAE6-26A379EF800B}" name="Column4579"/>
    <tableColumn id="4585" xr3:uid="{43458435-C7E0-4FE0-B580-C3E829636B33}" name="Column4580"/>
    <tableColumn id="4586" xr3:uid="{B3FFA032-9FFD-4C2C-8707-0418B516D11B}" name="Column4581"/>
    <tableColumn id="4587" xr3:uid="{99AEEF8D-A5E4-48C9-A0D9-DEA56839B2A3}" name="Column4582"/>
    <tableColumn id="4588" xr3:uid="{157F0FF6-37F8-4719-BFAC-88C50FFBD2D8}" name="Column4583"/>
    <tableColumn id="4589" xr3:uid="{25BFAED4-B847-4FE7-89E1-79945A557D5C}" name="Column4584"/>
    <tableColumn id="4590" xr3:uid="{110DF363-06B6-4C9C-8893-0BDABCF7CD48}" name="Column4585"/>
    <tableColumn id="4591" xr3:uid="{96A1DAC3-781A-4971-B401-3EE1B9A0301F}" name="Column4586"/>
    <tableColumn id="4592" xr3:uid="{C9C0D220-CC77-4A60-BE9B-349570FB8BDF}" name="Column4587"/>
    <tableColumn id="4593" xr3:uid="{42935909-B5E3-4DDF-A4C6-8D05DD48E89E}" name="Column4588"/>
    <tableColumn id="4594" xr3:uid="{C878A70E-B8E8-46D1-940D-9E357D0963BB}" name="Column4589"/>
    <tableColumn id="4595" xr3:uid="{3B90C0C0-A0E2-49A6-BFCC-B7D2BEBEA769}" name="Column4590"/>
    <tableColumn id="4596" xr3:uid="{8ACC9183-1A8D-441E-86FA-5C8F3399B6C3}" name="Column4591"/>
    <tableColumn id="4597" xr3:uid="{CAE85CB9-5BE2-4015-837E-82A3C2B5BEBF}" name="Column4592"/>
    <tableColumn id="4598" xr3:uid="{F8DEDB38-4AB9-42C5-A400-34234AD3930C}" name="Column4593"/>
    <tableColumn id="4599" xr3:uid="{755E5FEA-4037-4E9A-835F-C38B002C67EF}" name="Column4594"/>
    <tableColumn id="4600" xr3:uid="{B2C403FE-52C8-42D6-9D11-8DD345632DC0}" name="Column4595"/>
    <tableColumn id="4601" xr3:uid="{6D33EF5C-35E2-4642-BAB8-511DDC432993}" name="Column4596"/>
    <tableColumn id="4602" xr3:uid="{E5F988DC-2AAA-4F04-9713-1118A8830300}" name="Column4597"/>
    <tableColumn id="4603" xr3:uid="{7F6129DC-9417-4539-A24C-B278B764B1F3}" name="Column4598"/>
    <tableColumn id="4604" xr3:uid="{85007939-44C7-45E2-A387-A9812417777B}" name="Column4599"/>
    <tableColumn id="4605" xr3:uid="{4C644FBF-E8B0-4991-A11B-8109AAA58AF4}" name="Column4600"/>
    <tableColumn id="4606" xr3:uid="{3E43A83C-2ABC-469B-AB70-072759D8153D}" name="Column4601"/>
    <tableColumn id="4607" xr3:uid="{FFCAF12F-4C06-44BA-94DB-C1320DD0EAC0}" name="Column4602"/>
    <tableColumn id="4608" xr3:uid="{1EA2D1D8-5219-47BF-A9D3-4A5607EB401E}" name="Column4603"/>
    <tableColumn id="4609" xr3:uid="{00E08B9A-10D1-4512-BA65-924AC16BDD50}" name="Column4604"/>
    <tableColumn id="4610" xr3:uid="{4A756A72-D3AF-444A-B7F9-FD474D16113E}" name="Column4605"/>
    <tableColumn id="4611" xr3:uid="{9627926B-4679-43B5-8E69-2D136622FD1B}" name="Column4606"/>
    <tableColumn id="4612" xr3:uid="{29F2B8EB-066B-4289-AB67-644F446F3AD0}" name="Column4607"/>
    <tableColumn id="4613" xr3:uid="{233F4FE0-038D-4C05-A10C-1EE175A8D46F}" name="Column4608"/>
    <tableColumn id="4614" xr3:uid="{AC615504-02CE-431A-9F75-068BE1C41FAC}" name="Column4609"/>
    <tableColumn id="4615" xr3:uid="{442A54F0-C228-449B-BAB9-425D4284B95E}" name="Column4610"/>
    <tableColumn id="4616" xr3:uid="{AC2930C0-9995-4796-A5C8-31E1A536352D}" name="Column4611"/>
    <tableColumn id="4617" xr3:uid="{A3704B83-D481-4B02-92AB-55169F1A798A}" name="Column4612"/>
    <tableColumn id="4618" xr3:uid="{A6DBBD81-22DB-4D70-8CFA-7504C286FD7A}" name="Column4613"/>
    <tableColumn id="4619" xr3:uid="{F7B7A0D0-DF28-4B67-9C13-8D6F614B2E65}" name="Column4614"/>
    <tableColumn id="4620" xr3:uid="{1C12E5EC-1630-4C80-B4A3-53292F13DE5D}" name="Column4615"/>
    <tableColumn id="4621" xr3:uid="{AF195684-F761-466E-8927-EBC3D95DE27E}" name="Column4616"/>
    <tableColumn id="4622" xr3:uid="{962B86AD-2F8F-4599-94E3-D8A39FC3A8E7}" name="Column4617"/>
    <tableColumn id="4623" xr3:uid="{BB537303-0501-4D8F-84E0-2A6DBDBC85A9}" name="Column4618"/>
    <tableColumn id="4624" xr3:uid="{250CA6B0-3965-410C-98EF-B3E6F412D920}" name="Column4619"/>
    <tableColumn id="4625" xr3:uid="{85D0892F-54A2-4C4F-9EE8-5F46A5E9FC97}" name="Column4620"/>
    <tableColumn id="4626" xr3:uid="{B581DFF1-373B-463F-9078-34EAAA77AE2C}" name="Column4621"/>
    <tableColumn id="4627" xr3:uid="{13CC3A1B-9969-4217-AB2C-C1555356C0F4}" name="Column4622"/>
    <tableColumn id="4628" xr3:uid="{9D39C881-E467-40C4-8812-3C41B3627312}" name="Column4623"/>
    <tableColumn id="4629" xr3:uid="{3C5DBE09-63D7-4B5C-9281-752422CCBF37}" name="Column4624"/>
    <tableColumn id="4630" xr3:uid="{F04466AC-F604-4CAE-A1CA-6D07E42D6211}" name="Column4625"/>
    <tableColumn id="4631" xr3:uid="{758DC845-2154-476B-80D0-FD8042A38FC0}" name="Column4626"/>
    <tableColumn id="4632" xr3:uid="{3E82D48C-0C65-4B42-9B34-CEDAF245E4A1}" name="Column4627"/>
    <tableColumn id="4633" xr3:uid="{B85EB497-5D54-486F-B230-FCB61AAAAE0A}" name="Column4628"/>
    <tableColumn id="4634" xr3:uid="{7BAC6D6A-EA30-4E80-82A5-9AF6D2F5A995}" name="Column4629"/>
    <tableColumn id="4635" xr3:uid="{08B3B779-8407-4350-98CA-E5451AF6C7E9}" name="Column4630"/>
    <tableColumn id="4636" xr3:uid="{1BB2025C-9100-4A43-8335-0EE08FD7AD8A}" name="Column4631"/>
    <tableColumn id="4637" xr3:uid="{1C321279-521E-4E16-85A1-1C6595C4B80D}" name="Column4632"/>
    <tableColumn id="4638" xr3:uid="{F4CD4B90-A8A1-4C38-9A59-FFDC0F6F1415}" name="Column4633"/>
    <tableColumn id="4639" xr3:uid="{CA2102E1-5858-4823-80E4-389829302147}" name="Column4634"/>
    <tableColumn id="4640" xr3:uid="{91A7FAE1-FBA5-446B-BBA9-7C5C9DCD018F}" name="Column4635"/>
    <tableColumn id="4641" xr3:uid="{60079ECB-CC27-4901-A2AD-83CAAA13FC78}" name="Column4636"/>
    <tableColumn id="4642" xr3:uid="{FCD5874D-A628-42C5-9444-CA42736094EB}" name="Column4637"/>
    <tableColumn id="4643" xr3:uid="{0F0EAECE-ED91-4FFE-80D6-EC8015B99E7F}" name="Column4638"/>
    <tableColumn id="4644" xr3:uid="{DB69EABB-37C7-4D93-B239-E3B80ECA094B}" name="Column4639"/>
    <tableColumn id="4645" xr3:uid="{27D9BDD6-8B10-4B2C-A08E-718E1B4B8E17}" name="Column4640"/>
    <tableColumn id="4646" xr3:uid="{C8E90E4A-A36C-4715-B921-D526E22C88A7}" name="Column4641"/>
    <tableColumn id="4647" xr3:uid="{C5BF1ED5-7D8F-4931-8794-80056CDF17D4}" name="Column4642"/>
    <tableColumn id="4648" xr3:uid="{A7F6A992-F997-41B6-B019-E0C8CF88FB71}" name="Column4643"/>
    <tableColumn id="4649" xr3:uid="{A737235D-B8F2-4F46-9013-554D0956F348}" name="Column4644"/>
    <tableColumn id="4650" xr3:uid="{C23C8DF9-8BB7-4759-89C6-5A30727D3EB5}" name="Column4645"/>
    <tableColumn id="4651" xr3:uid="{B4ABCC79-EB98-493D-BA9A-B17EC9069AF7}" name="Column4646"/>
    <tableColumn id="4652" xr3:uid="{A9FBC259-D4C0-457A-AC3D-A461858B23DB}" name="Column4647"/>
    <tableColumn id="4653" xr3:uid="{C75626D6-15EF-49C7-9DD8-F0D0516CB80B}" name="Column4648"/>
    <tableColumn id="4654" xr3:uid="{81A71583-1A75-4233-BAF4-8C74267AA517}" name="Column4649"/>
    <tableColumn id="4655" xr3:uid="{EEF0E990-E65D-4B13-B0A1-4E50A0A4DD7A}" name="Column4650"/>
    <tableColumn id="4656" xr3:uid="{6311C146-55CE-4A5A-8978-27F85ECE5DFB}" name="Column4651"/>
    <tableColumn id="4657" xr3:uid="{EA07BBBC-97B3-473B-A768-D4476A7362B8}" name="Column4652"/>
    <tableColumn id="4658" xr3:uid="{9586BD79-00CD-40CC-A4DC-9C57C52B8367}" name="Column4653"/>
    <tableColumn id="4659" xr3:uid="{DFA45BE6-0DCD-4C56-B3A5-2AF5E21CC65F}" name="Column4654"/>
    <tableColumn id="4660" xr3:uid="{A1665B47-DB0A-4F6B-ADE3-B57985492C00}" name="Column4655"/>
    <tableColumn id="4661" xr3:uid="{C556267F-3A2A-425C-AFB5-12216B5AAE24}" name="Column4656"/>
    <tableColumn id="4662" xr3:uid="{89C11ACC-A428-49B6-BC3B-7E4DEAA3A6AC}" name="Column4657"/>
    <tableColumn id="4663" xr3:uid="{C2AFBEB8-2827-46CF-B202-106800BEC145}" name="Column4658"/>
    <tableColumn id="4664" xr3:uid="{34FE81EA-CAD2-475B-B776-8A8FD19F7FEB}" name="Column4659"/>
    <tableColumn id="4665" xr3:uid="{3775E85D-FEB6-48B7-92CE-83FDA013059C}" name="Column4660"/>
    <tableColumn id="4666" xr3:uid="{967CFF39-0EE8-41AD-A449-C2E196313D9E}" name="Column4661"/>
    <tableColumn id="4667" xr3:uid="{6E971AA5-DDCF-44BE-8C2E-7CBC57E09009}" name="Column4662"/>
    <tableColumn id="4668" xr3:uid="{05589082-7D19-4C20-A4BA-EBC3B5BFFA17}" name="Column4663"/>
    <tableColumn id="4669" xr3:uid="{78986E48-705B-4F71-84BE-BC8EE41392E7}" name="Column4664"/>
    <tableColumn id="4670" xr3:uid="{19501A04-A80A-4B09-8A04-C42FAFBCCA9B}" name="Column4665"/>
    <tableColumn id="4671" xr3:uid="{8EB0F618-B835-4679-90DD-70D77C868330}" name="Column4666"/>
    <tableColumn id="4672" xr3:uid="{5CE313EE-7F6F-4A7F-8183-85BAB1411E27}" name="Column4667"/>
    <tableColumn id="4673" xr3:uid="{89AE8365-422E-4E05-8A4C-9CB5690AB1D7}" name="Column4668"/>
    <tableColumn id="4674" xr3:uid="{AE3CF41F-40D9-4DFD-BB8E-E1D4879190B7}" name="Column4669"/>
    <tableColumn id="4675" xr3:uid="{11F85360-06CB-401E-989C-ADC4173AB6CE}" name="Column4670"/>
    <tableColumn id="4676" xr3:uid="{74ED9DC0-97EE-4994-9C14-652B243C18F0}" name="Column4671"/>
    <tableColumn id="4677" xr3:uid="{6994F67B-6532-43D6-B3CA-C435D4F04017}" name="Column4672"/>
    <tableColumn id="4678" xr3:uid="{9FFFE11B-CE3F-4D94-B7F7-E5546014D094}" name="Column4673"/>
    <tableColumn id="4679" xr3:uid="{032939D9-3305-4569-971A-01722DAA20D1}" name="Column4674"/>
    <tableColumn id="4680" xr3:uid="{3D867DBD-0CF7-4E55-8AA7-FD340C7B1D03}" name="Column4675"/>
    <tableColumn id="4681" xr3:uid="{26897CE9-9907-454B-93AB-D6A396601872}" name="Column4676"/>
    <tableColumn id="4682" xr3:uid="{48CE1AF0-BC8C-40B1-A30D-9E58656DCB9D}" name="Column4677"/>
    <tableColumn id="4683" xr3:uid="{DF149CD2-076F-4199-A2FA-0A43B1BF7A45}" name="Column4678"/>
    <tableColumn id="4684" xr3:uid="{1D42F36D-1C2C-473C-BAEB-FECAF75AE9D9}" name="Column4679"/>
    <tableColumn id="4685" xr3:uid="{6FFEECF4-F581-4A15-9F57-E6C1F70C6B6D}" name="Column4680"/>
    <tableColumn id="4686" xr3:uid="{D4FCEA84-136F-4AF3-87DE-384C5433EEB5}" name="Column4681"/>
    <tableColumn id="4687" xr3:uid="{85D4A185-B085-4DAF-BE78-B9C804ECC446}" name="Column4682"/>
    <tableColumn id="4688" xr3:uid="{A3F133CB-51D4-4035-97EE-78E41D413D4B}" name="Column4683"/>
    <tableColumn id="4689" xr3:uid="{39BECBD7-2E74-49AC-8AAE-A6BFFBACB62E}" name="Column4684"/>
    <tableColumn id="4690" xr3:uid="{F03A0E11-A566-4DCC-A099-1E3F66914FF4}" name="Column4685"/>
    <tableColumn id="4691" xr3:uid="{C8C0F4CD-F0CF-4B42-AB36-B7285A745156}" name="Column4686"/>
    <tableColumn id="4692" xr3:uid="{B9111F8A-75E0-47A9-B078-C38DACA3B2FA}" name="Column4687"/>
    <tableColumn id="4693" xr3:uid="{1F8E5CEA-B32A-4727-8EA6-1CCAD1CB8F49}" name="Column4688"/>
    <tableColumn id="4694" xr3:uid="{A5CDD7C8-4CC3-4931-89A9-395379CA4D58}" name="Column4689"/>
    <tableColumn id="4695" xr3:uid="{A68EACB1-75EA-49D0-BC9A-9615203D9A72}" name="Column4690"/>
    <tableColumn id="4696" xr3:uid="{DFA6E2CA-1F27-4FA5-A1C7-C3EBD1E27578}" name="Column4691"/>
    <tableColumn id="4697" xr3:uid="{A82FAAAD-626A-4913-93C3-8496E7DCFA84}" name="Column4692"/>
    <tableColumn id="4698" xr3:uid="{3E840D91-CAEF-4961-BCF9-09F68FCAE692}" name="Column4693"/>
    <tableColumn id="4699" xr3:uid="{3D17A8D1-08FC-4B05-BB5C-D98675FD7395}" name="Column4694"/>
    <tableColumn id="4700" xr3:uid="{958254DC-508D-418F-A1EA-0EF6DCE87924}" name="Column4695"/>
    <tableColumn id="4701" xr3:uid="{61C92EF2-B6A2-4467-A2BA-A24F09183130}" name="Column4696"/>
    <tableColumn id="4702" xr3:uid="{3EE6AE55-90AD-44D2-81A7-A6D4489A5FC5}" name="Column4697"/>
    <tableColumn id="4703" xr3:uid="{4B4DB34A-E145-4EA8-BD22-207E4C2B15D0}" name="Column4698"/>
    <tableColumn id="4704" xr3:uid="{A5169D2E-FDCE-4C99-9409-E17C5D8D3698}" name="Column4699"/>
    <tableColumn id="4705" xr3:uid="{B303ABA8-E50E-4AAA-A5D0-68B3170ACFAB}" name="Column4700"/>
    <tableColumn id="4706" xr3:uid="{37B4BEE7-574F-4C71-AB2E-BE1FC61361A2}" name="Column4701"/>
    <tableColumn id="4707" xr3:uid="{4ECAE5C9-C4A5-4542-A804-4267FBF82BBE}" name="Column4702"/>
    <tableColumn id="4708" xr3:uid="{53B587FD-43AE-422D-821D-90E289D21175}" name="Column4703"/>
    <tableColumn id="4709" xr3:uid="{9F628F05-9F3A-4154-9D5D-6F142988478A}" name="Column4704"/>
    <tableColumn id="4710" xr3:uid="{9D5252AB-5624-4DF1-8C4D-ACBF9BEEB285}" name="Column4705"/>
    <tableColumn id="4711" xr3:uid="{8E0F358E-1F4F-4E3D-84E4-6E4517B03A3B}" name="Column4706"/>
    <tableColumn id="4712" xr3:uid="{0E157CF8-1438-4278-A3FD-6945AAE22AC4}" name="Column4707"/>
    <tableColumn id="4713" xr3:uid="{F5B6E280-A701-41D2-9F95-1267D1CD461D}" name="Column4708"/>
    <tableColumn id="4714" xr3:uid="{4E09DB0C-2DC0-4740-AE0A-D1E857A47C1F}" name="Column4709"/>
    <tableColumn id="4715" xr3:uid="{0BE821F0-5A42-4F79-B135-E9E3C7A0D31F}" name="Column4710"/>
    <tableColumn id="4716" xr3:uid="{ACD7A8F5-ABCE-47F0-B546-BBD5749658FC}" name="Column4711"/>
    <tableColumn id="4717" xr3:uid="{D6EE39BE-687B-4A90-89EB-37D55356FB1B}" name="Column4712"/>
    <tableColumn id="4718" xr3:uid="{6351FCA2-C6A5-4A3F-8E8F-BAEEBFA4403C}" name="Column4713"/>
    <tableColumn id="4719" xr3:uid="{40949063-9E3F-4DE1-A634-95C64D55F800}" name="Column4714"/>
    <tableColumn id="4720" xr3:uid="{8B5EB2A0-29A4-4549-B006-815BEA828C03}" name="Column4715"/>
    <tableColumn id="4721" xr3:uid="{57BF3300-B44D-4C43-AE9A-79177E8CB1B7}" name="Column4716"/>
    <tableColumn id="4722" xr3:uid="{0F358BA0-1D08-432E-980D-62E7F74BA854}" name="Column4717"/>
    <tableColumn id="4723" xr3:uid="{1E5E1387-4E07-4FBF-BC7F-EE4B167C66A6}" name="Column4718"/>
    <tableColumn id="4724" xr3:uid="{846DA93C-3F63-4AD9-B5CB-F9994B8DD02A}" name="Column4719"/>
    <tableColumn id="4725" xr3:uid="{49CA09D5-C2BD-4DBA-A52D-0ADE5647A58F}" name="Column4720"/>
    <tableColumn id="4726" xr3:uid="{72C0A8EC-B617-4894-9C9C-C22B4A978CA0}" name="Column4721"/>
    <tableColumn id="4727" xr3:uid="{56F17728-7D76-49D1-B8C4-2940FD6175F0}" name="Column4722"/>
    <tableColumn id="4728" xr3:uid="{BD7C5F7F-2879-443E-8C53-DDB653B84BCD}" name="Column4723"/>
    <tableColumn id="4729" xr3:uid="{03889DCD-C7D0-405B-8DBD-0CAE6DFFFDF1}" name="Column4724"/>
    <tableColumn id="4730" xr3:uid="{1D6FF0F6-DF59-40F8-81F7-3B2258E055EC}" name="Column4725"/>
    <tableColumn id="4731" xr3:uid="{BC61AD4A-D4FF-4BC5-9268-F3F334BED61A}" name="Column4726"/>
    <tableColumn id="4732" xr3:uid="{F1DBA5CF-59B4-4209-997B-CD5BA85C8408}" name="Column4727"/>
    <tableColumn id="4733" xr3:uid="{B568B99D-AF9B-488B-8136-63DE8A0C2540}" name="Column4728"/>
    <tableColumn id="4734" xr3:uid="{3B67E464-4223-4AD9-B659-B36485E3384F}" name="Column4729"/>
    <tableColumn id="4735" xr3:uid="{3A30EEF3-F90B-40B8-BFD7-1A09E1B67519}" name="Column4730"/>
    <tableColumn id="4736" xr3:uid="{6F9784DA-01A1-493D-8B2C-4AF83EDA3BE2}" name="Column4731"/>
    <tableColumn id="4737" xr3:uid="{839DFC4C-EF40-458B-91E3-62DB0F404BE6}" name="Column4732"/>
    <tableColumn id="4738" xr3:uid="{153171EB-5CB9-43DC-8D21-0BFC4FF50B53}" name="Column4733"/>
    <tableColumn id="4739" xr3:uid="{523F802C-5A34-4011-8AD5-4188C52426EF}" name="Column4734"/>
    <tableColumn id="4740" xr3:uid="{A2AED810-4A1E-47C7-B9CA-711CAAAFC49C}" name="Column4735"/>
    <tableColumn id="4741" xr3:uid="{B5C35DF8-5695-4571-9955-80BC322C3107}" name="Column4736"/>
    <tableColumn id="4742" xr3:uid="{47829E41-9466-4C0F-AA19-F3BAEF1DA313}" name="Column4737"/>
    <tableColumn id="4743" xr3:uid="{807F404C-7FF1-400E-9BBB-418693881867}" name="Column4738"/>
    <tableColumn id="4744" xr3:uid="{95C46AD3-F12B-452F-98EE-535874E5A398}" name="Column4739"/>
    <tableColumn id="4745" xr3:uid="{45198C83-22E6-4749-9F51-ADA04F69104B}" name="Column4740"/>
    <tableColumn id="4746" xr3:uid="{6C05C0E5-2C9F-4A1F-AB93-5BC86B671DB3}" name="Column4741"/>
    <tableColumn id="4747" xr3:uid="{6062D1A9-AE41-49D6-9760-CE44068B6C68}" name="Column4742"/>
    <tableColumn id="4748" xr3:uid="{5AF8D708-DEE5-4C21-AE3E-7F738B53D0DC}" name="Column4743"/>
    <tableColumn id="4749" xr3:uid="{370F5D4B-3F6A-415D-99A5-92B9D34C8980}" name="Column4744"/>
    <tableColumn id="4750" xr3:uid="{065768AA-E9BC-430F-AB01-C59356585658}" name="Column4745"/>
    <tableColumn id="4751" xr3:uid="{24961DB4-EBD7-428D-8346-6525883157D3}" name="Column4746"/>
    <tableColumn id="4752" xr3:uid="{87507A49-471E-481F-8008-1B59C142FC76}" name="Column4747"/>
    <tableColumn id="4753" xr3:uid="{493D2D49-ACCE-4DF0-930F-14BE44629026}" name="Column4748"/>
    <tableColumn id="4754" xr3:uid="{FAF6EE29-198E-430F-BC23-7F426B99200C}" name="Column4749"/>
    <tableColumn id="4755" xr3:uid="{4C025FE8-D65B-407E-9BBF-792C8B3F3098}" name="Column4750"/>
    <tableColumn id="4756" xr3:uid="{03AFBB63-D2E7-4417-95C7-17353033AC6E}" name="Column4751"/>
    <tableColumn id="4757" xr3:uid="{1167BED2-337A-4048-AA76-7F79E61B5DC0}" name="Column4752"/>
    <tableColumn id="4758" xr3:uid="{9C3F5990-3AA3-4DDD-8C94-6483FEA9D1BD}" name="Column4753"/>
    <tableColumn id="4759" xr3:uid="{4A918ED3-2E41-45AA-A01D-B5EC52D99DDE}" name="Column4754"/>
    <tableColumn id="4760" xr3:uid="{8BA62D79-BCF9-429F-BCBC-4F6F941EB12B}" name="Column4755"/>
    <tableColumn id="4761" xr3:uid="{84EBB743-2A7B-4904-BA77-7A8C341ACD1D}" name="Column4756"/>
    <tableColumn id="4762" xr3:uid="{18CA2B9B-D92A-4A93-9026-803A8998A81B}" name="Column4757"/>
    <tableColumn id="4763" xr3:uid="{5AE335F7-B392-4B4B-96A1-B182329D8CD6}" name="Column4758"/>
    <tableColumn id="4764" xr3:uid="{53C14C7A-E3C9-49B3-919F-326CB8657E85}" name="Column4759"/>
    <tableColumn id="4765" xr3:uid="{E39EAAB5-8D7E-45AB-BE42-2AC309EDDE1B}" name="Column4760"/>
    <tableColumn id="4766" xr3:uid="{089A6321-3D09-4326-85AB-D4FD64F4FEB8}" name="Column4761"/>
    <tableColumn id="4767" xr3:uid="{718AA0B6-617B-4A11-AA74-3D2137DCBF22}" name="Column4762"/>
    <tableColumn id="4768" xr3:uid="{E04BBFB0-02B7-4FFA-BB19-E28BECD47A81}" name="Column4763"/>
    <tableColumn id="4769" xr3:uid="{B2221261-518A-41A4-93F4-0AEEDD247883}" name="Column4764"/>
    <tableColumn id="4770" xr3:uid="{4FE3D543-3E13-475C-AA12-17F20059B84A}" name="Column4765"/>
    <tableColumn id="4771" xr3:uid="{BF898E7F-5B0C-42A3-ACB8-650EE973AF5E}" name="Column4766"/>
    <tableColumn id="4772" xr3:uid="{3A89A973-B1F4-4A3D-80A9-AFB5CDF95B76}" name="Column4767"/>
    <tableColumn id="4773" xr3:uid="{06636CE6-0897-4A42-8DD1-24E62784DD50}" name="Column4768"/>
    <tableColumn id="4774" xr3:uid="{CB6D6997-FC7A-4062-9BB8-A2617CE8D017}" name="Column4769"/>
    <tableColumn id="4775" xr3:uid="{F4786E5F-4CEC-4CE1-B03A-D477E5D6D4BB}" name="Column4770"/>
    <tableColumn id="4776" xr3:uid="{D60BCED1-BE87-441D-B847-2FD53FEEEEF1}" name="Column4771"/>
    <tableColumn id="4777" xr3:uid="{A151A074-C5F1-4163-92F5-28C9AC032568}" name="Column4772"/>
    <tableColumn id="4778" xr3:uid="{82D60AEA-36D1-4733-B9DA-993049FF2897}" name="Column4773"/>
    <tableColumn id="4779" xr3:uid="{CFF1F7D0-D597-4647-96D7-EE785F2725F0}" name="Column4774"/>
    <tableColumn id="4780" xr3:uid="{E578E497-1B18-4F8D-AE2E-11B24B9B41CB}" name="Column4775"/>
    <tableColumn id="4781" xr3:uid="{25B3D884-607B-4679-ACE7-ACE5DEC38B6F}" name="Column4776"/>
    <tableColumn id="4782" xr3:uid="{8ED575CD-36E1-4B86-98ED-4A79D7778ADC}" name="Column4777"/>
    <tableColumn id="4783" xr3:uid="{21A8983E-D8CD-48F7-9A80-B8397EA0401E}" name="Column4778"/>
    <tableColumn id="4784" xr3:uid="{6B38AC77-010C-4365-85FD-C3B1CA91EBF9}" name="Column4779"/>
    <tableColumn id="4785" xr3:uid="{AF24C2BE-01BA-4FC6-9DB6-E2091F6E691A}" name="Column4780"/>
    <tableColumn id="4786" xr3:uid="{5FD07C3E-2D30-4D66-B2E5-CD53C35C0C2E}" name="Column4781"/>
    <tableColumn id="4787" xr3:uid="{F1F88593-C6A8-4944-978D-BBF55E9F53B1}" name="Column4782"/>
    <tableColumn id="4788" xr3:uid="{A456624B-E059-44AF-BC6E-5D91035745CD}" name="Column4783"/>
    <tableColumn id="4789" xr3:uid="{DF92030B-5B9D-4E5A-A687-650E18B3F5E5}" name="Column4784"/>
    <tableColumn id="4790" xr3:uid="{F8CE3454-9EFD-44A5-AA1E-55EAFF481997}" name="Column4785"/>
    <tableColumn id="4791" xr3:uid="{B7DA863B-9833-4884-AE02-F97410CF3E31}" name="Column4786"/>
    <tableColumn id="4792" xr3:uid="{918D91FC-1258-4390-9425-369C8B590192}" name="Column4787"/>
    <tableColumn id="4793" xr3:uid="{5F4E57BA-066F-4381-9BA0-CA7E249F8C0C}" name="Column4788"/>
    <tableColumn id="4794" xr3:uid="{27B68229-801E-482F-930B-EF2E547EEB82}" name="Column4789"/>
    <tableColumn id="4795" xr3:uid="{E24BEE5E-CE7A-45AE-8C81-2F20A898D84C}" name="Column4790"/>
    <tableColumn id="4796" xr3:uid="{6F35D900-6ED9-483F-AB26-47AD0E9DF75B}" name="Column4791"/>
    <tableColumn id="4797" xr3:uid="{6C04E8CB-DB8B-44AC-A4F5-06D00B11CCB7}" name="Column4792"/>
    <tableColumn id="4798" xr3:uid="{69B99FC9-B6C5-4CF2-8F89-CE3415B8D50D}" name="Column4793"/>
    <tableColumn id="4799" xr3:uid="{723551DC-0B0A-43D8-9C0D-9AF69B8E4315}" name="Column4794"/>
    <tableColumn id="4800" xr3:uid="{3D9E6391-F953-4BEE-A2FB-957D901693FA}" name="Column4795"/>
    <tableColumn id="4801" xr3:uid="{68BD59FB-4725-4428-96FC-38D34BFDBDDD}" name="Column4796"/>
    <tableColumn id="4802" xr3:uid="{83F3437C-004C-480D-8373-BBEBD16DA296}" name="Column4797"/>
    <tableColumn id="4803" xr3:uid="{AC936663-7C57-420A-A398-F28833F01503}" name="Column4798"/>
    <tableColumn id="4804" xr3:uid="{A622A1A2-42B7-430F-BD3A-16383A71B25D}" name="Column4799"/>
    <tableColumn id="4805" xr3:uid="{8211CFC4-5630-4964-B716-1C1119F270E5}" name="Column4800"/>
    <tableColumn id="4806" xr3:uid="{79FF90B8-3547-4FFA-AA44-3D9AC0BAF2A1}" name="Column4801"/>
    <tableColumn id="4807" xr3:uid="{A62C23AB-3215-411A-B5AD-283CBAE550FD}" name="Column4802"/>
    <tableColumn id="4808" xr3:uid="{6D6BA901-3AE3-4FFA-BA51-34235916B91B}" name="Column4803"/>
    <tableColumn id="4809" xr3:uid="{53F84E79-30AE-413D-9D29-EE1C8D077BF6}" name="Column4804"/>
    <tableColumn id="4810" xr3:uid="{51208470-E3A1-4D77-84EA-1B04615267B8}" name="Column4805"/>
    <tableColumn id="4811" xr3:uid="{0C1CB07F-3F60-4E40-9873-DD0A0CDC6469}" name="Column4806"/>
    <tableColumn id="4812" xr3:uid="{929443B1-4594-4196-8B67-DCDD63BFD8AE}" name="Column4807"/>
    <tableColumn id="4813" xr3:uid="{3FCF3905-D6A2-4CCD-BF67-698A21962E3D}" name="Column4808"/>
    <tableColumn id="4814" xr3:uid="{5FD0F955-39F5-4A4F-8CE9-8993A74A6713}" name="Column4809"/>
    <tableColumn id="4815" xr3:uid="{C5A210DE-1E9A-4DF9-A05B-92E5DA7F1430}" name="Column4810"/>
    <tableColumn id="4816" xr3:uid="{0825B34E-510E-40B9-A898-3F7A7804EEB6}" name="Column4811"/>
    <tableColumn id="4817" xr3:uid="{14D83612-F55B-4323-BB8E-21CE250A1906}" name="Column4812"/>
    <tableColumn id="4818" xr3:uid="{5FED763D-3098-42F2-B075-CDD2144C78C8}" name="Column4813"/>
    <tableColumn id="4819" xr3:uid="{103F53BC-163B-448D-8D18-6765360586A2}" name="Column4814"/>
    <tableColumn id="4820" xr3:uid="{1352B6B2-594D-4575-AE26-1056BE6BA66F}" name="Column4815"/>
    <tableColumn id="4821" xr3:uid="{7CD29EB1-E47F-46B7-916D-67006B4F3EB4}" name="Column4816"/>
    <tableColumn id="4822" xr3:uid="{101C71ED-E8A5-424D-A48E-4EA9FF553A59}" name="Column4817"/>
    <tableColumn id="4823" xr3:uid="{AE9174B5-517B-46CD-80AD-0E7B54AAE52C}" name="Column4818"/>
    <tableColumn id="4824" xr3:uid="{DA33AA3E-D289-4E9A-8D1C-B0932AFB66A9}" name="Column4819"/>
    <tableColumn id="4825" xr3:uid="{05362D84-6322-48A0-85B5-8536A22B5F31}" name="Column4820"/>
    <tableColumn id="4826" xr3:uid="{1F31DD8E-E296-441D-82E2-8CD0A78DB0F9}" name="Column4821"/>
    <tableColumn id="4827" xr3:uid="{212DC822-89D4-4A2B-9602-56D91169CD7F}" name="Column4822"/>
    <tableColumn id="4828" xr3:uid="{6E90A0E5-432B-4850-A1F8-66B4009B9E07}" name="Column4823"/>
    <tableColumn id="4829" xr3:uid="{E9C30E21-8369-41FA-A9E7-B42E0D2238A7}" name="Column4824"/>
    <tableColumn id="4830" xr3:uid="{B98D04A7-5CDB-4B67-B688-1B7DB3A7989B}" name="Column4825"/>
    <tableColumn id="4831" xr3:uid="{6F8E251A-F5DA-4CEB-8BE1-D40381C5289E}" name="Column4826"/>
    <tableColumn id="4832" xr3:uid="{E5E603A9-3E7E-44E7-9313-79B21D220D4C}" name="Column4827"/>
    <tableColumn id="4833" xr3:uid="{6ADF2E08-F72A-4C9F-815C-9A1FCCE7E6A7}" name="Column4828"/>
    <tableColumn id="4834" xr3:uid="{4F5C2B9B-4059-4FB3-8975-35E40197268D}" name="Column4829"/>
    <tableColumn id="4835" xr3:uid="{5D1FA761-7B4A-4834-B3E3-FEAA079421B4}" name="Column4830"/>
    <tableColumn id="4836" xr3:uid="{9BC4E80F-93AD-4AFD-A2EE-CB39A915CD9E}" name="Column4831"/>
    <tableColumn id="4837" xr3:uid="{867BDBA9-2178-4648-8205-ACD0FD46E6C1}" name="Column4832"/>
    <tableColumn id="4838" xr3:uid="{C55DFD97-A99E-4AE3-8433-ABB8F1924477}" name="Column4833"/>
    <tableColumn id="4839" xr3:uid="{68FBB531-1520-4275-82C5-2604595DAB55}" name="Column4834"/>
    <tableColumn id="4840" xr3:uid="{E3BCB259-3400-4BBA-9F61-57D4AF1F2A56}" name="Column4835"/>
    <tableColumn id="4841" xr3:uid="{226DDA62-3CF3-436E-BAF3-AA9678DDD873}" name="Column4836"/>
    <tableColumn id="4842" xr3:uid="{AAC224A5-5FE5-4D92-81F0-31383E496A7C}" name="Column4837"/>
    <tableColumn id="4843" xr3:uid="{61A43BD0-BBAE-4579-A98A-EA51F84E52C8}" name="Column4838"/>
    <tableColumn id="4844" xr3:uid="{F7F0047C-F2A7-47A5-BB92-B5C112F0BD97}" name="Column4839"/>
    <tableColumn id="4845" xr3:uid="{0454AAF3-3A3A-42E9-8640-C94398BD7A22}" name="Column4840"/>
    <tableColumn id="4846" xr3:uid="{6496EA62-BA0E-4FA9-A746-F1FDC372FEFB}" name="Column4841"/>
    <tableColumn id="4847" xr3:uid="{B6912A58-BB55-4359-A7CF-245A0D8AB09E}" name="Column4842"/>
    <tableColumn id="4848" xr3:uid="{AA582374-D532-4DCD-B751-7F989674807D}" name="Column4843"/>
    <tableColumn id="4849" xr3:uid="{B9BA79D6-DDEC-4F2A-8B05-A81FDB3B4724}" name="Column4844"/>
    <tableColumn id="4850" xr3:uid="{2BF9C0D3-1C69-4DD3-BB85-6DE364557BB2}" name="Column4845"/>
    <tableColumn id="4851" xr3:uid="{F0618192-48C8-48BF-835B-97E845B6BAF9}" name="Column4846"/>
    <tableColumn id="4852" xr3:uid="{A53A57D5-A3C7-43B1-A16F-FBF550228FFB}" name="Column4847"/>
    <tableColumn id="4853" xr3:uid="{12FE9F03-356C-4925-8CEC-768762502989}" name="Column4848"/>
    <tableColumn id="4854" xr3:uid="{EC5BDCC9-E7FF-47D8-875B-A96B3E798C89}" name="Column4849"/>
    <tableColumn id="4855" xr3:uid="{563DA1DF-9323-45AC-AD54-49B8097522F0}" name="Column4850"/>
    <tableColumn id="4856" xr3:uid="{72C83879-4CF7-44A4-860A-539B0016548F}" name="Column4851"/>
    <tableColumn id="4857" xr3:uid="{1F7E320B-9435-4A10-9A58-B6AC7DAC8EB7}" name="Column4852"/>
    <tableColumn id="4858" xr3:uid="{E0F6A325-5779-4D05-983E-3340C3FCAF4F}" name="Column4853"/>
    <tableColumn id="4859" xr3:uid="{D0AB2D90-3D42-4063-86F5-3E30F9AF3BC3}" name="Column4854"/>
    <tableColumn id="4860" xr3:uid="{946430E3-28AB-4C52-81E3-4EEF0901E7A7}" name="Column4855"/>
    <tableColumn id="4861" xr3:uid="{905D7F0C-D2AE-4404-B75C-6F336BDEB04F}" name="Column4856"/>
    <tableColumn id="4862" xr3:uid="{755154AF-6039-4BD2-B2DF-CBD58EBC81F1}" name="Column4857"/>
    <tableColumn id="4863" xr3:uid="{EA7D287F-B34E-49AC-A030-24144C1D67B2}" name="Column4858"/>
    <tableColumn id="4864" xr3:uid="{4E203C7B-7F57-4A55-84EE-F6AB4808D08D}" name="Column4859"/>
    <tableColumn id="4865" xr3:uid="{E230D609-3D7A-4E68-A0E9-7F384C06895A}" name="Column4860"/>
    <tableColumn id="4866" xr3:uid="{BFEDDCB7-8CE2-4E14-872A-F4C3EAE76A32}" name="Column4861"/>
    <tableColumn id="4867" xr3:uid="{361EC2BF-835E-4AB9-AE6B-15517455251D}" name="Column4862"/>
    <tableColumn id="4868" xr3:uid="{B6C4D2D0-15A8-486D-9446-388CE6ABDC1C}" name="Column4863"/>
    <tableColumn id="4869" xr3:uid="{081B3F95-428A-42CD-92D7-0ECFAF6E1D94}" name="Column4864"/>
    <tableColumn id="4870" xr3:uid="{F02BF7C1-D687-4B2D-A0D8-1F9F70E0F8F9}" name="Column4865"/>
    <tableColumn id="4871" xr3:uid="{3F66C5AA-DE7F-42EE-A5BB-0B74DC1B5A8B}" name="Column4866"/>
    <tableColumn id="4872" xr3:uid="{934F8538-4F88-4B96-B7B7-E4A61AC547B1}" name="Column4867"/>
    <tableColumn id="4873" xr3:uid="{DD2317BF-DAF9-4B9D-84C1-D1DC8124FAA4}" name="Column4868"/>
    <tableColumn id="4874" xr3:uid="{129A22C2-7293-444E-B697-E7924ED4DE1A}" name="Column4869"/>
    <tableColumn id="4875" xr3:uid="{9C4B8D12-696E-4848-9CE9-136233654920}" name="Column4870"/>
    <tableColumn id="4876" xr3:uid="{1CE816FC-4304-4E10-82FD-C0DB7F6DB3D9}" name="Column4871"/>
    <tableColumn id="4877" xr3:uid="{91EB231C-9666-4F18-B27A-7729F69DAB28}" name="Column4872"/>
    <tableColumn id="4878" xr3:uid="{C49E2D2D-00DC-4B91-BA20-AC835CB46997}" name="Column4873"/>
    <tableColumn id="4879" xr3:uid="{1C3A13F3-62FA-4092-AF64-C99CC2A49A58}" name="Column4874"/>
    <tableColumn id="4880" xr3:uid="{4B20DE60-754E-4541-9DAE-019F56458121}" name="Column4875"/>
    <tableColumn id="4881" xr3:uid="{67C4BB32-471F-4EF9-87CC-C60CB43E5A59}" name="Column4876"/>
    <tableColumn id="4882" xr3:uid="{B8B415BA-EF85-4712-89EC-6D26ED56B393}" name="Column4877"/>
    <tableColumn id="4883" xr3:uid="{F775AF75-AE47-4B0A-AB27-BC3D8C722925}" name="Column4878"/>
    <tableColumn id="4884" xr3:uid="{95A9BA7C-53BA-45C8-96B7-14718613316A}" name="Column4879"/>
    <tableColumn id="4885" xr3:uid="{B76E68CC-6403-4BD7-9D97-209762E9CE40}" name="Column4880"/>
    <tableColumn id="4886" xr3:uid="{8C091224-73AF-4421-B661-5D7320BABE13}" name="Column4881"/>
    <tableColumn id="4887" xr3:uid="{9E34D7CC-4AB7-4A11-AFD4-B6B1FDB66A88}" name="Column4882"/>
    <tableColumn id="4888" xr3:uid="{8BB99D14-7380-42B4-997D-B3EAEBCA6975}" name="Column4883"/>
    <tableColumn id="4889" xr3:uid="{7151EC82-95BA-45A5-8A3D-12CA9C8D3802}" name="Column4884"/>
    <tableColumn id="4890" xr3:uid="{34073626-EA5E-4ED0-A2A0-FD1E3F59E52D}" name="Column4885"/>
    <tableColumn id="4891" xr3:uid="{B7A973D2-E537-48CB-955E-CE7643399B7A}" name="Column4886"/>
    <tableColumn id="4892" xr3:uid="{19A32D63-42D7-4A8E-B72F-17FF15A0C0B2}" name="Column4887"/>
    <tableColumn id="4893" xr3:uid="{06829B8A-7F26-4091-A7C2-3A3179B6DF43}" name="Column4888"/>
    <tableColumn id="4894" xr3:uid="{DD87AFAC-990C-43F6-A846-6F6C035B9E72}" name="Column4889"/>
    <tableColumn id="4895" xr3:uid="{9561F2E2-5F32-4BB3-B7C4-BE4F39E8DEC8}" name="Column4890"/>
    <tableColumn id="4896" xr3:uid="{2F114353-68C7-4122-B453-0543AD008944}" name="Column4891"/>
    <tableColumn id="4897" xr3:uid="{815E902B-5FBD-467F-9BB3-3FE3CAD590FD}" name="Column4892"/>
    <tableColumn id="4898" xr3:uid="{F07A7272-6695-4414-8D4E-654E1F24F365}" name="Column4893"/>
    <tableColumn id="4899" xr3:uid="{046386D3-EDCC-4A97-A616-37D7CFF0E370}" name="Column4894"/>
    <tableColumn id="4900" xr3:uid="{4F402DA4-F87A-4565-A61A-F6783168383D}" name="Column4895"/>
    <tableColumn id="4901" xr3:uid="{F2D7D8DB-9D75-4004-801D-21C542A60EAA}" name="Column4896"/>
    <tableColumn id="4902" xr3:uid="{D8381E36-191C-455D-AE9B-8135026CD01D}" name="Column4897"/>
    <tableColumn id="4903" xr3:uid="{4336B26D-7540-4251-A7B3-C5A7DC4C5B7F}" name="Column4898"/>
    <tableColumn id="4904" xr3:uid="{72D395DD-6C94-4BED-BEB9-1F7A7F281D22}" name="Column4899"/>
    <tableColumn id="4905" xr3:uid="{B3FD8C1B-4AB8-4BE9-86E6-9804EC64A667}" name="Column4900"/>
    <tableColumn id="4906" xr3:uid="{45F60F30-56C3-4CEE-81AF-B6775469E35D}" name="Column4901"/>
    <tableColumn id="4907" xr3:uid="{F3725B8A-3569-4F3D-A705-EE69BE9EB916}" name="Column4902"/>
    <tableColumn id="4908" xr3:uid="{1949903C-178B-4057-B12F-DA3481773920}" name="Column4903"/>
    <tableColumn id="4909" xr3:uid="{0387CD93-6DA5-42F5-8CB3-BCA8A4C429DD}" name="Column4904"/>
    <tableColumn id="4910" xr3:uid="{F41F6BB0-3803-4D6B-A46D-1A42A2C152B6}" name="Column4905"/>
    <tableColumn id="4911" xr3:uid="{DCF2EAF1-B7B6-46FC-8740-FE9383EC9FC9}" name="Column4906"/>
    <tableColumn id="4912" xr3:uid="{90D15195-E8EC-4931-BF09-C9B7F3473289}" name="Column4907"/>
    <tableColumn id="4913" xr3:uid="{ABE3049F-36D5-4BC0-9E9D-B6CFEC33624C}" name="Column4908"/>
    <tableColumn id="4914" xr3:uid="{AA4191F9-912D-4380-B428-CD1394B64E08}" name="Column4909"/>
    <tableColumn id="4915" xr3:uid="{C0D7F69B-23CE-4E77-83B5-C16161E6000B}" name="Column4910"/>
    <tableColumn id="4916" xr3:uid="{141895D7-1A3E-41CB-B925-9EFD9E33FB70}" name="Column4911"/>
    <tableColumn id="4917" xr3:uid="{4ACBBAEA-9ED0-4B4C-B38C-256184AC5AC0}" name="Column4912"/>
    <tableColumn id="4918" xr3:uid="{B13A4132-B380-4BAE-A29F-90B1DD2AC6D6}" name="Column4913"/>
    <tableColumn id="4919" xr3:uid="{3917B10B-EE40-4959-92C4-EA378DF3A791}" name="Column4914"/>
    <tableColumn id="4920" xr3:uid="{1362D102-4B25-44CD-A3D8-DBFCDB8E0910}" name="Column4915"/>
    <tableColumn id="4921" xr3:uid="{30A3B56C-0432-47D0-AA47-AAC5DC36B3FE}" name="Column4916"/>
    <tableColumn id="4922" xr3:uid="{9BE7CF8E-20F6-4179-A9A7-A4FB0E3F49C7}" name="Column4917"/>
    <tableColumn id="4923" xr3:uid="{AA41E731-6B10-4862-B956-39F0DF1EBED4}" name="Column4918"/>
    <tableColumn id="4924" xr3:uid="{DFCBB5F7-1695-4FAA-99BC-0DAD0D99322D}" name="Column4919"/>
    <tableColumn id="4925" xr3:uid="{A5341642-0E8D-44EC-9636-FB1C240C2D43}" name="Column4920"/>
    <tableColumn id="4926" xr3:uid="{FCBBAACD-2734-4AAA-8406-BBC9C17CE23A}" name="Column4921"/>
    <tableColumn id="4927" xr3:uid="{65525E84-B275-49E3-849D-FB5D107A8F94}" name="Column4922"/>
    <tableColumn id="4928" xr3:uid="{A491049B-C514-4630-8644-6471F053F29E}" name="Column4923"/>
    <tableColumn id="4929" xr3:uid="{5730E9D1-8928-4972-9EA5-BD087F2D1AEA}" name="Column4924"/>
    <tableColumn id="4930" xr3:uid="{A5DB09AB-D24A-4AFA-9ABE-84EFB4EBDFEC}" name="Column4925"/>
    <tableColumn id="4931" xr3:uid="{E19B2FC6-D23E-473C-A3E1-31787DD74D93}" name="Column4926"/>
    <tableColumn id="4932" xr3:uid="{A450F2CF-305E-478A-9028-F3DF6E703EC8}" name="Column4927"/>
    <tableColumn id="4933" xr3:uid="{54287D98-AEAB-4CC7-9C6A-E2F320A5F85E}" name="Column4928"/>
    <tableColumn id="4934" xr3:uid="{D858049D-7BA8-4588-AA67-E04A2A473DC4}" name="Column4929"/>
    <tableColumn id="4935" xr3:uid="{DAFCE37E-4517-4DD6-BFAF-7D5E3517D9F8}" name="Column4930"/>
    <tableColumn id="4936" xr3:uid="{FEF1E50A-44BB-45FF-BFA3-39386E7824D8}" name="Column4931"/>
    <tableColumn id="4937" xr3:uid="{758E8FE7-0A76-4419-9A57-262B2BF6FAED}" name="Column4932"/>
    <tableColumn id="4938" xr3:uid="{23679314-21F8-4249-AC39-71738915995B}" name="Column4933"/>
    <tableColumn id="4939" xr3:uid="{A9025564-0359-49A8-8251-D53CA050A31B}" name="Column4934"/>
    <tableColumn id="4940" xr3:uid="{6F6FB11C-CC6D-49F1-A88B-FDD5A7034075}" name="Column4935"/>
    <tableColumn id="4941" xr3:uid="{37095772-D855-4B9B-8260-C159B740530E}" name="Column4936"/>
    <tableColumn id="4942" xr3:uid="{81AD8A81-DFA4-4AB3-B26F-D22010B5B00C}" name="Column4937"/>
    <tableColumn id="4943" xr3:uid="{96222EE4-36B9-405C-9ECE-D79D4537B40C}" name="Column4938"/>
    <tableColumn id="4944" xr3:uid="{DEE61DA4-B8E2-4A3A-AF70-86C97CDFFA5E}" name="Column4939"/>
    <tableColumn id="4945" xr3:uid="{BC231ABC-0E4B-45BB-82B9-EDD1FBD63131}" name="Column4940"/>
    <tableColumn id="4946" xr3:uid="{DDB0705D-DAA9-4197-ABA2-F22630D860C2}" name="Column4941"/>
    <tableColumn id="4947" xr3:uid="{0FC365E2-3B4D-4E8C-B088-8F91789B7CBF}" name="Column4942"/>
    <tableColumn id="4948" xr3:uid="{CF8096F4-316A-46F1-8D6F-FBC2030E64AF}" name="Column4943"/>
    <tableColumn id="4949" xr3:uid="{FACA8CD4-5A2D-4D02-A7D6-04B39B18D0C3}" name="Column4944"/>
    <tableColumn id="4950" xr3:uid="{270F5385-5AEA-472E-8C30-4ACCD87F6B82}" name="Column4945"/>
    <tableColumn id="4951" xr3:uid="{C7A024D0-E2BA-4F73-B933-552AD366F23E}" name="Column4946"/>
    <tableColumn id="4952" xr3:uid="{548E72CC-F390-4D07-B81F-FD5B0984659A}" name="Column4947"/>
    <tableColumn id="4953" xr3:uid="{CC9F1950-21EE-4A2E-838D-5053D4A9F2E3}" name="Column4948"/>
    <tableColumn id="4954" xr3:uid="{07917737-63AD-48FA-B10E-D544C3305E7C}" name="Column4949"/>
    <tableColumn id="4955" xr3:uid="{4C1EC50E-68E3-4AF5-9DAA-A5EF69A8DB22}" name="Column4950"/>
    <tableColumn id="4956" xr3:uid="{54FCE28E-3ED8-4E55-A27C-CD4E869D565D}" name="Column4951"/>
    <tableColumn id="4957" xr3:uid="{D07535DD-F56F-4BAB-B7ED-2CB832F79B03}" name="Column4952"/>
    <tableColumn id="4958" xr3:uid="{FA32FE1F-89D4-4685-AE05-5FCFFA935F9B}" name="Column4953"/>
    <tableColumn id="4959" xr3:uid="{E63EBE19-FA08-4DB4-8C37-ED3A764E8325}" name="Column4954"/>
    <tableColumn id="4960" xr3:uid="{5E07E565-C1C3-4BC2-BB80-4C78597C61E1}" name="Column4955"/>
    <tableColumn id="4961" xr3:uid="{DC361A35-BBC2-44BD-A2A8-948AEA7D1DA5}" name="Column4956"/>
    <tableColumn id="4962" xr3:uid="{D47D3102-6C61-449A-8789-60C2F1C4CF97}" name="Column4957"/>
    <tableColumn id="4963" xr3:uid="{5F06AFBC-0D8A-4A64-8C4D-C2C16D4D898C}" name="Column4958"/>
    <tableColumn id="4964" xr3:uid="{26F30BF3-CDB0-4BA4-A7BD-80505496DC2B}" name="Column4959"/>
    <tableColumn id="4965" xr3:uid="{931FC5D7-4807-4687-A7FC-2D2A1EFA0ADD}" name="Column4960"/>
    <tableColumn id="4966" xr3:uid="{A511229D-15B0-440F-B3AC-FF8D27D3D994}" name="Column4961"/>
    <tableColumn id="4967" xr3:uid="{91AB3545-5FC1-4300-B52F-4B24B3478156}" name="Column4962"/>
    <tableColumn id="4968" xr3:uid="{EE3726D6-131C-4F1D-AB39-F2DB31DBFB9E}" name="Column4963"/>
    <tableColumn id="4969" xr3:uid="{799517C9-206C-4514-A0F6-42354AAC0D26}" name="Column4964"/>
    <tableColumn id="4970" xr3:uid="{DE602B05-B663-401A-9629-05D4B4BC89CC}" name="Column4965"/>
    <tableColumn id="4971" xr3:uid="{6FAF846C-A9D1-4DA0-AA9A-E186B9897E3E}" name="Column4966"/>
    <tableColumn id="4972" xr3:uid="{A894F997-9F06-4F89-9CE5-DD2AB87877B1}" name="Column4967"/>
    <tableColumn id="4973" xr3:uid="{E38DBB11-F1D0-4615-9574-7C34D52512A2}" name="Column4968"/>
    <tableColumn id="4974" xr3:uid="{D7A1ED5D-0550-43A0-8340-B9361B4C922B}" name="Column4969"/>
    <tableColumn id="4975" xr3:uid="{346E3CD3-7873-4247-AA0A-B3D741EC4435}" name="Column4970"/>
    <tableColumn id="4976" xr3:uid="{BA39DF49-6C29-439A-8FA4-9840C648D96B}" name="Column4971"/>
    <tableColumn id="4977" xr3:uid="{A1821399-E363-46E0-9F61-F93160202BD4}" name="Column4972"/>
    <tableColumn id="4978" xr3:uid="{1F9E5F43-5CBB-46D6-98B8-0E0298D032DA}" name="Column4973"/>
    <tableColumn id="4979" xr3:uid="{774A3A33-4B78-48D1-9685-6A1E9667D4D3}" name="Column4974"/>
    <tableColumn id="4980" xr3:uid="{7A95742E-8662-4730-928B-43A5A29CAEFC}" name="Column4975"/>
    <tableColumn id="4981" xr3:uid="{56E457E7-0F44-4598-85DE-089F71A9C045}" name="Column4976"/>
    <tableColumn id="4982" xr3:uid="{15FEA09D-8419-4364-A5AF-B7FC4471E696}" name="Column4977"/>
    <tableColumn id="4983" xr3:uid="{1DA57FE4-9600-49BC-B0C3-5C557087FC29}" name="Column4978"/>
    <tableColumn id="4984" xr3:uid="{8D045A65-BE2F-4750-BAE8-2B983EA3F521}" name="Column4979"/>
    <tableColumn id="4985" xr3:uid="{16C3C798-050F-4C5E-8476-6B0B0C165E20}" name="Column4980"/>
    <tableColumn id="4986" xr3:uid="{B5C24ACB-F70E-4218-9F61-FDA67421791C}" name="Column4981"/>
    <tableColumn id="4987" xr3:uid="{CC6D6810-5869-49DE-BB33-960F3333101A}" name="Column4982"/>
    <tableColumn id="4988" xr3:uid="{B94CD9A0-A94A-4360-81AE-68ACDC457BD6}" name="Column4983"/>
    <tableColumn id="4989" xr3:uid="{13F0B448-FA40-4205-A179-4F6ED35C012B}" name="Column4984"/>
    <tableColumn id="4990" xr3:uid="{DF4AFE9F-DE21-4899-A9FD-7B2C736E8CC5}" name="Column4985"/>
    <tableColumn id="4991" xr3:uid="{E2538E53-2CE8-40D7-9EB7-0BFFD7BD1691}" name="Column4986"/>
    <tableColumn id="4992" xr3:uid="{40537726-42D0-40C3-BEED-A6BEA0199838}" name="Column4987"/>
    <tableColumn id="4993" xr3:uid="{90917D5A-6CD2-4182-8848-737E202642E0}" name="Column4988"/>
    <tableColumn id="4994" xr3:uid="{13094108-CC22-4FED-86BE-DF1F56644354}" name="Column4989"/>
    <tableColumn id="4995" xr3:uid="{F0A25AC7-A5C7-4986-BE85-B0A2D42E0BCF}" name="Column4990"/>
    <tableColumn id="4996" xr3:uid="{3816DE81-1CBA-43C9-859A-2D9DF7138880}" name="Column4991"/>
    <tableColumn id="4997" xr3:uid="{66AF69E9-CB54-446B-91C6-CCB56C85F47E}" name="Column4992"/>
    <tableColumn id="4998" xr3:uid="{D90E3606-048F-4EFC-BCE9-D61F3E211A13}" name="Column4993"/>
    <tableColumn id="4999" xr3:uid="{5D351F55-62B2-4CCC-827D-48695A9A07CA}" name="Column4994"/>
    <tableColumn id="5000" xr3:uid="{B7A569DB-10CE-4A93-BD28-F9F73195B658}" name="Column4995"/>
    <tableColumn id="5001" xr3:uid="{1AFD5C50-8AC0-4FFD-AFCB-FB7F87672B90}" name="Column4996"/>
    <tableColumn id="5002" xr3:uid="{88FC8E93-8EE2-4387-95DD-3FDCB9BE6931}" name="Column4997"/>
    <tableColumn id="5003" xr3:uid="{2D1E3FBF-58CC-49D6-9EE1-A6F6ACFB4266}" name="Column4998"/>
    <tableColumn id="5004" xr3:uid="{5E3DAAEF-BA03-4571-AE24-BD7C1FA9237E}" name="Column4999"/>
    <tableColumn id="5005" xr3:uid="{7FFB2699-9763-46A8-A59A-D48EC079791B}" name="Column5000"/>
    <tableColumn id="5006" xr3:uid="{BABCEB93-2A7D-487D-BF2A-F50FB2ECB5AE}" name="Column5001"/>
    <tableColumn id="5007" xr3:uid="{CCEA7E98-DB41-4AD9-9938-257B117DD75F}" name="Column5002"/>
    <tableColumn id="5008" xr3:uid="{A2920D80-E0A8-48B5-89D0-666AFF9F992A}" name="Column5003"/>
    <tableColumn id="5009" xr3:uid="{D5A97DC7-7532-4C7D-AC2E-068E91107D81}" name="Column5004"/>
    <tableColumn id="5010" xr3:uid="{B6635E9A-D450-4FF5-A3BC-E1E310F89571}" name="Column5005"/>
    <tableColumn id="5011" xr3:uid="{D874B60C-E8A7-44D3-9B14-123AA488ACB7}" name="Column5006"/>
    <tableColumn id="5012" xr3:uid="{C8E65DD8-0DC2-4B94-A6E4-8368087C9453}" name="Column5007"/>
    <tableColumn id="5013" xr3:uid="{47EA52ED-961F-455E-9DA0-FEC38DEEDB0B}" name="Column5008"/>
    <tableColumn id="5014" xr3:uid="{9DD2E724-42F7-4A51-9027-287749DF1A6D}" name="Column5009"/>
    <tableColumn id="5015" xr3:uid="{37C772B1-9289-4059-A983-CC4DC949FF26}" name="Column5010"/>
    <tableColumn id="5016" xr3:uid="{B4289A39-D0AC-4479-B42F-95ADC623F98C}" name="Column5011"/>
    <tableColumn id="5017" xr3:uid="{FAF2D202-95A4-4236-9C0C-337A0BC4F212}" name="Column5012"/>
    <tableColumn id="5018" xr3:uid="{EB1F583F-49F4-4335-A159-DA655840F250}" name="Column5013"/>
    <tableColumn id="5019" xr3:uid="{8E58D190-CB47-4F58-8C6A-0EC90C7DC5A9}" name="Column5014"/>
    <tableColumn id="5020" xr3:uid="{2540BC75-6783-4623-909B-BEBE294EB6E9}" name="Column5015"/>
    <tableColumn id="5021" xr3:uid="{D029B581-235A-43C8-8EEC-AC28ABFEA0DB}" name="Column5016"/>
    <tableColumn id="5022" xr3:uid="{7A23E359-A3FC-419B-802C-E37F841786F4}" name="Column5017"/>
    <tableColumn id="5023" xr3:uid="{0FD02803-9E03-4752-8245-A3F4D6759BCC}" name="Column5018"/>
    <tableColumn id="5024" xr3:uid="{B214A87F-44E9-4EFB-87FC-760598739B19}" name="Column5019"/>
    <tableColumn id="5025" xr3:uid="{2C2A1A51-24F7-4C0E-A6E0-CD22DC216762}" name="Column5020"/>
    <tableColumn id="5026" xr3:uid="{31F5EB5D-F719-49BF-B8A3-8E90A96230B6}" name="Column5021"/>
    <tableColumn id="5027" xr3:uid="{8C3C0E49-1C1F-419C-B371-85316ED6D3EE}" name="Column5022"/>
    <tableColumn id="5028" xr3:uid="{73906A88-BD4D-4B80-969A-D22CAE3D3C6F}" name="Column5023"/>
    <tableColumn id="5029" xr3:uid="{74199298-6678-44E2-B864-A6DFDD0356DA}" name="Column5024"/>
    <tableColumn id="5030" xr3:uid="{3A4FF710-63A9-4B86-A069-971B6D2B065C}" name="Column5025"/>
    <tableColumn id="5031" xr3:uid="{5B18B862-11AD-4E94-89B9-F6AEA2D36C26}" name="Column5026"/>
    <tableColumn id="5032" xr3:uid="{CC665D87-861F-4D1F-BC2C-572C7ED0672E}" name="Column5027"/>
    <tableColumn id="5033" xr3:uid="{42432CE1-47CA-435C-A6F2-C66E83729853}" name="Column5028"/>
    <tableColumn id="5034" xr3:uid="{905A6D1B-F579-4241-8FA3-D5A20C69AFE7}" name="Column5029"/>
    <tableColumn id="5035" xr3:uid="{3C17B088-18A3-4AA6-BC81-AF55C818DE20}" name="Column5030"/>
    <tableColumn id="5036" xr3:uid="{676691E8-619B-4035-998D-17536AE55A80}" name="Column5031"/>
    <tableColumn id="5037" xr3:uid="{6C8EB2C4-B33D-4C98-9E46-9E512DAC3CE8}" name="Column5032"/>
    <tableColumn id="5038" xr3:uid="{957D082D-F251-4446-85DC-FA08A37B08C6}" name="Column5033"/>
    <tableColumn id="5039" xr3:uid="{C44506BE-C3EF-48AA-B0B3-B2129EECD795}" name="Column5034"/>
    <tableColumn id="5040" xr3:uid="{A429F177-9BFA-4E7C-BF85-127305BFD100}" name="Column5035"/>
    <tableColumn id="5041" xr3:uid="{A3EE3971-B2B0-433B-9113-A11B57BD4DA3}" name="Column5036"/>
    <tableColumn id="5042" xr3:uid="{E7DF116B-C099-42EF-8B3B-F5730B6E5008}" name="Column5037"/>
    <tableColumn id="5043" xr3:uid="{F21C81A3-A974-4894-94C0-5C714C4BBF6E}" name="Column5038"/>
    <tableColumn id="5044" xr3:uid="{DC2CF16C-0252-44D2-9692-AACE35244B9C}" name="Column5039"/>
    <tableColumn id="5045" xr3:uid="{1B1C22D0-5D75-46B7-8C24-7BDEDD968964}" name="Column5040"/>
    <tableColumn id="5046" xr3:uid="{037A091B-2830-4A03-9D82-819E5E783CBC}" name="Column5041"/>
    <tableColumn id="5047" xr3:uid="{55404C4A-3DC5-4ADB-8E69-5A138B99F08A}" name="Column5042"/>
    <tableColumn id="5048" xr3:uid="{6F5B6A26-95CC-4822-8C3B-A21FD114BAF8}" name="Column5043"/>
    <tableColumn id="5049" xr3:uid="{3B2AE47C-5570-4F62-8274-EC3002B11D3A}" name="Column5044"/>
    <tableColumn id="5050" xr3:uid="{61614EAC-F15A-42BF-A896-ABA0351556A5}" name="Column5045"/>
    <tableColumn id="5051" xr3:uid="{7BB3322B-46C5-4914-9F4B-3FB5CE97DB6C}" name="Column5046"/>
    <tableColumn id="5052" xr3:uid="{A4C442DA-35F7-4413-8743-BA0D258CE293}" name="Column5047"/>
    <tableColumn id="5053" xr3:uid="{40DDF7C5-9A51-47B3-8906-A90DD6C89C88}" name="Column5048"/>
    <tableColumn id="5054" xr3:uid="{79697375-9250-4871-B7CD-8DACECA0E189}" name="Column5049"/>
    <tableColumn id="5055" xr3:uid="{E5710A20-117C-4E8A-9506-FB365ACD1FD5}" name="Column5050"/>
    <tableColumn id="5056" xr3:uid="{DD7732C1-8A05-4815-93E2-613CFCB19588}" name="Column5051"/>
    <tableColumn id="5057" xr3:uid="{32C3E87C-52D2-49F6-8304-B219D5F79B93}" name="Column5052"/>
    <tableColumn id="5058" xr3:uid="{B59F1D1D-D475-41B9-8071-8FD58E0D1270}" name="Column5053"/>
    <tableColumn id="5059" xr3:uid="{4CD20359-5DD1-4071-8FE1-835C420D2CF4}" name="Column5054"/>
    <tableColumn id="5060" xr3:uid="{768DA56B-2C4A-407F-8E09-46C7306CE3D4}" name="Column5055"/>
    <tableColumn id="5061" xr3:uid="{A842A6D2-7CEF-49E4-B79C-E25F6B71204A}" name="Column5056"/>
    <tableColumn id="5062" xr3:uid="{B7DFAC7B-A200-4D15-89CC-FCFD86D84E18}" name="Column5057"/>
    <tableColumn id="5063" xr3:uid="{B9D9853D-F485-4754-A043-43446E130BBD}" name="Column5058"/>
    <tableColumn id="5064" xr3:uid="{B31E504E-5F1E-4A6D-9401-DDBF92FFA3FD}" name="Column5059"/>
    <tableColumn id="5065" xr3:uid="{F370614A-48EB-4631-B71F-517E3309AD5A}" name="Column5060"/>
    <tableColumn id="5066" xr3:uid="{5DB4BFB9-5615-4D71-8CD7-9232C452B389}" name="Column5061"/>
    <tableColumn id="5067" xr3:uid="{7A495AA6-A2C5-41A4-96F2-4AAEF7D344CE}" name="Column5062"/>
    <tableColumn id="5068" xr3:uid="{7D1A8F77-7A81-44AC-A0D4-58286CAE8373}" name="Column5063"/>
    <tableColumn id="5069" xr3:uid="{F00635A8-19D8-4498-ABDA-6ECEDDA226F5}" name="Column5064"/>
    <tableColumn id="5070" xr3:uid="{0F0205DD-5B84-4AB8-8BDC-8415E38D67E4}" name="Column5065"/>
    <tableColumn id="5071" xr3:uid="{CF9F306C-8F43-4732-B175-D8125AD351C2}" name="Column5066"/>
    <tableColumn id="5072" xr3:uid="{CC93071A-B874-4AD1-B533-C9AB90B39CC1}" name="Column5067"/>
    <tableColumn id="5073" xr3:uid="{2DC242D6-6B3B-4CC3-92A8-5BD8F0FFE9C6}" name="Column5068"/>
    <tableColumn id="5074" xr3:uid="{669079A8-1F71-4BF0-A653-4B938D57DFF5}" name="Column5069"/>
    <tableColumn id="5075" xr3:uid="{898CFA9D-9777-4AA0-AEC0-0076E0F0F0B5}" name="Column5070"/>
    <tableColumn id="5076" xr3:uid="{C1ACD31E-3C55-4DEE-BCC2-35B1C058F0EE}" name="Column5071"/>
    <tableColumn id="5077" xr3:uid="{05284116-146E-4F92-A5EE-C45344511DC6}" name="Column5072"/>
    <tableColumn id="5078" xr3:uid="{263CB646-B174-4E95-8F77-B6754CC833B9}" name="Column5073"/>
    <tableColumn id="5079" xr3:uid="{DCB686CD-542E-430F-B528-E2522270497F}" name="Column5074"/>
    <tableColumn id="5080" xr3:uid="{0D0BEB9E-1FE2-4429-B2ED-06BE31893B83}" name="Column5075"/>
    <tableColumn id="5081" xr3:uid="{D8594BA9-5DF4-4C32-B2AD-5495EF59954A}" name="Column5076"/>
    <tableColumn id="5082" xr3:uid="{44DCF686-907E-44D9-A0AC-0E0AD16203F6}" name="Column5077"/>
    <tableColumn id="5083" xr3:uid="{4AAD1878-870C-4996-8EA8-8D33D7D8EFEA}" name="Column5078"/>
    <tableColumn id="5084" xr3:uid="{A3A48E6D-855F-4740-B9FA-87A67A44EE19}" name="Column5079"/>
    <tableColumn id="5085" xr3:uid="{12648342-BA5C-4ED2-89E7-F0A606B4DCEA}" name="Column5080"/>
    <tableColumn id="5086" xr3:uid="{CE5E2A8B-F0FE-4980-856C-65D0A2A9C336}" name="Column5081"/>
    <tableColumn id="5087" xr3:uid="{605D1074-A783-4063-904E-FAA117B7E940}" name="Column5082"/>
    <tableColumn id="5088" xr3:uid="{B0B4003E-B2F2-421F-94A2-9EF8CB9B1398}" name="Column5083"/>
    <tableColumn id="5089" xr3:uid="{F73DC614-F63F-4B5E-98C6-81CCB44181D7}" name="Column5084"/>
    <tableColumn id="5090" xr3:uid="{AD2E6416-0C35-4E68-A2DC-891DAEC3DE47}" name="Column5085"/>
    <tableColumn id="5091" xr3:uid="{6DF8A6EB-ABB1-4008-85DA-6097A16A5B55}" name="Column5086"/>
    <tableColumn id="5092" xr3:uid="{4A7E1D44-E60D-4CA0-8137-76B145497989}" name="Column5087"/>
    <tableColumn id="5093" xr3:uid="{EAAE6EBF-2580-4C6D-A02C-989BDF96C4D8}" name="Column5088"/>
    <tableColumn id="5094" xr3:uid="{D0A097FD-D33E-4A05-A08A-9A9A62AADECB}" name="Column5089"/>
    <tableColumn id="5095" xr3:uid="{CBB6BBD0-2676-413A-92A7-88CD89AC630D}" name="Column5090"/>
    <tableColumn id="5096" xr3:uid="{F13FCB71-93FA-4500-BFCC-E38F4186A1C0}" name="Column5091"/>
    <tableColumn id="5097" xr3:uid="{60FCEEB6-52CA-40EA-9A53-12397AC6E676}" name="Column5092"/>
    <tableColumn id="5098" xr3:uid="{ABA4828F-AA6D-4417-AB2B-9F110B92D3DA}" name="Column5093"/>
    <tableColumn id="5099" xr3:uid="{D4442666-2824-436F-98FD-D93D5D3D6FC1}" name="Column5094"/>
    <tableColumn id="5100" xr3:uid="{C37192A2-D443-4C22-A2C4-B8B115A0838F}" name="Column5095"/>
    <tableColumn id="5101" xr3:uid="{9AEF419E-E958-4612-B2B1-B43C023DBA63}" name="Column5096"/>
    <tableColumn id="5102" xr3:uid="{3ADFF0A3-9961-408E-8E16-BD2BA7468E4B}" name="Column5097"/>
    <tableColumn id="5103" xr3:uid="{B4ECF19B-F35F-44E6-9B5D-18B9A76DC618}" name="Column5098"/>
    <tableColumn id="5104" xr3:uid="{08FDD188-E66C-4EC4-B526-4BA0BD31A217}" name="Column5099"/>
    <tableColumn id="5105" xr3:uid="{540813C9-14D8-4587-B365-7DA598DB70F8}" name="Column5100"/>
    <tableColumn id="5106" xr3:uid="{FC1AE1A0-31CC-4A0F-96EC-7A7B8D780328}" name="Column5101"/>
    <tableColumn id="5107" xr3:uid="{BA91DD2A-D67B-40F2-8A5B-18E96B76D2EF}" name="Column5102"/>
    <tableColumn id="5108" xr3:uid="{C8A40AF3-BECC-4130-A6C8-51D11EDBDE78}" name="Column5103"/>
    <tableColumn id="5109" xr3:uid="{9F3884CD-35E2-4D36-970C-2FDF77257543}" name="Column5104"/>
    <tableColumn id="5110" xr3:uid="{A91FD2F4-F43E-4F6C-AAF9-1DD828FC84CF}" name="Column5105"/>
    <tableColumn id="5111" xr3:uid="{22C869D7-F075-4B77-995C-79A78DC417CD}" name="Column5106"/>
    <tableColumn id="5112" xr3:uid="{189929AD-D4AF-41AC-AB67-F00E41ACD44B}" name="Column5107"/>
    <tableColumn id="5113" xr3:uid="{526039B6-7B59-4943-8BD1-7B870A3B19B3}" name="Column5108"/>
    <tableColumn id="5114" xr3:uid="{4373F222-4E8A-48BE-A831-8F2F9C2A3340}" name="Column5109"/>
    <tableColumn id="5115" xr3:uid="{6BFB28C1-F4E9-4428-88BD-DD4C395D76F5}" name="Column5110"/>
    <tableColumn id="5116" xr3:uid="{10B2C725-760A-4B10-9FDB-7782768B7C9E}" name="Column5111"/>
    <tableColumn id="5117" xr3:uid="{A2BBB1A3-A0A0-4883-9392-D9F5DF05BF89}" name="Column5112"/>
    <tableColumn id="5118" xr3:uid="{E8442EF0-21E4-408D-AB12-DA9AA45AC3C7}" name="Column5113"/>
    <tableColumn id="5119" xr3:uid="{2E0DF261-6B43-4684-8C34-F0850566B6C2}" name="Column5114"/>
    <tableColumn id="5120" xr3:uid="{0B948D62-19DB-4604-B88C-530FF7BAFB49}" name="Column5115"/>
    <tableColumn id="5121" xr3:uid="{742B7BA6-99BE-4716-9659-C2E18B47C955}" name="Column5116"/>
    <tableColumn id="5122" xr3:uid="{861443AB-513C-44BA-9C8D-EA024A895B8B}" name="Column5117"/>
    <tableColumn id="5123" xr3:uid="{760F8CED-2CE6-4ECB-A493-22DD1C5DD63B}" name="Column5118"/>
    <tableColumn id="5124" xr3:uid="{66662923-3605-4F79-9A04-27F3A1708575}" name="Column5119"/>
    <tableColumn id="5125" xr3:uid="{D966C35E-3238-4E7D-83DE-3E05C4647A52}" name="Column5120"/>
    <tableColumn id="5126" xr3:uid="{0D8BEDD6-B143-4AC3-8F9F-65BE95845347}" name="Column5121"/>
    <tableColumn id="5127" xr3:uid="{3AEF09AB-C4A6-40F7-8E4C-E25E726C960E}" name="Column5122"/>
    <tableColumn id="5128" xr3:uid="{B8852456-B783-4C50-AF61-A80F4D4A0D5F}" name="Column5123"/>
    <tableColumn id="5129" xr3:uid="{A2D09A97-40F8-46F7-AB51-BE34CC69DF55}" name="Column5124"/>
    <tableColumn id="5130" xr3:uid="{42F5AB8A-5E64-44D9-A877-976B561463C4}" name="Column5125"/>
    <tableColumn id="5131" xr3:uid="{AA922C25-6365-4A02-92CE-87AD317147D3}" name="Column5126"/>
    <tableColumn id="5132" xr3:uid="{35EA2D99-3FE0-45A1-ABDC-98DE1D660901}" name="Column5127"/>
    <tableColumn id="5133" xr3:uid="{3190C764-A65D-493F-B3A3-6081F465D433}" name="Column5128"/>
    <tableColumn id="5134" xr3:uid="{AA7989DC-AA4D-4571-9686-F0271909DB6B}" name="Column5129"/>
    <tableColumn id="5135" xr3:uid="{BF8F0439-E36F-4BB6-A86D-B579D53B6CF7}" name="Column5130"/>
    <tableColumn id="5136" xr3:uid="{94831A94-201C-4438-9583-D669909A062C}" name="Column5131"/>
    <tableColumn id="5137" xr3:uid="{A4138595-B31C-4507-A2E0-D233FA8BFCE0}" name="Column5132"/>
    <tableColumn id="5138" xr3:uid="{75B1D41C-8651-4154-86BE-4963C5C333FA}" name="Column5133"/>
    <tableColumn id="5139" xr3:uid="{A39416E2-AA9C-47D9-BC2C-546284A20B04}" name="Column5134"/>
    <tableColumn id="5140" xr3:uid="{EFC650EC-BD4E-4803-B7D1-99D144F35EA4}" name="Column5135"/>
    <tableColumn id="5141" xr3:uid="{58663A42-7634-49D9-B5BB-6D74A7093D37}" name="Column5136"/>
    <tableColumn id="5142" xr3:uid="{2411688A-F6DA-487F-973A-89173AB162C2}" name="Column5137"/>
    <tableColumn id="5143" xr3:uid="{414B4DC4-0B9E-4FA3-BB67-2BB192A55253}" name="Column5138"/>
    <tableColumn id="5144" xr3:uid="{F4CC527E-ED34-4D40-8CCE-5720CDE6BE52}" name="Column5139"/>
    <tableColumn id="5145" xr3:uid="{A98A3561-BB5F-4553-A41E-04E226D9C06F}" name="Column5140"/>
    <tableColumn id="5146" xr3:uid="{8EC04DBB-CFA9-4C67-AB3B-0AA5051F7288}" name="Column5141"/>
    <tableColumn id="5147" xr3:uid="{FE3921FC-B9EF-43FB-8505-339BFEC9BA64}" name="Column5142"/>
    <tableColumn id="5148" xr3:uid="{79912A20-2ECA-4145-9C01-1705B0A6D692}" name="Column5143"/>
    <tableColumn id="5149" xr3:uid="{79E98E3B-8D0E-4B87-B9BB-B2D0D50E373F}" name="Column5144"/>
    <tableColumn id="5150" xr3:uid="{8626DEF8-DED9-4D95-84E2-E70C2448C6A6}" name="Column5145"/>
    <tableColumn id="5151" xr3:uid="{13355BC8-DDB9-4109-834D-FB3D56FC4276}" name="Column5146"/>
    <tableColumn id="5152" xr3:uid="{C341B172-D1FE-43FD-AB5B-60BAA6EF0B00}" name="Column5147"/>
    <tableColumn id="5153" xr3:uid="{65D734B6-DB4A-409D-B73D-DA817A41370D}" name="Column5148"/>
    <tableColumn id="5154" xr3:uid="{1FF3436C-EBDB-4A43-A75F-389F3EEF9FA6}" name="Column5149"/>
    <tableColumn id="5155" xr3:uid="{6443AAD5-48A2-4F48-BF07-1A854A67DC69}" name="Column5150"/>
    <tableColumn id="5156" xr3:uid="{E52CCF7E-C165-42A1-B855-0FBCC913A1B8}" name="Column5151"/>
    <tableColumn id="5157" xr3:uid="{B75C4847-E973-4467-8ADC-0C1C69CA4AEC}" name="Column5152"/>
    <tableColumn id="5158" xr3:uid="{83775655-2DEF-4A18-95B1-DCCB61F07A4E}" name="Column5153"/>
    <tableColumn id="5159" xr3:uid="{30FAA338-7E1E-460D-82D3-4050AB40135E}" name="Column5154"/>
    <tableColumn id="5160" xr3:uid="{195C2662-7592-4089-88E3-E99983F1872B}" name="Column5155"/>
    <tableColumn id="5161" xr3:uid="{3DE17C70-E939-47F9-806A-65DE90D3AF2A}" name="Column5156"/>
    <tableColumn id="5162" xr3:uid="{655B6894-B564-46F3-99D1-DEE2ABF8639B}" name="Column5157"/>
    <tableColumn id="5163" xr3:uid="{9E321641-6D1E-42CD-9E02-18FE9B1A21C0}" name="Column5158"/>
    <tableColumn id="5164" xr3:uid="{7DE1FFE3-D5D4-4369-A34A-793F360CE977}" name="Column5159"/>
    <tableColumn id="5165" xr3:uid="{0D9A3683-1258-4948-BCB8-D320AED78AD9}" name="Column5160"/>
    <tableColumn id="5166" xr3:uid="{9CA9C1A4-9AD8-4859-BE11-B42A17D38AC9}" name="Column5161"/>
    <tableColumn id="5167" xr3:uid="{1E72547B-B006-4CC1-B589-5FB67844A573}" name="Column5162"/>
    <tableColumn id="5168" xr3:uid="{BF7FFCA2-4F38-4DBD-9993-D35C150AAAD3}" name="Column5163"/>
    <tableColumn id="5169" xr3:uid="{60DD79E3-15D9-45E1-9D32-99161E7BF2F7}" name="Column5164"/>
    <tableColumn id="5170" xr3:uid="{583FD9ED-1811-4994-AB44-5B3D0744CB09}" name="Column5165"/>
    <tableColumn id="5171" xr3:uid="{A0E621A4-AF5D-4A66-96B6-B655C86EE620}" name="Column5166"/>
    <tableColumn id="5172" xr3:uid="{CEA71570-E0F5-446B-BF8C-E62070085343}" name="Column5167"/>
    <tableColumn id="5173" xr3:uid="{87BF86AB-4E73-4653-BFB1-E88A416AE9D5}" name="Column5168"/>
    <tableColumn id="5174" xr3:uid="{1D6A985C-60A0-4034-83DC-C57040D0C0D9}" name="Column5169"/>
    <tableColumn id="5175" xr3:uid="{3E32C723-3F5A-4BA8-84DF-D2B183DCA84D}" name="Column5170"/>
    <tableColumn id="5176" xr3:uid="{D5E97645-688B-474A-BC23-3AE6A93DC9CD}" name="Column5171"/>
    <tableColumn id="5177" xr3:uid="{ED926F04-2D23-4D3A-A464-5D896F003C9E}" name="Column5172"/>
    <tableColumn id="5178" xr3:uid="{C07A95C3-E177-46E6-AA33-9B5DD1EE2303}" name="Column5173"/>
    <tableColumn id="5179" xr3:uid="{D0D961D6-F812-4C0D-9F1B-B14C88BB00BA}" name="Column5174"/>
    <tableColumn id="5180" xr3:uid="{BB544DE9-CBB4-446F-8624-D11EAE0CB180}" name="Column5175"/>
    <tableColumn id="5181" xr3:uid="{6521D0CF-5644-40E4-A353-3A487B3429E5}" name="Column5176"/>
    <tableColumn id="5182" xr3:uid="{F5DA8F18-054E-41B2-AF6A-79AE6DE290D9}" name="Column5177"/>
    <tableColumn id="5183" xr3:uid="{70FA2EE9-5D87-4EA6-894B-950AEA93DCA2}" name="Column5178"/>
    <tableColumn id="5184" xr3:uid="{5569950D-5999-46DB-ADEF-A5F76888E45A}" name="Column5179"/>
    <tableColumn id="5185" xr3:uid="{C3B7E5F8-0ABD-4142-91F8-AEBF9617E27D}" name="Column5180"/>
    <tableColumn id="5186" xr3:uid="{2C0E5552-2677-48A7-817C-96003B27CAAD}" name="Column5181"/>
    <tableColumn id="5187" xr3:uid="{8130CD2A-D4CB-4B82-9CED-8C2E5E44F4E1}" name="Column5182"/>
    <tableColumn id="5188" xr3:uid="{77387D9F-9841-4825-8CB1-AEE4F9A06E77}" name="Column5183"/>
    <tableColumn id="5189" xr3:uid="{58DA0BA7-51A5-4E6C-B07D-CD31D7651FF2}" name="Column5184"/>
    <tableColumn id="5190" xr3:uid="{DBDF7E68-DE58-47F6-87A2-26A8ABD49677}" name="Column5185"/>
    <tableColumn id="5191" xr3:uid="{CBF13622-FFBA-4DD4-ABFD-62E1FE5B6C0F}" name="Column5186"/>
    <tableColumn id="5192" xr3:uid="{2AE11863-0CC9-4058-AEF3-243A0F2B8417}" name="Column5187"/>
    <tableColumn id="5193" xr3:uid="{99A02AA7-7C63-4501-B4E8-C120995FA2CC}" name="Column5188"/>
    <tableColumn id="5194" xr3:uid="{3367BC71-4964-4EC8-9395-D3786CD2FA10}" name="Column5189"/>
    <tableColumn id="5195" xr3:uid="{7EEDC87E-B5B1-43FC-BB6A-7418F442768F}" name="Column5190"/>
    <tableColumn id="5196" xr3:uid="{1A763BD5-A13A-459D-8402-A02A7015CC3C}" name="Column5191"/>
    <tableColumn id="5197" xr3:uid="{026F8113-AE06-44D5-91BC-E72C6B1F1431}" name="Column5192"/>
    <tableColumn id="5198" xr3:uid="{CB49B902-7E5D-4373-BA30-3B0235C3958A}" name="Column5193"/>
    <tableColumn id="5199" xr3:uid="{691BF760-BD06-4935-ABA7-476C4DFC1CE9}" name="Column5194"/>
    <tableColumn id="5200" xr3:uid="{1C53BC97-A36D-4BE2-B04C-FEA5191838F6}" name="Column5195"/>
    <tableColumn id="5201" xr3:uid="{DC0DBC58-767A-4F48-B661-17CC44D81D65}" name="Column5196"/>
    <tableColumn id="5202" xr3:uid="{9A3844BF-0EC3-45A6-97CC-72C14EB6110E}" name="Column5197"/>
    <tableColumn id="5203" xr3:uid="{5A0D6F0B-C9DC-4405-A72D-6A7AD5F89411}" name="Column5198"/>
    <tableColumn id="5204" xr3:uid="{92BFB71A-00F7-4D07-A9D6-8CC46B28BD02}" name="Column5199"/>
    <tableColumn id="5205" xr3:uid="{5410F167-1E81-4EEE-B8E0-C47BAC7753D7}" name="Column5200"/>
    <tableColumn id="5206" xr3:uid="{801CF790-E7B2-4908-90A0-50A39B066F69}" name="Column5201"/>
    <tableColumn id="5207" xr3:uid="{3DBB5008-13E8-4C29-B3F1-77AF1EB70CA2}" name="Column5202"/>
    <tableColumn id="5208" xr3:uid="{D2785A3F-69F7-4843-A701-C85D741148B6}" name="Column5203"/>
    <tableColumn id="5209" xr3:uid="{1C3817B8-61B8-4790-B153-0F911C59BF34}" name="Column5204"/>
    <tableColumn id="5210" xr3:uid="{610F76C8-D184-46A6-8E82-AF4B1B926863}" name="Column5205"/>
    <tableColumn id="5211" xr3:uid="{7EA5BC15-6471-4326-96D2-65233ED90E97}" name="Column5206"/>
    <tableColumn id="5212" xr3:uid="{8A0BDCFA-6832-4C58-B13A-10DD7D05D6E5}" name="Column5207"/>
    <tableColumn id="5213" xr3:uid="{0B9F8D40-17BD-44A7-8B22-5FB921D82BAD}" name="Column5208"/>
    <tableColumn id="5214" xr3:uid="{C86704EE-BD7A-45CB-987A-15120FA94D64}" name="Column5209"/>
    <tableColumn id="5215" xr3:uid="{5E398DAB-C773-41E6-8376-E5EF7D697A2D}" name="Column5210"/>
    <tableColumn id="5216" xr3:uid="{DA16EB46-5869-4AEC-A711-6607608CD0AD}" name="Column5211"/>
    <tableColumn id="5217" xr3:uid="{0A314278-0F71-43DF-8157-13D0FB122C9B}" name="Column5212"/>
    <tableColumn id="5218" xr3:uid="{486BFD3E-468D-4ACC-837B-76FBA89F4956}" name="Column5213"/>
    <tableColumn id="5219" xr3:uid="{A09514D9-A454-4BA1-A024-020F2D02B736}" name="Column5214"/>
    <tableColumn id="5220" xr3:uid="{9CF9343A-0C6A-468B-853A-BC95B20F6514}" name="Column5215"/>
    <tableColumn id="5221" xr3:uid="{911CF345-9014-430C-8AB3-8494C49DDF5A}" name="Column5216"/>
    <tableColumn id="5222" xr3:uid="{FB713361-BB30-4448-977F-2CA089E0127B}" name="Column5217"/>
    <tableColumn id="5223" xr3:uid="{4C9C9603-4E13-48E0-A9E7-82AC6685CAC7}" name="Column5218"/>
    <tableColumn id="5224" xr3:uid="{33008037-16E5-44B6-96AE-CD40C9B57526}" name="Column5219"/>
    <tableColumn id="5225" xr3:uid="{929D006C-D7CD-4CC4-88B7-9D1F0A5FFA98}" name="Column5220"/>
    <tableColumn id="5226" xr3:uid="{E406F92F-EDD6-4F96-9086-477903B0273B}" name="Column5221"/>
    <tableColumn id="5227" xr3:uid="{EC9B6503-A8A4-4D12-8B6F-85033565C764}" name="Column5222"/>
    <tableColumn id="5228" xr3:uid="{B874895B-946B-44CC-83E2-D76B164E2C5D}" name="Column5223"/>
    <tableColumn id="5229" xr3:uid="{2D399D57-E477-4983-8844-E59BBDB3151C}" name="Column5224"/>
    <tableColumn id="5230" xr3:uid="{C140D51F-CFB5-45FD-970F-202E6C84D643}" name="Column5225"/>
    <tableColumn id="5231" xr3:uid="{4B8CFF5C-3A1F-4D7E-9801-2410EF656C0A}" name="Column5226"/>
    <tableColumn id="5232" xr3:uid="{51E51D90-3236-4C05-9057-1A2907746FF7}" name="Column5227"/>
    <tableColumn id="5233" xr3:uid="{93B20901-1D30-49C3-94C0-2B3E30750388}" name="Column5228"/>
    <tableColumn id="5234" xr3:uid="{85485BB3-4314-476F-932B-E92B43C0C6BE}" name="Column5229"/>
    <tableColumn id="5235" xr3:uid="{B1F8D1BF-3D81-4575-A974-0113DA0B99EF}" name="Column5230"/>
    <tableColumn id="5236" xr3:uid="{E4951D16-DF22-4A28-A2F4-B1ED5D849D60}" name="Column5231"/>
    <tableColumn id="5237" xr3:uid="{FF2D18DC-18D7-4E0C-A059-170B5F9E1695}" name="Column5232"/>
    <tableColumn id="5238" xr3:uid="{75D3F5C3-07DE-44EE-9280-B92E9B2E9E10}" name="Column5233"/>
    <tableColumn id="5239" xr3:uid="{F2A26AD5-0FE5-4B88-9FC6-EA5F777EBF3E}" name="Column5234"/>
    <tableColumn id="5240" xr3:uid="{59BEFF2E-4415-49B6-9445-454F2F68D544}" name="Column5235"/>
    <tableColumn id="5241" xr3:uid="{79CE2D51-A104-42AE-9A4F-CAF274F80FCF}" name="Column5236"/>
    <tableColumn id="5242" xr3:uid="{C0C86FC4-0487-4A90-A4CA-8D8310C77B16}" name="Column5237"/>
    <tableColumn id="5243" xr3:uid="{E8C089FB-3B3A-4EE7-A446-71240DC7DAF8}" name="Column5238"/>
    <tableColumn id="5244" xr3:uid="{10A9ABB7-FC22-4218-86D1-1A5A2611B314}" name="Column5239"/>
    <tableColumn id="5245" xr3:uid="{10AA55C7-049B-4140-AEA4-A663FC62723D}" name="Column5240"/>
    <tableColumn id="5246" xr3:uid="{0DA524D6-7D44-4F3A-8705-5D25DDADA6FB}" name="Column5241"/>
    <tableColumn id="5247" xr3:uid="{DA0CFF4C-3C3C-4A13-A1CA-25FB10A7DCBA}" name="Column5242"/>
    <tableColumn id="5248" xr3:uid="{61EB985A-F940-4666-AE96-8D79C24C48CF}" name="Column5243"/>
    <tableColumn id="5249" xr3:uid="{B6E75D6E-BC0C-4D75-9D4E-7947C7B909EE}" name="Column5244"/>
    <tableColumn id="5250" xr3:uid="{D2A86AAD-D927-4E63-8FC3-68099B0B431F}" name="Column5245"/>
    <tableColumn id="5251" xr3:uid="{6204842C-E8FF-4DDD-AA3E-1C520CC57032}" name="Column5246"/>
    <tableColumn id="5252" xr3:uid="{03B8BC21-9D73-4C70-83A3-4399D7F9707C}" name="Column5247"/>
    <tableColumn id="5253" xr3:uid="{5792EE74-93CC-46F5-B3D7-9905309420EE}" name="Column5248"/>
    <tableColumn id="5254" xr3:uid="{9CE8BA16-781B-4908-9AC8-CCE22B84BBF0}" name="Column5249"/>
    <tableColumn id="5255" xr3:uid="{3DE8C2FE-75E0-4F13-98E4-4C4D92855125}" name="Column5250"/>
    <tableColumn id="5256" xr3:uid="{26EB4976-CAE4-4229-BC7C-800615A6308A}" name="Column5251"/>
    <tableColumn id="5257" xr3:uid="{2A5839B1-A040-4719-B50B-ED6836BAB087}" name="Column5252"/>
    <tableColumn id="5258" xr3:uid="{51E53EB7-FA95-4E67-82AF-2F4C8E59EAA7}" name="Column5253"/>
    <tableColumn id="5259" xr3:uid="{D4C4D240-8D61-495C-954E-42D2D27774C9}" name="Column5254"/>
    <tableColumn id="5260" xr3:uid="{8F6603DE-C3DA-43FD-AC46-5CEC8F2DC795}" name="Column5255"/>
    <tableColumn id="5261" xr3:uid="{DB1BD2C0-EE43-4B4B-ACF1-248BBDAAA7DF}" name="Column5256"/>
    <tableColumn id="5262" xr3:uid="{91A73D35-3A0A-49CC-AB69-144B225BD111}" name="Column5257"/>
    <tableColumn id="5263" xr3:uid="{8E6EC0AE-58BC-48A3-AFB2-5BED0D086510}" name="Column5258"/>
    <tableColumn id="5264" xr3:uid="{69C7F43A-10DD-412B-8FB9-141EC4FEDBC6}" name="Column5259"/>
    <tableColumn id="5265" xr3:uid="{FDCC379E-0403-475C-8312-4CB85E0E0E50}" name="Column5260"/>
    <tableColumn id="5266" xr3:uid="{8FE9E0EF-7EC4-4846-8779-BB9C68D52F71}" name="Column5261"/>
    <tableColumn id="5267" xr3:uid="{D826DE54-758C-42E7-A903-B0CC58037C64}" name="Column5262"/>
    <tableColumn id="5268" xr3:uid="{972B3D49-D8EA-444D-B8C7-241329F05538}" name="Column5263"/>
    <tableColumn id="5269" xr3:uid="{6FAF73AA-A223-467A-8F04-9B4FB9CDB803}" name="Column5264"/>
    <tableColumn id="5270" xr3:uid="{EA361A13-9D39-4E13-AF4C-447C223F1BC3}" name="Column5265"/>
    <tableColumn id="5271" xr3:uid="{C8B683B2-EBEE-4951-AF0B-E6A5301B2809}" name="Column5266"/>
    <tableColumn id="5272" xr3:uid="{AC869968-1051-4A92-B43C-0FE17B961CAB}" name="Column5267"/>
    <tableColumn id="5273" xr3:uid="{02EC5D02-1E89-44B5-873C-E1C5AB680029}" name="Column5268"/>
    <tableColumn id="5274" xr3:uid="{2CEEDD7E-717D-48DE-9A77-66104428E81A}" name="Column5269"/>
    <tableColumn id="5275" xr3:uid="{50103435-2970-4772-B3E8-C73653F2995A}" name="Column5270"/>
    <tableColumn id="5276" xr3:uid="{6DA36C0C-10DC-4563-A6D2-36FEBA51AF6A}" name="Column5271"/>
    <tableColumn id="5277" xr3:uid="{229AE087-D95A-49CA-BC99-A7588F3A4C8F}" name="Column5272"/>
    <tableColumn id="5278" xr3:uid="{2091BFA1-F5C5-443E-8AF9-FC4008C9A521}" name="Column5273"/>
    <tableColumn id="5279" xr3:uid="{B72A3158-2F20-4251-8C1F-7EAA89DE0F09}" name="Column5274"/>
    <tableColumn id="5280" xr3:uid="{AD9A6E41-F8A3-45B4-AEA1-CA7F24A53761}" name="Column5275"/>
    <tableColumn id="5281" xr3:uid="{EEDD0802-6723-4FC7-829B-AEFE4E2C30F5}" name="Column5276"/>
    <tableColumn id="5282" xr3:uid="{FF86300D-6068-4DD9-AF03-0E27630FD969}" name="Column5277"/>
    <tableColumn id="5283" xr3:uid="{633609EE-0F79-46E0-A8D1-2205751141BE}" name="Column5278"/>
    <tableColumn id="5284" xr3:uid="{898CAE80-9010-4F27-9A0C-E932E3D0B87A}" name="Column5279"/>
    <tableColumn id="5285" xr3:uid="{3DCDA99D-D768-4D42-B299-1FE5FB8A4137}" name="Column5280"/>
    <tableColumn id="5286" xr3:uid="{50439BB6-EE7D-410D-BC1C-7182F567BCF2}" name="Column5281"/>
    <tableColumn id="5287" xr3:uid="{16BC8CFC-3546-4E85-B06D-5800D5BE6DEB}" name="Column5282"/>
    <tableColumn id="5288" xr3:uid="{9DBF8CA6-1627-40F9-A5EE-ECCFD076C114}" name="Column5283"/>
    <tableColumn id="5289" xr3:uid="{7C4DAE16-EFB4-47EE-BA7E-CFCE52401F79}" name="Column5284"/>
    <tableColumn id="5290" xr3:uid="{F1EC17BE-DBFF-4C59-9684-C0D22CDE9518}" name="Column5285"/>
    <tableColumn id="5291" xr3:uid="{10E2D3FA-3855-4F3F-BC1B-A92407EFAC75}" name="Column5286"/>
    <tableColumn id="5292" xr3:uid="{9F1A9062-856F-4B3F-AA2F-D0637D4BF2AD}" name="Column5287"/>
    <tableColumn id="5293" xr3:uid="{F5B81E74-54DA-45E0-9928-1573C86501A6}" name="Column5288"/>
    <tableColumn id="5294" xr3:uid="{D37C3766-D7DC-40D6-9B70-1518759545ED}" name="Column5289"/>
    <tableColumn id="5295" xr3:uid="{C36E1973-1D19-420F-ACB8-E8EE9E3CC7BE}" name="Column5290"/>
    <tableColumn id="5296" xr3:uid="{479584FC-9CC5-48A1-8777-E1711267387D}" name="Column5291"/>
    <tableColumn id="5297" xr3:uid="{6651763B-41C8-449C-8DE1-10A9B6557620}" name="Column5292"/>
    <tableColumn id="5298" xr3:uid="{C26F408D-222B-4E58-BB90-72F04C3B0861}" name="Column5293"/>
    <tableColumn id="5299" xr3:uid="{17A9F517-C789-4A4A-A006-C88A9E60C37F}" name="Column5294"/>
    <tableColumn id="5300" xr3:uid="{37ED2A8F-65B0-402D-AA6F-13A511842DAB}" name="Column5295"/>
    <tableColumn id="5301" xr3:uid="{C397660B-5B3C-46C4-B36A-A8333C5D72B3}" name="Column5296"/>
    <tableColumn id="5302" xr3:uid="{DFF04E5C-1100-4092-9FD1-7B08BBB753DA}" name="Column5297"/>
    <tableColumn id="5303" xr3:uid="{B3969890-0079-41B4-BDF6-6618DE6CE148}" name="Column5298"/>
    <tableColumn id="5304" xr3:uid="{FD9A731C-B24A-47D3-91F2-8520FA53CB64}" name="Column5299"/>
    <tableColumn id="5305" xr3:uid="{6C243BD1-BD69-4A60-9F9F-E8C9F998B754}" name="Column5300"/>
    <tableColumn id="5306" xr3:uid="{3992884E-30AF-4A75-9C6B-06A0C442A582}" name="Column5301"/>
    <tableColumn id="5307" xr3:uid="{BF6BC657-783A-47B5-881C-EDCB63FAD755}" name="Column5302"/>
    <tableColumn id="5308" xr3:uid="{5BCA3A72-9EA1-47D5-A63C-4470D53B44D1}" name="Column5303"/>
    <tableColumn id="5309" xr3:uid="{6B262C51-FD3C-425E-A026-B53B6E40F24E}" name="Column5304"/>
    <tableColumn id="5310" xr3:uid="{A2F0AB48-81B2-4220-BDC9-31866CFC1FAB}" name="Column5305"/>
    <tableColumn id="5311" xr3:uid="{6F9AA022-5E16-4825-9529-4A4269A38F36}" name="Column5306"/>
    <tableColumn id="5312" xr3:uid="{E8E594B9-9912-47E5-9709-232502132466}" name="Column5307"/>
    <tableColumn id="5313" xr3:uid="{DB8CDB43-7756-4FF6-B9E8-3A518A8653B4}" name="Column5308"/>
    <tableColumn id="5314" xr3:uid="{EA27C24F-4A37-4A4C-9BE1-9398AE2F3464}" name="Column5309"/>
    <tableColumn id="5315" xr3:uid="{50B6AD29-6EEF-4390-83C5-5B564F3C926E}" name="Column5310"/>
    <tableColumn id="5316" xr3:uid="{A3F7B122-6F4C-4A0C-B91D-D876DBF93F44}" name="Column5311"/>
    <tableColumn id="5317" xr3:uid="{A41D035E-CD3F-4CDF-A713-5B88920DE7DC}" name="Column5312"/>
    <tableColumn id="5318" xr3:uid="{BB2EE096-EAC8-467A-A6E5-737FE8D5D73F}" name="Column5313"/>
    <tableColumn id="5319" xr3:uid="{4FC2074D-913E-41F0-83AF-CD266A3A7785}" name="Column5314"/>
    <tableColumn id="5320" xr3:uid="{955AB20C-A329-4B15-BBF2-5E7D2372C138}" name="Column5315"/>
    <tableColumn id="5321" xr3:uid="{BA6D1253-B82F-4282-9686-28B331713726}" name="Column5316"/>
    <tableColumn id="5322" xr3:uid="{BBDEA252-DE36-4E91-8EC8-B92DE2665FA1}" name="Column5317"/>
    <tableColumn id="5323" xr3:uid="{1DA7F9B2-4957-4F86-9EE5-E981B91D3A1E}" name="Column5318"/>
    <tableColumn id="5324" xr3:uid="{BCB47F51-2227-4D9C-9362-64BC390F0576}" name="Column5319"/>
    <tableColumn id="5325" xr3:uid="{F50DB822-B474-4278-91B5-A1BE28A80EF6}" name="Column5320"/>
    <tableColumn id="5326" xr3:uid="{B04020F5-E5D2-4FE6-AAEE-3EF99E306F19}" name="Column5321"/>
    <tableColumn id="5327" xr3:uid="{F054E10F-0828-4C11-A083-81281769DC76}" name="Column5322"/>
    <tableColumn id="5328" xr3:uid="{9DFD9960-6333-4D33-A54D-ED3D0F024D0C}" name="Column5323"/>
    <tableColumn id="5329" xr3:uid="{1697E11D-4E6B-48D2-9786-2F9E0EB6ABB6}" name="Column5324"/>
    <tableColumn id="5330" xr3:uid="{9EF0C532-E177-48D8-8BDA-B772B8197079}" name="Column5325"/>
    <tableColumn id="5331" xr3:uid="{6BD84960-2F8A-4D8D-9EEE-58C8DAC3DDC1}" name="Column5326"/>
    <tableColumn id="5332" xr3:uid="{068773FC-E5BF-44AC-BD26-B2F55E64F721}" name="Column5327"/>
    <tableColumn id="5333" xr3:uid="{6BE9B0F8-34BE-4C7A-A9B0-33230990216E}" name="Column5328"/>
    <tableColumn id="5334" xr3:uid="{60D99882-4ED6-4A52-A440-467403BCDFD4}" name="Column5329"/>
    <tableColumn id="5335" xr3:uid="{1F21D5EB-A0B3-4A24-B924-6FC5230AA85B}" name="Column5330"/>
    <tableColumn id="5336" xr3:uid="{5141DD91-4309-42C3-91BD-BD3A0302C4BE}" name="Column5331"/>
    <tableColumn id="5337" xr3:uid="{DB040449-D2F7-46B0-BAE7-84A044B3928C}" name="Column5332"/>
    <tableColumn id="5338" xr3:uid="{B88B9CE0-3A75-448B-95CF-034061AC24EB}" name="Column5333"/>
    <tableColumn id="5339" xr3:uid="{95175289-F3D2-4934-8380-B689AE0F48E4}" name="Column5334"/>
    <tableColumn id="5340" xr3:uid="{77AFB4E5-E79F-4F83-8A98-2C27DF684783}" name="Column5335"/>
    <tableColumn id="5341" xr3:uid="{2B960862-6BC4-4368-B260-850E6B607B2C}" name="Column5336"/>
    <tableColumn id="5342" xr3:uid="{AA9F2E97-ED9C-46C6-AD87-C3343BCCC8C1}" name="Column5337"/>
    <tableColumn id="5343" xr3:uid="{85A80759-6D2E-419D-A6D3-7EA65D1DFA09}" name="Column5338"/>
    <tableColumn id="5344" xr3:uid="{D2DFCFCD-B7CA-4AA1-8203-2334E9F1EC40}" name="Column5339"/>
    <tableColumn id="5345" xr3:uid="{2CEF0948-7681-46A5-BD03-C47E30A6E8A9}" name="Column5340"/>
    <tableColumn id="5346" xr3:uid="{98135FF2-816B-4DAA-ACBB-D9223A02D141}" name="Column5341"/>
    <tableColumn id="5347" xr3:uid="{D1618FF1-7883-4FD8-9D09-F92D8D85CBF2}" name="Column5342"/>
    <tableColumn id="5348" xr3:uid="{0749F5EA-8FB3-4EA5-AE0A-4607944F4CE0}" name="Column5343"/>
    <tableColumn id="5349" xr3:uid="{38B4DC0F-3F2B-4713-A037-3810BF95E30F}" name="Column5344"/>
    <tableColumn id="5350" xr3:uid="{A731DD7D-0F7D-464D-B18C-37CD81FE2225}" name="Column5345"/>
    <tableColumn id="5351" xr3:uid="{76B48B4B-5304-442E-B70F-01D5FCA65699}" name="Column5346"/>
    <tableColumn id="5352" xr3:uid="{ADCFFB03-A28C-4F1B-8EB5-3BA4B9A45204}" name="Column5347"/>
    <tableColumn id="5353" xr3:uid="{C1981502-5A72-4EA0-8614-05AB252AAB5D}" name="Column5348"/>
    <tableColumn id="5354" xr3:uid="{8DACF961-FD12-4026-8871-9AE4C507283E}" name="Column5349"/>
    <tableColumn id="5355" xr3:uid="{3216B354-94B6-4CF7-940C-2F516C945CB3}" name="Column5350"/>
    <tableColumn id="5356" xr3:uid="{45047463-C01D-4138-B9E2-5D7EA2EDB53B}" name="Column5351"/>
    <tableColumn id="5357" xr3:uid="{335B441D-E52D-4CEE-B9C2-CB98AE94C671}" name="Column5352"/>
    <tableColumn id="5358" xr3:uid="{3AE7729A-81E9-4945-B4A8-5FC7F477F90F}" name="Column5353"/>
    <tableColumn id="5359" xr3:uid="{C01D36B8-CE24-4EAF-A7A2-ABD73B8212B7}" name="Column5354"/>
    <tableColumn id="5360" xr3:uid="{1B42D13E-39A3-45EB-ACC8-38DB993CCC60}" name="Column5355"/>
    <tableColumn id="5361" xr3:uid="{0CFC99FE-ADA1-4ADE-BE87-13DF27AD89D1}" name="Column5356"/>
    <tableColumn id="5362" xr3:uid="{387A7FB3-39E6-4E77-B408-31E1CF2E512E}" name="Column5357"/>
    <tableColumn id="5363" xr3:uid="{B62626C4-4A8B-47C0-B067-C897A7D387FD}" name="Column5358"/>
    <tableColumn id="5364" xr3:uid="{E2A342A3-F576-4F60-8AA9-16D29710D832}" name="Column5359"/>
    <tableColumn id="5365" xr3:uid="{4A5BD2B5-E0EB-45E5-AB54-946CD530454A}" name="Column5360"/>
    <tableColumn id="5366" xr3:uid="{8493D0BE-FB1B-4573-A077-D94175ED433C}" name="Column5361"/>
    <tableColumn id="5367" xr3:uid="{40E14184-5CDA-4370-84A0-76B5C372C866}" name="Column5362"/>
    <tableColumn id="5368" xr3:uid="{3DECBBEA-46AA-4DCF-96FD-D509EBD4CA71}" name="Column5363"/>
    <tableColumn id="5369" xr3:uid="{99D5B5B3-051C-4A5A-8568-AFD4033DE8F0}" name="Column5364"/>
    <tableColumn id="5370" xr3:uid="{8F8B51A3-D6D7-4C55-BE41-9FE2CCB259AA}" name="Column5365"/>
    <tableColumn id="5371" xr3:uid="{3F0B2699-CC04-4F08-97E8-66B98AB2A024}" name="Column5366"/>
    <tableColumn id="5372" xr3:uid="{76171A06-EA07-48FA-A930-56FED0D1B3C7}" name="Column5367"/>
    <tableColumn id="5373" xr3:uid="{6027E47B-A02E-40FD-9DEF-3CB4FA7F9EE5}" name="Column5368"/>
    <tableColumn id="5374" xr3:uid="{B41DA630-439A-495E-84EB-C3F260EB07F1}" name="Column5369"/>
    <tableColumn id="5375" xr3:uid="{8082A09D-4079-4BE3-B8EB-B68F96E37DF6}" name="Column5370"/>
    <tableColumn id="5376" xr3:uid="{E682397F-738D-4E14-B13E-FD3A3FC21EB9}" name="Column5371"/>
    <tableColumn id="5377" xr3:uid="{7ED7A094-DE9F-4C3C-A062-51DB12142D98}" name="Column5372"/>
    <tableColumn id="5378" xr3:uid="{F6FEA38A-A2ED-46FC-B832-9CE205DC0011}" name="Column5373"/>
    <tableColumn id="5379" xr3:uid="{80C1CB35-D36B-4B96-92BF-9C730A8CCF9A}" name="Column5374"/>
    <tableColumn id="5380" xr3:uid="{95F97B85-3792-4F1D-B438-5388015A3D4F}" name="Column5375"/>
    <tableColumn id="5381" xr3:uid="{16163214-4699-41DF-9B81-7777E732F47E}" name="Column5376"/>
    <tableColumn id="5382" xr3:uid="{A8CC9B64-0AC0-4EFA-AA3C-2FA19D576448}" name="Column5377"/>
    <tableColumn id="5383" xr3:uid="{86973899-2B0B-4C95-B391-EDAE16323329}" name="Column5378"/>
    <tableColumn id="5384" xr3:uid="{E4F6E7AF-EA98-4776-AD05-01545CE3D843}" name="Column5379"/>
    <tableColumn id="5385" xr3:uid="{DDF38C9F-DBDB-487B-A9EC-C1607AD1A5D1}" name="Column5380"/>
    <tableColumn id="5386" xr3:uid="{F5FF27A9-B1C8-4AD2-9470-97C1FB478F06}" name="Column5381"/>
    <tableColumn id="5387" xr3:uid="{1DC2D8EE-66EA-4C70-BA84-766E44F7EF2D}" name="Column5382"/>
    <tableColumn id="5388" xr3:uid="{B3E08844-31C4-48F9-B651-1BDE46D43B76}" name="Column5383"/>
    <tableColumn id="5389" xr3:uid="{E3439165-60B0-438E-ADD8-B8A6B32A1F65}" name="Column5384"/>
    <tableColumn id="5390" xr3:uid="{B0E146AB-DFC9-48EF-A3E6-F428A650A3EA}" name="Column5385"/>
    <tableColumn id="5391" xr3:uid="{4F6087FB-B9F1-438F-9019-3F0CF7895539}" name="Column5386"/>
    <tableColumn id="5392" xr3:uid="{C1F4B1F6-D5B2-4638-B504-0744C0F4E1BB}" name="Column5387"/>
    <tableColumn id="5393" xr3:uid="{FE67EBB2-DDAE-4696-9DDB-FED4B1636750}" name="Column5388"/>
    <tableColumn id="5394" xr3:uid="{98A1E2AF-7DA4-4A0F-B3BD-11A842D6D0D8}" name="Column5389"/>
    <tableColumn id="5395" xr3:uid="{8530A0B3-9378-48AE-A80B-C5DDEDE9EA3A}" name="Column5390"/>
    <tableColumn id="5396" xr3:uid="{748E20E7-8C35-465F-BFE9-F56AFFF5FBE5}" name="Column5391"/>
    <tableColumn id="5397" xr3:uid="{E9356EBA-6D77-4F96-8DBE-C5D76650647A}" name="Column5392"/>
    <tableColumn id="5398" xr3:uid="{13A1AF79-F5BA-40E9-A90A-0A9534303023}" name="Column5393"/>
    <tableColumn id="5399" xr3:uid="{D4196837-3C08-4644-8873-0006198D54B7}" name="Column5394"/>
    <tableColumn id="5400" xr3:uid="{7EF77BB8-A9E6-4E20-BD1D-680ED63215C1}" name="Column5395"/>
    <tableColumn id="5401" xr3:uid="{05A88DE6-47A9-4B81-82C5-9628B3A0B889}" name="Column5396"/>
    <tableColumn id="5402" xr3:uid="{572E3405-5521-4EEB-86FE-57281334CCB7}" name="Column5397"/>
    <tableColumn id="5403" xr3:uid="{2F5691D6-193C-4E33-989B-AC87FF65ECE7}" name="Column5398"/>
    <tableColumn id="5404" xr3:uid="{9402FC8D-E60D-4F74-AA1A-897DDAD57CC6}" name="Column5399"/>
    <tableColumn id="5405" xr3:uid="{14597EF2-C2F5-423C-9485-0F749D3E5B32}" name="Column5400"/>
    <tableColumn id="5406" xr3:uid="{8D5ACC6A-72CB-47BF-82F8-8FCD57917AAB}" name="Column5401"/>
    <tableColumn id="5407" xr3:uid="{5F10DB0D-7F3F-4B66-87D4-E2AC6ED894BF}" name="Column5402"/>
    <tableColumn id="5408" xr3:uid="{F1F15990-96AE-4F7B-B7A2-5870BB431228}" name="Column5403"/>
    <tableColumn id="5409" xr3:uid="{A6455216-A724-4E20-815D-47C6EB3027F3}" name="Column5404"/>
    <tableColumn id="5410" xr3:uid="{B76844FB-1235-45DF-8ABD-3F8FB3175A2C}" name="Column5405"/>
    <tableColumn id="5411" xr3:uid="{65BD5804-8763-46F8-94BC-897700B895B8}" name="Column5406"/>
    <tableColumn id="5412" xr3:uid="{267BA666-3FE6-4124-9FC1-7044041BB74C}" name="Column5407"/>
    <tableColumn id="5413" xr3:uid="{C1AE9275-385B-4A01-A43B-84BDE124A469}" name="Column5408"/>
    <tableColumn id="5414" xr3:uid="{5927F59B-F5E2-4CE0-9E6F-B0B17B10C4C7}" name="Column5409"/>
    <tableColumn id="5415" xr3:uid="{67FB75D8-ED05-4CDE-9227-508258F7B7E5}" name="Column5410"/>
    <tableColumn id="5416" xr3:uid="{E003C309-E0CE-4F47-B29F-8D54D97C3F63}" name="Column5411"/>
    <tableColumn id="5417" xr3:uid="{1465D912-8935-4B4F-BA85-6EB1E7471321}" name="Column5412"/>
    <tableColumn id="5418" xr3:uid="{219B7AC3-2653-4584-ABB4-6D244B7E849B}" name="Column5413"/>
    <tableColumn id="5419" xr3:uid="{BEB69DC8-C019-4ECD-8255-441D5E92DE58}" name="Column5414"/>
    <tableColumn id="5420" xr3:uid="{B5E7C016-EF32-4A23-9587-3E47480802FE}" name="Column5415"/>
    <tableColumn id="5421" xr3:uid="{0948AE2B-6A18-4F28-B9C5-AD260F3A495F}" name="Column5416"/>
    <tableColumn id="5422" xr3:uid="{40BD276F-B0BC-4E62-8C27-073BD14746C0}" name="Column5417"/>
    <tableColumn id="5423" xr3:uid="{C5959925-18A6-46B8-852F-E89C571E639A}" name="Column5418"/>
    <tableColumn id="5424" xr3:uid="{9894C52D-AEC9-4B31-82A1-A78AE6B357C0}" name="Column5419"/>
    <tableColumn id="5425" xr3:uid="{27AB7A99-BFAC-445B-BDD8-A3513EFAC472}" name="Column5420"/>
    <tableColumn id="5426" xr3:uid="{F234ACF5-0A07-4600-9E51-D0F73AC8BA8F}" name="Column5421"/>
    <tableColumn id="5427" xr3:uid="{5C18AB0C-62F6-4A8B-88D8-531E80EC391F}" name="Column5422"/>
    <tableColumn id="5428" xr3:uid="{49C8B842-2D06-455E-9141-994F650534F9}" name="Column5423"/>
    <tableColumn id="5429" xr3:uid="{4F519AF6-70EC-4222-9EEA-3B83F4AC3BD3}" name="Column5424"/>
    <tableColumn id="5430" xr3:uid="{D5B8C8BD-143F-4DBA-97E9-99A2C6EBEFF1}" name="Column5425"/>
    <tableColumn id="5431" xr3:uid="{5AAADA31-B2D5-4971-BC9E-5FEB0A2D2CA6}" name="Column5426"/>
    <tableColumn id="5432" xr3:uid="{070A92C6-4290-4496-9C17-203272F13AF1}" name="Column5427"/>
    <tableColumn id="5433" xr3:uid="{BE819C36-3EF4-4174-912C-3F18DFF135B5}" name="Column5428"/>
    <tableColumn id="5434" xr3:uid="{FACE879A-7A0F-4CF3-BDDC-B5B0ED89C926}" name="Column5429"/>
    <tableColumn id="5435" xr3:uid="{7F757D64-71FE-4F0A-84ED-383FEDA5700D}" name="Column5430"/>
    <tableColumn id="5436" xr3:uid="{D26825AE-757D-4027-8DB9-EB4F1FC197BF}" name="Column5431"/>
    <tableColumn id="5437" xr3:uid="{C3F7724D-E5ED-44B2-838B-3B74B646207A}" name="Column5432"/>
    <tableColumn id="5438" xr3:uid="{65E929CB-5D2D-4FD4-8A80-A0BFE6319F56}" name="Column5433"/>
    <tableColumn id="5439" xr3:uid="{2D4AA4A3-2F73-444F-AA3E-07E7704FABE6}" name="Column5434"/>
    <tableColumn id="5440" xr3:uid="{690389E5-E86B-4A52-BA73-164E1696333A}" name="Column5435"/>
    <tableColumn id="5441" xr3:uid="{5CA3EFCB-3FB4-4394-82DB-3ED910449A0E}" name="Column5436"/>
    <tableColumn id="5442" xr3:uid="{BBE44925-69AD-4C3E-B979-4F3837CA9EE0}" name="Column5437"/>
    <tableColumn id="5443" xr3:uid="{40EA663C-3E03-4010-BF9E-BF5F3DD61CEE}" name="Column5438"/>
    <tableColumn id="5444" xr3:uid="{FAB08F23-5CF0-4C95-9845-ED62213EE101}" name="Column5439"/>
    <tableColumn id="5445" xr3:uid="{16481EA9-F726-45FF-83E7-5EEB0F40EF2B}" name="Column5440"/>
    <tableColumn id="5446" xr3:uid="{F643605C-32CC-451B-B8B0-AE20A34A991D}" name="Column5441"/>
    <tableColumn id="5447" xr3:uid="{9A509EA8-7320-47C8-85DC-3828CF0D2BCE}" name="Column5442"/>
    <tableColumn id="5448" xr3:uid="{D5AE015A-B137-40AF-B983-66D5E2FA4F82}" name="Column5443"/>
    <tableColumn id="5449" xr3:uid="{6F8330F1-1FF7-423D-9F4B-8EE7E55BE1DB}" name="Column5444"/>
    <tableColumn id="5450" xr3:uid="{0DBF9E64-70A3-4C2D-A459-1AA7AEB42AD5}" name="Column5445"/>
    <tableColumn id="5451" xr3:uid="{9720BCC1-20A5-4434-8FF1-F21996572A33}" name="Column5446"/>
    <tableColumn id="5452" xr3:uid="{4F2F8C5E-164F-40D0-8F29-FCF2E2517DC8}" name="Column5447"/>
    <tableColumn id="5453" xr3:uid="{7E124023-9FEA-4F99-BAFC-8D01180CA829}" name="Column5448"/>
    <tableColumn id="5454" xr3:uid="{EEF903DD-6683-4750-A22F-BF6E46BD8036}" name="Column5449"/>
    <tableColumn id="5455" xr3:uid="{49232B83-0C83-4FB2-B15A-D358367D8F75}" name="Column5450"/>
    <tableColumn id="5456" xr3:uid="{C54A4DDD-3D25-4F09-9BA5-589A1A19C0F1}" name="Column5451"/>
    <tableColumn id="5457" xr3:uid="{31C4F0FB-9273-451C-B820-FFAE7342A9EC}" name="Column5452"/>
    <tableColumn id="5458" xr3:uid="{A5A9CA7F-D269-4800-9EAC-89551D4FCA58}" name="Column5453"/>
    <tableColumn id="5459" xr3:uid="{3098F28F-2621-4C63-ADF7-A64858B294F3}" name="Column5454"/>
    <tableColumn id="5460" xr3:uid="{CD55C03D-AC1E-42BD-97B1-0B0185978745}" name="Column5455"/>
    <tableColumn id="5461" xr3:uid="{5793A6EB-6283-47A1-BACD-FAACFECDFC42}" name="Column5456"/>
    <tableColumn id="5462" xr3:uid="{26A88E4C-B7B7-4002-88AF-E1EA8CD18395}" name="Column5457"/>
    <tableColumn id="5463" xr3:uid="{87D548FC-ED8D-4406-BA65-F1376CC2DDB0}" name="Column5458"/>
    <tableColumn id="5464" xr3:uid="{D38A23DD-CE49-4195-83BA-03F382267A6C}" name="Column5459"/>
    <tableColumn id="5465" xr3:uid="{5B669D2E-B74D-49D0-914E-652940FF10AB}" name="Column5460"/>
    <tableColumn id="5466" xr3:uid="{59CBABA6-0C1C-4CFB-92C6-8994E667DB30}" name="Column5461"/>
    <tableColumn id="5467" xr3:uid="{F2D4764E-A579-4DAB-88E1-A5EB26957A7E}" name="Column5462"/>
    <tableColumn id="5468" xr3:uid="{C79C41DF-EB98-45BE-99A0-CC49D92A0933}" name="Column5463"/>
    <tableColumn id="5469" xr3:uid="{E3F6633B-A818-4ADB-B9E9-A282894D9BBC}" name="Column5464"/>
    <tableColumn id="5470" xr3:uid="{2C8C75D6-706B-47E4-AB6F-711B03F96E29}" name="Column5465"/>
    <tableColumn id="5471" xr3:uid="{D7EF8546-7063-48DA-A4A8-BC0B6C1C3036}" name="Column5466"/>
    <tableColumn id="5472" xr3:uid="{2387EF3A-57BA-4214-9CB3-5A8030BBA8F9}" name="Column5467"/>
    <tableColumn id="5473" xr3:uid="{17C1FE01-249F-48A8-AC82-3F180700C852}" name="Column5468"/>
    <tableColumn id="5474" xr3:uid="{FF60B8DC-0A4D-491B-8A27-97155CDBED83}" name="Column5469"/>
    <tableColumn id="5475" xr3:uid="{85E09FFA-C7CC-4FF8-A621-BD16D6873235}" name="Column5470"/>
    <tableColumn id="5476" xr3:uid="{146DE096-0E5A-4E4C-8247-141D707E1E41}" name="Column5471"/>
    <tableColumn id="5477" xr3:uid="{CE56B756-D616-4203-8A7A-2AE3A12CAEA0}" name="Column5472"/>
    <tableColumn id="5478" xr3:uid="{978991F6-A261-45F3-A8B8-DDA8F35593A1}" name="Column5473"/>
    <tableColumn id="5479" xr3:uid="{8AC703D2-69D4-494E-885B-9CAB233B6AAB}" name="Column5474"/>
    <tableColumn id="5480" xr3:uid="{6709CEA7-023A-4183-8868-F76810B4FF55}" name="Column5475"/>
    <tableColumn id="5481" xr3:uid="{8D151725-26A8-4ED6-8B1A-82D9FDCBBA93}" name="Column5476"/>
    <tableColumn id="5482" xr3:uid="{00320FD5-4A34-4BA2-91A4-1AAB38F76FC4}" name="Column5477"/>
    <tableColumn id="5483" xr3:uid="{507B349F-C198-4729-8C35-28E6106B36EE}" name="Column5478"/>
    <tableColumn id="5484" xr3:uid="{0AF1A3EC-2A7A-495A-976D-CE000B2FB3A4}" name="Column5479"/>
    <tableColumn id="5485" xr3:uid="{111112AD-6A69-4CD6-B4B0-BA9BCD44197C}" name="Column5480"/>
    <tableColumn id="5486" xr3:uid="{8451495F-6DB3-4043-8CE2-9581BCEEB9AB}" name="Column5481"/>
    <tableColumn id="5487" xr3:uid="{87210D83-F8E4-478C-816B-6C2B6B8E4F2F}" name="Column5482"/>
    <tableColumn id="5488" xr3:uid="{12F04ED6-D06F-4730-80C3-A2C1FC171F2C}" name="Column5483"/>
    <tableColumn id="5489" xr3:uid="{FB7EA8C4-53F8-439D-8409-C491D9179592}" name="Column5484"/>
    <tableColumn id="5490" xr3:uid="{E3377CD1-C7C2-45D4-8024-2762F5F2090C}" name="Column5485"/>
    <tableColumn id="5491" xr3:uid="{E0A9D884-FE94-42C8-9708-3FFDFF570ACD}" name="Column5486"/>
    <tableColumn id="5492" xr3:uid="{7392E5AD-6140-4CF6-8A4B-8F21604C2867}" name="Column5487"/>
    <tableColumn id="5493" xr3:uid="{76B627F7-C4C2-4154-A0DA-0665CCC347AB}" name="Column5488"/>
    <tableColumn id="5494" xr3:uid="{7FF6BEF0-3DD1-43EB-9907-C2B7DE9F1542}" name="Column5489"/>
    <tableColumn id="5495" xr3:uid="{72FD1984-3A40-4255-9923-8AD616F87069}" name="Column5490"/>
    <tableColumn id="5496" xr3:uid="{4B5EF0AF-EA13-4F94-8EE2-016427D4A66C}" name="Column5491"/>
    <tableColumn id="5497" xr3:uid="{95712098-8741-4135-BD77-FEA31BC5444E}" name="Column5492"/>
    <tableColumn id="5498" xr3:uid="{8D826C00-BE99-4CD1-80CF-B28BB0C07285}" name="Column5493"/>
    <tableColumn id="5499" xr3:uid="{850AD3E4-FC8F-49E1-A13B-A42E019F037B}" name="Column5494"/>
    <tableColumn id="5500" xr3:uid="{06C4DBF4-4FFE-4F4E-B4BE-D6A7FB161A2B}" name="Column5495"/>
    <tableColumn id="5501" xr3:uid="{FCC8074C-3633-44DB-822C-8D02D13B1E77}" name="Column5496"/>
    <tableColumn id="5502" xr3:uid="{C01B416F-B00B-4817-B67C-C1845525CD88}" name="Column5497"/>
    <tableColumn id="5503" xr3:uid="{D2B2AE8D-F7BD-40CD-AEE8-40EC3772E595}" name="Column5498"/>
    <tableColumn id="5504" xr3:uid="{BC5BAE92-F046-44A8-BB60-5C6093EE551D}" name="Column5499"/>
    <tableColumn id="5505" xr3:uid="{903590E6-60C6-4E84-8BFB-A4C3B02310AA}" name="Column5500"/>
    <tableColumn id="5506" xr3:uid="{89FA87BF-838B-4295-8C60-5D7B668A020D}" name="Column5501"/>
    <tableColumn id="5507" xr3:uid="{2491026A-7BD7-4A4D-9FC8-1EC8D4F762F4}" name="Column5502"/>
    <tableColumn id="5508" xr3:uid="{A3BED63E-973D-4FCF-8B23-47A2ACDBE629}" name="Column5503"/>
    <tableColumn id="5509" xr3:uid="{CA264974-8E9A-4496-AF98-E48DC44AFB74}" name="Column5504"/>
    <tableColumn id="5510" xr3:uid="{9E9BD950-291C-462C-B70E-E65140E952C8}" name="Column5505"/>
    <tableColumn id="5511" xr3:uid="{2F40A5D8-EBFD-42C7-96F0-BD17D9208E4E}" name="Column5506"/>
    <tableColumn id="5512" xr3:uid="{76AA04C2-4AC1-430C-A19E-D7B6A21F9EF0}" name="Column5507"/>
    <tableColumn id="5513" xr3:uid="{A92DC6A2-5EF6-44A8-B7D4-8D2B36794868}" name="Column5508"/>
    <tableColumn id="5514" xr3:uid="{7B96EAD2-79C8-46BF-95D9-2E7C94502253}" name="Column5509"/>
    <tableColumn id="5515" xr3:uid="{C827B696-34C3-4931-BCAD-DA882BEA8CF4}" name="Column5510"/>
    <tableColumn id="5516" xr3:uid="{3B579BEB-957C-433B-A463-5092999C7E37}" name="Column5511"/>
    <tableColumn id="5517" xr3:uid="{3864D190-A841-40ED-AA72-A286F1594A7B}" name="Column5512"/>
    <tableColumn id="5518" xr3:uid="{F55726EE-720F-4ED5-9C85-CBF51839ED53}" name="Column5513"/>
    <tableColumn id="5519" xr3:uid="{EC11FE57-296E-414A-9FED-64E31D9D1539}" name="Column5514"/>
    <tableColumn id="5520" xr3:uid="{9DD8254F-AC88-43AE-930F-DF4B5844EBE6}" name="Column5515"/>
    <tableColumn id="5521" xr3:uid="{EFA60C8B-A18B-4634-9060-7341704B83B6}" name="Column5516"/>
    <tableColumn id="5522" xr3:uid="{9EE6D9AE-8F84-4394-9C40-9797CF187F7A}" name="Column5517"/>
    <tableColumn id="5523" xr3:uid="{9DDA9614-F59D-49C5-96AA-31B5830E3CA2}" name="Column5518"/>
    <tableColumn id="5524" xr3:uid="{9DBB9978-2CF2-4D35-A99A-2CA4CECE3075}" name="Column5519"/>
    <tableColumn id="5525" xr3:uid="{CD4EFC82-0B4A-4236-B570-7A4876765A50}" name="Column5520"/>
    <tableColumn id="5526" xr3:uid="{7AA4F253-E871-4D98-98A2-9E60F9BC0C05}" name="Column5521"/>
    <tableColumn id="5527" xr3:uid="{E6C124E5-42B7-449A-ACA5-1AC6268D461E}" name="Column5522"/>
    <tableColumn id="5528" xr3:uid="{F0721951-1731-420F-A4C1-F2C8B8921CBE}" name="Column5523"/>
    <tableColumn id="5529" xr3:uid="{D9D99664-48CF-449F-9266-521EB17CB416}" name="Column5524"/>
    <tableColumn id="5530" xr3:uid="{52624DF7-C457-48FE-AA12-09C4F23FF328}" name="Column5525"/>
    <tableColumn id="5531" xr3:uid="{F337CECE-2E95-4928-9460-0446EF0CC9CD}" name="Column5526"/>
    <tableColumn id="5532" xr3:uid="{BB122501-83EC-47B3-9146-829B90B801C3}" name="Column5527"/>
    <tableColumn id="5533" xr3:uid="{3CCB4DEE-FBF8-4129-A932-B8F955695A6D}" name="Column5528"/>
    <tableColumn id="5534" xr3:uid="{4A49F8A0-B51A-42D4-AE59-7A6FB511259F}" name="Column5529"/>
    <tableColumn id="5535" xr3:uid="{044768E1-234E-4509-B3EE-65FE35EB9031}" name="Column5530"/>
    <tableColumn id="5536" xr3:uid="{A77456DB-3CF1-4509-80A9-890483D48FFF}" name="Column5531"/>
    <tableColumn id="5537" xr3:uid="{0EB39C34-05A9-46FE-A072-0793C21809FA}" name="Column5532"/>
    <tableColumn id="5538" xr3:uid="{A0D3104D-9E36-4B99-9588-AD2F3D6B6CF9}" name="Column5533"/>
    <tableColumn id="5539" xr3:uid="{64D8E27E-DB7E-47A6-BDEB-0C39A075C368}" name="Column5534"/>
    <tableColumn id="5540" xr3:uid="{D829DD5B-86CC-4A70-9B89-B6D7B23D5331}" name="Column5535"/>
    <tableColumn id="5541" xr3:uid="{9B8A8E70-C697-48A0-B4BA-F7554D72E346}" name="Column5536"/>
    <tableColumn id="5542" xr3:uid="{328EB117-5DC2-425C-860B-8E33D0DA9DBB}" name="Column5537"/>
    <tableColumn id="5543" xr3:uid="{A17204A0-48FC-4A4B-AFC2-7AB52AEB0703}" name="Column5538"/>
    <tableColumn id="5544" xr3:uid="{A4E2C52B-7B72-4B05-B25A-E9C67307C2FF}" name="Column5539"/>
    <tableColumn id="5545" xr3:uid="{57E6DAA0-8021-4DEE-98D0-64F1C4E92335}" name="Column5540"/>
    <tableColumn id="5546" xr3:uid="{BB4F0FFA-B9FC-4BE2-814D-0E3214C06C09}" name="Column5541"/>
    <tableColumn id="5547" xr3:uid="{A7BC635D-08A3-4912-9607-569B77BC0D3D}" name="Column5542"/>
    <tableColumn id="5548" xr3:uid="{AD31C121-CF69-4EFD-A2F9-DE5A6A7DA6AB}" name="Column5543"/>
    <tableColumn id="5549" xr3:uid="{98349617-E9FB-4AA8-9E31-EEDD73A7EEF7}" name="Column5544"/>
    <tableColumn id="5550" xr3:uid="{D8703BCC-65AB-40AB-A4B7-3BC3625FDE76}" name="Column5545"/>
    <tableColumn id="5551" xr3:uid="{B5758606-0F3B-43E9-B12E-BF026E3A28A8}" name="Column5546"/>
    <tableColumn id="5552" xr3:uid="{7D24D160-1FF1-4BFF-99DB-CC6C7F3984E8}" name="Column5547"/>
    <tableColumn id="5553" xr3:uid="{48D40A6C-84D6-4065-93B9-3609865A8B94}" name="Column5548"/>
    <tableColumn id="5554" xr3:uid="{6415E5E2-6EF6-4447-96C5-A9C394EC2FDE}" name="Column5549"/>
    <tableColumn id="5555" xr3:uid="{1CA3ED94-16C2-45E9-BF8C-5FCC0E71792D}" name="Column5550"/>
    <tableColumn id="5556" xr3:uid="{223E7281-5E00-466E-B790-F98B47644419}" name="Column5551"/>
    <tableColumn id="5557" xr3:uid="{694E671A-F354-43CC-8578-055E0B2BA883}" name="Column5552"/>
    <tableColumn id="5558" xr3:uid="{08C191FD-EC0D-4A8B-861D-DCBB3553BD4F}" name="Column5553"/>
    <tableColumn id="5559" xr3:uid="{8650CD34-D2E6-45B0-8DEB-0B56B8BF63E6}" name="Column5554"/>
    <tableColumn id="5560" xr3:uid="{18842D94-05CB-4D0F-8893-FA4C0C47FF64}" name="Column5555"/>
    <tableColumn id="5561" xr3:uid="{BADDBC16-D669-4D29-948E-1F20A647CD8A}" name="Column5556"/>
    <tableColumn id="5562" xr3:uid="{53C8EA78-9325-4FA0-8BCF-1A2538200698}" name="Column5557"/>
    <tableColumn id="5563" xr3:uid="{79CCC593-A8FD-4A20-94BF-EA1DCB521D02}" name="Column5558"/>
    <tableColumn id="5564" xr3:uid="{34829750-2E29-4FF4-B57B-991656A4D260}" name="Column5559"/>
    <tableColumn id="5565" xr3:uid="{97440064-BDDD-4B97-9365-19A7372FCDBB}" name="Column5560"/>
    <tableColumn id="5566" xr3:uid="{535495CE-D23D-4248-9458-190F718AE57A}" name="Column5561"/>
    <tableColumn id="5567" xr3:uid="{3CF43326-FE1D-41A2-B6DD-8D361DFA1D04}" name="Column5562"/>
    <tableColumn id="5568" xr3:uid="{9F64093A-89F5-4A0C-B135-11BC65311758}" name="Column5563"/>
    <tableColumn id="5569" xr3:uid="{A70EF63A-8A2F-42E8-8AE9-04F7385BD9DC}" name="Column5564"/>
    <tableColumn id="5570" xr3:uid="{0F57AA68-C0D5-4ED5-B042-484A3B7B238D}" name="Column5565"/>
    <tableColumn id="5571" xr3:uid="{E0BB6611-FEF4-4428-85C4-A37F03DCE479}" name="Column5566"/>
    <tableColumn id="5572" xr3:uid="{8F5F73D3-F1EB-43DD-897C-23164B7EE216}" name="Column5567"/>
    <tableColumn id="5573" xr3:uid="{81EC4F87-1C29-4F85-AFA7-FBBC89836C1C}" name="Column5568"/>
    <tableColumn id="5574" xr3:uid="{A92BA292-4608-480F-B38E-C9312D81A5A0}" name="Column5569"/>
    <tableColumn id="5575" xr3:uid="{70665316-2B9A-44D6-9C44-F952D2C4E890}" name="Column5570"/>
    <tableColumn id="5576" xr3:uid="{A999A7A8-F642-42B1-BA37-C31D73A09A79}" name="Column5571"/>
    <tableColumn id="5577" xr3:uid="{8DCB6A09-30B5-4CDE-B847-02ED7236F3F4}" name="Column5572"/>
    <tableColumn id="5578" xr3:uid="{874F5AAE-A1DC-47CF-BF07-8232377AB9E7}" name="Column5573"/>
    <tableColumn id="5579" xr3:uid="{19AF080C-1B2A-4973-BCB8-AF86E078CE77}" name="Column5574"/>
    <tableColumn id="5580" xr3:uid="{8DB2D6D7-7578-4764-9D79-EFC0A16E37B2}" name="Column5575"/>
    <tableColumn id="5581" xr3:uid="{68EC06E0-6D2C-4E6F-B4E7-640989EAE2F8}" name="Column5576"/>
    <tableColumn id="5582" xr3:uid="{F9A777E9-75D0-4D73-8D5A-50539F8C346B}" name="Column5577"/>
    <tableColumn id="5583" xr3:uid="{5A8B03F8-E9BB-4DA5-9321-59D7BFA8B517}" name="Column5578"/>
    <tableColumn id="5584" xr3:uid="{28995022-202A-44C9-B590-C2660742A5F0}" name="Column5579"/>
    <tableColumn id="5585" xr3:uid="{30C64F5D-5BDF-493F-AD0F-365E3B035F49}" name="Column5580"/>
    <tableColumn id="5586" xr3:uid="{6146585B-7DB5-4685-8EDD-EB1ED65653EE}" name="Column5581"/>
    <tableColumn id="5587" xr3:uid="{7F9CA219-FBB3-46B0-AAA8-2A9E00AF8746}" name="Column5582"/>
    <tableColumn id="5588" xr3:uid="{C863420B-F557-4AA2-8143-9628D582C7CD}" name="Column5583"/>
    <tableColumn id="5589" xr3:uid="{D392C8A9-3110-4784-83F9-EBBD6B4097D8}" name="Column5584"/>
    <tableColumn id="5590" xr3:uid="{A0E9C28E-926A-48D5-8168-7123E6861EE9}" name="Column5585"/>
    <tableColumn id="5591" xr3:uid="{CFD1BD85-E6B4-423F-B668-BCA27AF5C708}" name="Column5586"/>
    <tableColumn id="5592" xr3:uid="{B292357C-E247-4DEB-996C-ACF4B0C0A03D}" name="Column5587"/>
    <tableColumn id="5593" xr3:uid="{2ACB91B4-F3EC-430D-B7FD-962DC5330A0C}" name="Column5588"/>
    <tableColumn id="5594" xr3:uid="{27A08830-3185-480C-808A-AEE8C209933E}" name="Column5589"/>
    <tableColumn id="5595" xr3:uid="{686042C8-413B-4CAA-B848-5DD14781D62B}" name="Column5590"/>
    <tableColumn id="5596" xr3:uid="{A989F231-26C1-4120-A2A5-E800A43DFBDA}" name="Column5591"/>
    <tableColumn id="5597" xr3:uid="{556E31A2-9377-497A-993E-3944368CA337}" name="Column5592"/>
    <tableColumn id="5598" xr3:uid="{0599136B-A5EC-43EC-81F5-1248E2F97798}" name="Column5593"/>
    <tableColumn id="5599" xr3:uid="{8D05FC61-F3FE-4AAE-AC78-57F1D4D4C637}" name="Column5594"/>
    <tableColumn id="5600" xr3:uid="{D7FC4A17-1746-4777-BA1C-4DEEEC0E1497}" name="Column5595"/>
    <tableColumn id="5601" xr3:uid="{D24479EA-13A5-4EDC-99FD-F5E588C79C1A}" name="Column5596"/>
    <tableColumn id="5602" xr3:uid="{891CC383-F07D-4122-8DFE-BF1DA6F3B9B2}" name="Column5597"/>
    <tableColumn id="5603" xr3:uid="{B40C37BF-74ED-4007-93CB-7A80D6A634C8}" name="Column5598"/>
    <tableColumn id="5604" xr3:uid="{D4E19D68-2742-443A-A031-28B3F2DC321C}" name="Column5599"/>
    <tableColumn id="5605" xr3:uid="{C0352BFB-F1D7-4F5A-95B0-551DC2D31B6D}" name="Column5600"/>
    <tableColumn id="5606" xr3:uid="{51A62D38-1ABE-4C43-B87B-FCBF84669F04}" name="Column5601"/>
    <tableColumn id="5607" xr3:uid="{9594826B-40E0-45FE-BA0D-8C340B073BB6}" name="Column5602"/>
    <tableColumn id="5608" xr3:uid="{6DDF0BE2-A333-423A-8A1D-FB03DE11AA80}" name="Column5603"/>
    <tableColumn id="5609" xr3:uid="{9FE86EF8-8365-4817-8250-1F1A665F743D}" name="Column5604"/>
    <tableColumn id="5610" xr3:uid="{EB1B03E7-FD94-4E08-86A0-319816DC135A}" name="Column5605"/>
    <tableColumn id="5611" xr3:uid="{38839E49-CF93-498E-A99B-3A5FD6A8579A}" name="Column5606"/>
    <tableColumn id="5612" xr3:uid="{CAD919E4-0D2D-4A69-BBB6-77AFC519C90D}" name="Column5607"/>
    <tableColumn id="5613" xr3:uid="{7CB9C3F0-A61B-4564-97A4-E9BD9845A6B0}" name="Column5608"/>
    <tableColumn id="5614" xr3:uid="{0341D312-DB15-4BD1-84ED-A2FB086A8ED2}" name="Column5609"/>
    <tableColumn id="5615" xr3:uid="{A86ACABB-A21E-44C5-9375-44AA0FA8BFD8}" name="Column5610"/>
    <tableColumn id="5616" xr3:uid="{9AF91B03-58BB-490D-805C-4412F5775F8E}" name="Column5611"/>
    <tableColumn id="5617" xr3:uid="{AFF06C51-B1CF-428B-A7A1-3B20B5A6D534}" name="Column5612"/>
    <tableColumn id="5618" xr3:uid="{E4D5F202-D0EC-46DE-8B88-35CF5551A589}" name="Column5613"/>
    <tableColumn id="5619" xr3:uid="{AA5D533B-1582-426C-B1D2-B1A086E05F8F}" name="Column5614"/>
    <tableColumn id="5620" xr3:uid="{7FEC5BD4-FCAA-4403-9810-2594E0852A72}" name="Column5615"/>
    <tableColumn id="5621" xr3:uid="{590ACC50-9B9B-4959-94EE-D7112A1A1B67}" name="Column5616"/>
    <tableColumn id="5622" xr3:uid="{D198F0B2-0B1C-420D-997E-BFBDAFA6518B}" name="Column5617"/>
    <tableColumn id="5623" xr3:uid="{CCCDA1D2-71C6-4C4D-A2B5-495037A5D52F}" name="Column5618"/>
    <tableColumn id="5624" xr3:uid="{D5951709-1E2E-493C-80BB-7335EE0ACE05}" name="Column5619"/>
    <tableColumn id="5625" xr3:uid="{AF7430F6-80F5-4C43-A0F1-3A7E35040CBF}" name="Column5620"/>
    <tableColumn id="5626" xr3:uid="{7FC9C7A8-9BA8-4CAC-BF34-ADF3464798EA}" name="Column5621"/>
    <tableColumn id="5627" xr3:uid="{7B7383E4-090D-4F57-ABA1-47BEBF2ECD23}" name="Column5622"/>
    <tableColumn id="5628" xr3:uid="{F8E2F227-5CD5-47EE-AAD6-82A8F5B03491}" name="Column5623"/>
    <tableColumn id="5629" xr3:uid="{B10B10DC-F57B-4712-A0D3-42798FA874CE}" name="Column5624"/>
    <tableColumn id="5630" xr3:uid="{2CA1F160-C4C6-4463-B21E-8AAC6D8E0788}" name="Column5625"/>
    <tableColumn id="5631" xr3:uid="{94C71D37-6033-498A-A8CD-1480BD7894CF}" name="Column5626"/>
    <tableColumn id="5632" xr3:uid="{1D1365C2-2CED-4F37-B69D-693E2126F95F}" name="Column5627"/>
    <tableColumn id="5633" xr3:uid="{85F05D06-D0A7-4EE2-9D22-BD8A75373493}" name="Column5628"/>
    <tableColumn id="5634" xr3:uid="{36DECB7D-2311-4BC7-9093-4D01EF8B6871}" name="Column5629"/>
    <tableColumn id="5635" xr3:uid="{048A66F7-C11F-460F-9431-606FE5AC4D6E}" name="Column5630"/>
    <tableColumn id="5636" xr3:uid="{69AFACB7-6E76-4EFF-936D-670FA87EB137}" name="Column5631"/>
    <tableColumn id="5637" xr3:uid="{6AAACBCE-8244-4A98-BE85-E865FBDD25C6}" name="Column5632"/>
    <tableColumn id="5638" xr3:uid="{0AD86B57-B6FD-4DFB-86FD-85B7CCEFA2BF}" name="Column5633"/>
    <tableColumn id="5639" xr3:uid="{E7F7B741-94B6-48E9-824C-CE67D21E1AE5}" name="Column5634"/>
    <tableColumn id="5640" xr3:uid="{AB908EFA-3B7C-45C4-A610-A200A3870EEC}" name="Column5635"/>
    <tableColumn id="5641" xr3:uid="{73473370-690E-4CFE-BA7D-BD55C86FD48A}" name="Column5636"/>
    <tableColumn id="5642" xr3:uid="{12E6C4D2-E519-4542-AF76-5382764D9509}" name="Column5637"/>
    <tableColumn id="5643" xr3:uid="{EF81CA91-3A41-4F31-9E7F-65DD33A66AD0}" name="Column5638"/>
    <tableColumn id="5644" xr3:uid="{13376A77-FF36-4E7A-B7C4-989E74DF0CC5}" name="Column5639"/>
    <tableColumn id="5645" xr3:uid="{3D5EE15A-18ED-457C-85F5-2D3E40FD8D5A}" name="Column5640"/>
    <tableColumn id="5646" xr3:uid="{962B8BF2-CDB7-48ED-8DCA-BBD9AA7F1865}" name="Column5641"/>
    <tableColumn id="5647" xr3:uid="{8E29B91B-5762-4BD3-AEA5-E4A38B817D24}" name="Column5642"/>
    <tableColumn id="5648" xr3:uid="{24DE361F-9B27-4895-9B8B-0423ACE3E717}" name="Column5643"/>
    <tableColumn id="5649" xr3:uid="{08D2F5F9-1271-448E-820D-8CD5AA93E998}" name="Column5644"/>
    <tableColumn id="5650" xr3:uid="{342AFA36-8A82-4F1A-8894-C75DF0B1C28F}" name="Column5645"/>
    <tableColumn id="5651" xr3:uid="{F496FCAF-2E7C-43E5-8E8B-EA9B4D40433E}" name="Column5646"/>
    <tableColumn id="5652" xr3:uid="{67721BAC-9A27-4043-BB4A-7E62BC1D97D1}" name="Column5647"/>
    <tableColumn id="5653" xr3:uid="{4584E3BE-0676-45A6-9F10-32F7E02BA0BB}" name="Column5648"/>
    <tableColumn id="5654" xr3:uid="{2A904367-7CD0-426D-9367-B5E4478C2681}" name="Column5649"/>
    <tableColumn id="5655" xr3:uid="{3E186126-47DB-48E4-BA59-3CA6930FBFD2}" name="Column5650"/>
    <tableColumn id="5656" xr3:uid="{1382DE53-68CF-4C8B-8A9C-48D7F526B342}" name="Column5651"/>
    <tableColumn id="5657" xr3:uid="{C9F6F030-D0A3-42DF-A3DF-9A109D92057A}" name="Column5652"/>
    <tableColumn id="5658" xr3:uid="{3CC2A58D-F06F-4FBE-BEBD-E0D7463C424C}" name="Column5653"/>
    <tableColumn id="5659" xr3:uid="{330B46AC-F340-43E1-9F3A-631404362F38}" name="Column5654"/>
    <tableColumn id="5660" xr3:uid="{4977D2A8-EFC5-4D64-BD7D-8ED72334A738}" name="Column5655"/>
    <tableColumn id="5661" xr3:uid="{98771545-5625-4620-B9DF-449A4B42337F}" name="Column5656"/>
    <tableColumn id="5662" xr3:uid="{B2B97F43-5145-414A-8058-856307F6A9C4}" name="Column5657"/>
    <tableColumn id="5663" xr3:uid="{33050751-A67C-42C9-8C42-E52381E30F85}" name="Column5658"/>
    <tableColumn id="5664" xr3:uid="{024C2C44-12C0-4AAB-A11C-2BDB3AEEEEA5}" name="Column5659"/>
    <tableColumn id="5665" xr3:uid="{7CB22D41-5D9E-4EB3-8581-F93F2D4C2CA0}" name="Column5660"/>
    <tableColumn id="5666" xr3:uid="{3FDC5F01-DC96-4135-90EF-E36FB5DF46D5}" name="Column5661"/>
    <tableColumn id="5667" xr3:uid="{BA135162-F9E8-41E8-9821-822DD8B98AE2}" name="Column5662"/>
    <tableColumn id="5668" xr3:uid="{1D9021D4-22BA-4CFC-A5E6-AA4A6BF18C5A}" name="Column5663"/>
    <tableColumn id="5669" xr3:uid="{6BCCD983-B4E2-4247-BD0A-A32DEBE7DF7B}" name="Column5664"/>
    <tableColumn id="5670" xr3:uid="{710A8813-D54C-4AE5-8792-3B19FF91C388}" name="Column5665"/>
    <tableColumn id="5671" xr3:uid="{847749F2-5739-4082-8F4D-3B9C7134C414}" name="Column5666"/>
    <tableColumn id="5672" xr3:uid="{2CAC664B-4A03-4AE7-9115-D816D8994F1C}" name="Column5667"/>
    <tableColumn id="5673" xr3:uid="{AEF008EB-106C-4D23-B1A4-3E291FA9C0C6}" name="Column5668"/>
    <tableColumn id="5674" xr3:uid="{25BEFBAE-73A3-4CBD-B113-91939E633568}" name="Column5669"/>
    <tableColumn id="5675" xr3:uid="{097F2068-9350-4BD8-A267-96CA829C6749}" name="Column5670"/>
    <tableColumn id="5676" xr3:uid="{F6C813A2-52F4-452B-A706-229446472F3B}" name="Column5671"/>
    <tableColumn id="5677" xr3:uid="{C25DA7E0-2200-48F6-A8D8-3450730E89FC}" name="Column5672"/>
    <tableColumn id="5678" xr3:uid="{CF3A43D9-57E0-4B72-8237-DF68676F4B19}" name="Column5673"/>
    <tableColumn id="5679" xr3:uid="{CB46DDE3-6A03-4562-B28D-769704B149F7}" name="Column5674"/>
    <tableColumn id="5680" xr3:uid="{98F9B569-D0A1-48D8-BCCB-49BB57BB9F6A}" name="Column5675"/>
    <tableColumn id="5681" xr3:uid="{EA2F880D-D748-4574-8424-1620EE6E3C46}" name="Column5676"/>
    <tableColumn id="5682" xr3:uid="{8C84B5C6-37B7-449A-9484-E44C06148A2B}" name="Column5677"/>
    <tableColumn id="5683" xr3:uid="{7F8C7543-D410-4EBD-9326-FEFAD0C4FB9D}" name="Column5678"/>
    <tableColumn id="5684" xr3:uid="{C0823233-5FDE-42A5-B7E8-CD0104C34ED3}" name="Column5679"/>
    <tableColumn id="5685" xr3:uid="{4721BA5F-1DBA-462D-8B85-38690E74BC58}" name="Column5680"/>
    <tableColumn id="5686" xr3:uid="{517C0F4B-9DA7-4705-A967-17E1B324F6F8}" name="Column5681"/>
    <tableColumn id="5687" xr3:uid="{8A9DBBC9-2DF8-4B88-9341-9F8E85B13117}" name="Column5682"/>
    <tableColumn id="5688" xr3:uid="{35DCE9BB-FDD7-47A5-9BDE-2F635E7C4D23}" name="Column5683"/>
    <tableColumn id="5689" xr3:uid="{92E2E286-5411-4045-9929-8A38C46C5A29}" name="Column5684"/>
    <tableColumn id="5690" xr3:uid="{18A1555F-C386-45A0-8DDB-E138806168B2}" name="Column5685"/>
    <tableColumn id="5691" xr3:uid="{70351A37-CA8B-4552-8D95-A30BDEFED815}" name="Column5686"/>
    <tableColumn id="5692" xr3:uid="{9E2CCD4B-55F5-4E1D-814F-EBE51E2228EE}" name="Column5687"/>
    <tableColumn id="5693" xr3:uid="{8AC9566D-6ED1-45ED-B33F-34FCF0CC2396}" name="Column5688"/>
    <tableColumn id="5694" xr3:uid="{9D7755C0-CF4A-45AB-9B5F-8CAC13C99143}" name="Column5689"/>
    <tableColumn id="5695" xr3:uid="{AC9DE5A4-1209-4F01-AB66-C0CDA8410054}" name="Column5690"/>
    <tableColumn id="5696" xr3:uid="{808CDFAF-B191-4A40-BB50-F1700588ADB8}" name="Column5691"/>
    <tableColumn id="5697" xr3:uid="{CD628B13-3BAD-4760-A1AA-7B8EB15DDBF5}" name="Column5692"/>
    <tableColumn id="5698" xr3:uid="{0F70EF57-2E2E-4762-B28D-CE1F667E0BCE}" name="Column5693"/>
    <tableColumn id="5699" xr3:uid="{AF48CFDE-7980-4A24-B957-12D50B3257F4}" name="Column5694"/>
    <tableColumn id="5700" xr3:uid="{C2D937AC-E2F5-46D1-9FEE-23FD919B3F25}" name="Column5695"/>
    <tableColumn id="5701" xr3:uid="{B32FE2BE-6EC9-4EB5-9718-19055F4776C1}" name="Column5696"/>
    <tableColumn id="5702" xr3:uid="{EA7DE07A-3FA6-49A1-83AA-3B5A668F0A12}" name="Column5697"/>
    <tableColumn id="5703" xr3:uid="{8E0F37FE-A33F-4751-8DE4-5CC5C9ED2B6F}" name="Column5698"/>
    <tableColumn id="5704" xr3:uid="{AA1FF649-DF0B-4123-897A-2954E130D3C3}" name="Column5699"/>
    <tableColumn id="5705" xr3:uid="{A4E7E9A2-38F1-4D0E-8BEF-2E70AB4CE47D}" name="Column5700"/>
    <tableColumn id="5706" xr3:uid="{4EE77142-3A59-4B86-B8F5-A42731B73DAA}" name="Column5701"/>
    <tableColumn id="5707" xr3:uid="{854B1C3C-E484-4F60-8EFA-03413372B441}" name="Column5702"/>
    <tableColumn id="5708" xr3:uid="{CF74C01A-5FAF-4291-9F4D-8A5053F4B45F}" name="Column5703"/>
    <tableColumn id="5709" xr3:uid="{61144BC7-6AFA-4939-A6F1-A1140236456B}" name="Column5704"/>
    <tableColumn id="5710" xr3:uid="{5CDF841E-432F-46B1-838D-320BEE84B378}" name="Column5705"/>
    <tableColumn id="5711" xr3:uid="{927C8E16-54EF-4863-ABA3-E0B1F8A28544}" name="Column5706"/>
    <tableColumn id="5712" xr3:uid="{1CF6F278-9A74-405F-BE14-507EA5E153D0}" name="Column5707"/>
    <tableColumn id="5713" xr3:uid="{FF9894B7-7038-4F76-BC7D-7E6F2C813423}" name="Column5708"/>
    <tableColumn id="5714" xr3:uid="{B70BB146-C94B-4989-9F98-545BB70DC326}" name="Column5709"/>
    <tableColumn id="5715" xr3:uid="{B7C298DC-ED38-4A54-AFCD-02F908AE0C0D}" name="Column5710"/>
    <tableColumn id="5716" xr3:uid="{C71F0DED-A394-4DC0-8383-CD769D56A379}" name="Column5711"/>
    <tableColumn id="5717" xr3:uid="{BA94629C-1DCA-4E16-8BFF-116BFD011C6C}" name="Column5712"/>
    <tableColumn id="5718" xr3:uid="{E7F586D0-71AF-4831-9A03-C85A16956BF4}" name="Column5713"/>
    <tableColumn id="5719" xr3:uid="{8E1C5573-B787-4119-A9BC-E7E9E565661B}" name="Column5714"/>
    <tableColumn id="5720" xr3:uid="{5FB4FF2D-2B3E-44C6-AEDC-61AA56B8E43B}" name="Column5715"/>
    <tableColumn id="5721" xr3:uid="{D1EAFB8D-D8AB-49EA-A2AA-B95F2DC40ABA}" name="Column5716"/>
    <tableColumn id="5722" xr3:uid="{89FDF43F-9F19-4A26-AB9B-A6E9162F8D0A}" name="Column5717"/>
    <tableColumn id="5723" xr3:uid="{D144770D-336B-4870-981A-8049DCFD88DC}" name="Column5718"/>
    <tableColumn id="5724" xr3:uid="{821222C2-5FDE-45E0-BECE-E1033C3F1A71}" name="Column5719"/>
    <tableColumn id="5725" xr3:uid="{4EEEDE02-3B56-45CA-A5BF-01D303FA536B}" name="Column5720"/>
    <tableColumn id="5726" xr3:uid="{AE6B43F5-87A9-491A-B72D-ABC9E283938A}" name="Column5721"/>
    <tableColumn id="5727" xr3:uid="{E353EED9-CE92-4F0C-A719-10A031757602}" name="Column5722"/>
    <tableColumn id="5728" xr3:uid="{976DAC83-E668-48F4-96A8-9A7D05A55EF7}" name="Column5723"/>
    <tableColumn id="5729" xr3:uid="{2893BFCB-1D1E-4908-B3F8-7EB8836C87E0}" name="Column5724"/>
    <tableColumn id="5730" xr3:uid="{E62DDB1F-BC53-47CA-8CC2-215CA0C8CCD3}" name="Column5725"/>
    <tableColumn id="5731" xr3:uid="{30E796AE-7B09-4AB2-B89A-254A40CD6A6B}" name="Column5726"/>
    <tableColumn id="5732" xr3:uid="{EF03DC38-B280-4660-AC09-988493FFE3BF}" name="Column5727"/>
    <tableColumn id="5733" xr3:uid="{B233D5DF-B866-46B0-B99D-55965EAA6A7E}" name="Column5728"/>
    <tableColumn id="5734" xr3:uid="{62BC21C7-0525-4556-ACDD-E1F112DCC2E8}" name="Column5729"/>
    <tableColumn id="5735" xr3:uid="{F0C08381-7D67-4E79-BE3E-614EDE15EDA4}" name="Column5730"/>
    <tableColumn id="5736" xr3:uid="{D9EB55D3-80CE-43A9-AAC4-373C321E478F}" name="Column5731"/>
    <tableColumn id="5737" xr3:uid="{EAEEA82F-AB20-4350-B344-CCABE426C57E}" name="Column5732"/>
    <tableColumn id="5738" xr3:uid="{2FFB5A1C-CDE8-4EE1-A0AB-905AE0BF29B8}" name="Column5733"/>
    <tableColumn id="5739" xr3:uid="{970D366B-01E6-473C-823A-0253EE585D80}" name="Column5734"/>
    <tableColumn id="5740" xr3:uid="{59ED821B-8A25-449D-A3E9-F64EFAAE4671}" name="Column5735"/>
    <tableColumn id="5741" xr3:uid="{6089D1F9-D1F9-46FB-B36A-1253771A79F7}" name="Column5736"/>
    <tableColumn id="5742" xr3:uid="{4409F1CD-9C53-4A48-921F-D2178AF42370}" name="Column5737"/>
    <tableColumn id="5743" xr3:uid="{A1BCA668-721C-45C1-B77C-FAE6BC3D2592}" name="Column5738"/>
    <tableColumn id="5744" xr3:uid="{AE0630BD-A862-49E5-9894-F10D9C07B1C2}" name="Column5739"/>
    <tableColumn id="5745" xr3:uid="{AC0E668B-A03D-4922-A8EB-F8743F47673B}" name="Column5740"/>
    <tableColumn id="5746" xr3:uid="{A69C7784-A1E9-49B4-8565-B85621368819}" name="Column5741"/>
    <tableColumn id="5747" xr3:uid="{C14F4ABF-B52F-48A3-A460-C4DD09A634FD}" name="Column5742"/>
    <tableColumn id="5748" xr3:uid="{08D08A36-E9B9-466A-96BB-50AC8BEAF505}" name="Column5743"/>
    <tableColumn id="5749" xr3:uid="{A65D852B-F7A0-4C54-89C5-49F2B5A3C4B6}" name="Column5744"/>
    <tableColumn id="5750" xr3:uid="{FA6C8545-1B27-4F07-ACC7-A7B6C53859FF}" name="Column5745"/>
    <tableColumn id="5751" xr3:uid="{66321170-17C6-4CA2-8D11-56D23B18310D}" name="Column5746"/>
    <tableColumn id="5752" xr3:uid="{23C38AF6-113C-4FC4-B56B-0B51C66CB91B}" name="Column5747"/>
    <tableColumn id="5753" xr3:uid="{E4CA07B8-51CE-477C-9973-8FD1AEEA4DA5}" name="Column5748"/>
    <tableColumn id="5754" xr3:uid="{D7774B3D-8695-4C26-BCD0-9D847694A25B}" name="Column5749"/>
    <tableColumn id="5755" xr3:uid="{14FEA7EF-9FAF-48D5-B251-FCC9E97844CD}" name="Column5750"/>
    <tableColumn id="5756" xr3:uid="{012937A8-36DC-4D45-B001-A72FA00CDA10}" name="Column5751"/>
    <tableColumn id="5757" xr3:uid="{7D54228D-5B4B-4C8C-A956-23C234DC4A94}" name="Column5752"/>
    <tableColumn id="5758" xr3:uid="{1FEB01E3-EBA5-402F-83C0-7C2E5F535D17}" name="Column5753"/>
    <tableColumn id="5759" xr3:uid="{2A0EC463-A7DF-4938-8501-15FA5E084525}" name="Column5754"/>
    <tableColumn id="5760" xr3:uid="{276CE37F-A5BE-4729-A057-5D6727D08B46}" name="Column5755"/>
    <tableColumn id="5761" xr3:uid="{AF19D499-37B3-408D-845D-435B43A17A5D}" name="Column5756"/>
    <tableColumn id="5762" xr3:uid="{14EE90F7-93EE-4193-907D-24A401BC19B2}" name="Column5757"/>
    <tableColumn id="5763" xr3:uid="{3A4FD533-C3BF-4307-889F-A22304A6DE6A}" name="Column5758"/>
    <tableColumn id="5764" xr3:uid="{F620444C-2BEA-4EF4-8EAC-6B9DD7679976}" name="Column5759"/>
    <tableColumn id="5765" xr3:uid="{8BD494C4-BFD0-4A4E-8610-FB129AD1F068}" name="Column5760"/>
    <tableColumn id="5766" xr3:uid="{B5D775AB-C079-42EB-AB3D-3A34FBB20120}" name="Column5761"/>
    <tableColumn id="5767" xr3:uid="{A8DA9201-1720-473D-B50F-2A7A4532B9D9}" name="Column5762"/>
    <tableColumn id="5768" xr3:uid="{56FB6ABA-C684-4DED-8B1C-4DE8ECC3AA7A}" name="Column5763"/>
    <tableColumn id="5769" xr3:uid="{F31F8ADA-69D0-4AAE-AA07-679B71FAA422}" name="Column5764"/>
    <tableColumn id="5770" xr3:uid="{479180D4-5A5D-491E-A342-A914FEF894DD}" name="Column5765"/>
    <tableColumn id="5771" xr3:uid="{E33E1628-BDB4-4200-87EB-4630B7A228FC}" name="Column5766"/>
    <tableColumn id="5772" xr3:uid="{92B8BF04-DC6A-4926-8C0E-88947DDE3956}" name="Column5767"/>
    <tableColumn id="5773" xr3:uid="{D34E9CB5-7CDD-4B86-B312-3EF75704ED2E}" name="Column5768"/>
    <tableColumn id="5774" xr3:uid="{DEF10F26-45B4-45DB-8209-F563B548CFAE}" name="Column5769"/>
    <tableColumn id="5775" xr3:uid="{14727A50-A1DE-497B-A73C-62684D292DC6}" name="Column5770"/>
    <tableColumn id="5776" xr3:uid="{406FA603-79B9-4F86-B0F9-55C2879D29C9}" name="Column5771"/>
    <tableColumn id="5777" xr3:uid="{3C19C415-FDD6-438A-95EA-5333697D736A}" name="Column5772"/>
    <tableColumn id="5778" xr3:uid="{BDEE5785-2A2C-4CF9-BF47-CBFBF6999CFF}" name="Column5773"/>
    <tableColumn id="5779" xr3:uid="{AA5E4D0B-6ABB-4EBE-84BD-555F3DACD9A0}" name="Column5774"/>
    <tableColumn id="5780" xr3:uid="{9CE8A4D0-0D9B-49AF-A21D-BBA55F4AE9FA}" name="Column5775"/>
    <tableColumn id="5781" xr3:uid="{5456C0D6-4CA0-4D41-AF51-A479BE8EC9FF}" name="Column5776"/>
    <tableColumn id="5782" xr3:uid="{77D39927-6EE3-4F04-B2DD-FCB0770A03D5}" name="Column5777"/>
    <tableColumn id="5783" xr3:uid="{C0A0A216-FECB-4995-A19B-D896CD899507}" name="Column5778"/>
    <tableColumn id="5784" xr3:uid="{9EAE85FB-1284-4D96-8E5A-267C19FD7A97}" name="Column5779"/>
    <tableColumn id="5785" xr3:uid="{8AE78D7F-97F2-4D92-AED6-8DABBF20ACF7}" name="Column5780"/>
    <tableColumn id="5786" xr3:uid="{4CAC6E17-8676-4421-92EA-82C24BE8B1A0}" name="Column5781"/>
    <tableColumn id="5787" xr3:uid="{D558875F-D966-46BA-9457-0D9D9CF700DA}" name="Column5782"/>
    <tableColumn id="5788" xr3:uid="{DBC37188-53A0-4259-973E-63D0E703433B}" name="Column5783"/>
    <tableColumn id="5789" xr3:uid="{0690F129-306E-4FE7-9099-19BF90FD1514}" name="Column5784"/>
    <tableColumn id="5790" xr3:uid="{17FF42BC-D331-4F63-AD07-7F5235185ED4}" name="Column5785"/>
    <tableColumn id="5791" xr3:uid="{1BF89B3E-9C05-455A-8CA8-1C5A208A9C00}" name="Column5786"/>
    <tableColumn id="5792" xr3:uid="{3E1EAAD4-32C0-4D9A-8D74-EEF556E8982B}" name="Column5787"/>
    <tableColumn id="5793" xr3:uid="{9275A4C3-441C-4F0D-BE32-8435672A37CD}" name="Column5788"/>
    <tableColumn id="5794" xr3:uid="{587365A0-BF57-4FF9-8825-86488DDF3F4E}" name="Column5789"/>
    <tableColumn id="5795" xr3:uid="{4FCD701F-A7C9-4D4F-B185-7A295CAA794F}" name="Column5790"/>
    <tableColumn id="5796" xr3:uid="{989DC143-18A2-4118-B550-306407465CB5}" name="Column5791"/>
    <tableColumn id="5797" xr3:uid="{7263EB58-C1C4-4958-BA27-90D5C94A682D}" name="Column5792"/>
    <tableColumn id="5798" xr3:uid="{7EE1B396-F0FD-479B-A794-1D703B86A1AA}" name="Column5793"/>
    <tableColumn id="5799" xr3:uid="{3FDE5EC4-FFB4-4572-BB1B-5A181677432C}" name="Column5794"/>
    <tableColumn id="5800" xr3:uid="{57935FB3-FFD5-4781-8544-8776E74845A3}" name="Column5795"/>
    <tableColumn id="5801" xr3:uid="{2BE083C0-6B28-4150-B7B2-AF1E1C77637E}" name="Column5796"/>
    <tableColumn id="5802" xr3:uid="{D38C2E5B-3692-4064-9F21-6F6A2EFFA436}" name="Column5797"/>
    <tableColumn id="5803" xr3:uid="{2D2F141E-646C-41A8-BD06-00C0EE8B88EC}" name="Column5798"/>
    <tableColumn id="5804" xr3:uid="{A73CB2B2-2A26-4B2C-B8E2-D899729BB245}" name="Column5799"/>
    <tableColumn id="5805" xr3:uid="{9E62DF25-4166-4F8E-A743-D2330699CCEE}" name="Column5800"/>
    <tableColumn id="5806" xr3:uid="{C195A866-FEA9-4E69-B9FB-2CA69E5D2F9D}" name="Column5801"/>
    <tableColumn id="5807" xr3:uid="{2DAA3B40-999F-4A53-8E1B-D77B18C4AC45}" name="Column5802"/>
    <tableColumn id="5808" xr3:uid="{030514CA-85B6-4D2E-84D6-CC3DD5247452}" name="Column5803"/>
    <tableColumn id="5809" xr3:uid="{86D98C40-1392-41AE-BB42-9D1B44D3D647}" name="Column5804"/>
    <tableColumn id="5810" xr3:uid="{A6BDA453-0887-4775-92BC-2EA5EADD7913}" name="Column5805"/>
    <tableColumn id="5811" xr3:uid="{4FA65B96-C20D-46C2-907C-25A42E2CC36B}" name="Column5806"/>
    <tableColumn id="5812" xr3:uid="{522BF6DF-EBD3-49C8-9A87-84217B3B46A9}" name="Column5807"/>
    <tableColumn id="5813" xr3:uid="{1990BB37-FBE4-4759-87EA-9EC91A521F03}" name="Column5808"/>
    <tableColumn id="5814" xr3:uid="{20321D93-B13D-4F81-AFB1-92CD50B7F74A}" name="Column5809"/>
    <tableColumn id="5815" xr3:uid="{C71E8C52-96E4-4E29-96BA-81E4F45C46F6}" name="Column5810"/>
    <tableColumn id="5816" xr3:uid="{F42AC22C-311E-4D60-8445-BFBFCF76B644}" name="Column5811"/>
    <tableColumn id="5817" xr3:uid="{3A6A3757-7557-43B5-8E4B-E600B306B3D3}" name="Column5812"/>
    <tableColumn id="5818" xr3:uid="{23C2A5D4-DD43-4040-B717-1DEF564DD3BA}" name="Column5813"/>
    <tableColumn id="5819" xr3:uid="{0FDB8667-CB01-41C3-ADC0-16FE1A5E2093}" name="Column5814"/>
    <tableColumn id="5820" xr3:uid="{56D6946E-D23D-4264-A3AE-CD404933F873}" name="Column5815"/>
    <tableColumn id="5821" xr3:uid="{DC13EE98-508F-4ADD-87B3-2686526D3CF2}" name="Column5816"/>
    <tableColumn id="5822" xr3:uid="{BD71939C-A331-48D3-9BF6-78AAA68FC1FF}" name="Column5817"/>
    <tableColumn id="5823" xr3:uid="{59D93622-F1BB-4895-9F5B-0994DC29AB57}" name="Column5818"/>
    <tableColumn id="5824" xr3:uid="{626887F1-F7E2-41B3-8FA2-AAAA25917455}" name="Column5819"/>
    <tableColumn id="5825" xr3:uid="{CA824875-00D6-4498-B239-B7EB7208C56E}" name="Column5820"/>
    <tableColumn id="5826" xr3:uid="{61FD3FB9-E813-446F-B36B-A9B2B0D5138F}" name="Column5821"/>
    <tableColumn id="5827" xr3:uid="{2E4F343F-38D4-43CE-B769-894A0CE5EBB7}" name="Column5822"/>
    <tableColumn id="5828" xr3:uid="{E390D301-FD5C-49E6-AC32-C473247A48B5}" name="Column5823"/>
    <tableColumn id="5829" xr3:uid="{0D78E2A2-395D-4BAA-A9F5-3AC5738A7E84}" name="Column5824"/>
    <tableColumn id="5830" xr3:uid="{7CE3BA3F-4AB7-4E64-AC4A-17E07BB75880}" name="Column5825"/>
    <tableColumn id="5831" xr3:uid="{E25175B1-48C2-4E45-B507-A50EECD91DCF}" name="Column5826"/>
    <tableColumn id="5832" xr3:uid="{7DF42067-C631-4A7F-81E6-5B89BE6CDE22}" name="Column5827"/>
    <tableColumn id="5833" xr3:uid="{9CB3F37E-8910-42F6-863F-5EE0661113FE}" name="Column5828"/>
    <tableColumn id="5834" xr3:uid="{618B3753-9F27-492B-8CC8-AD8A72B5D115}" name="Column5829"/>
    <tableColumn id="5835" xr3:uid="{CD5655DF-7329-4915-AB71-5F4480D9C2B6}" name="Column5830"/>
    <tableColumn id="5836" xr3:uid="{C2999238-7C32-4FD7-A21D-418BFE3A6FE4}" name="Column5831"/>
    <tableColumn id="5837" xr3:uid="{328E7465-E04E-48E6-A399-28C0A7EAB209}" name="Column5832"/>
    <tableColumn id="5838" xr3:uid="{348C6CEA-F256-405B-BDDD-5195976A7213}" name="Column5833"/>
    <tableColumn id="5839" xr3:uid="{1FA168E7-11FB-416F-8CB1-7F66E7157EBE}" name="Column5834"/>
    <tableColumn id="5840" xr3:uid="{7583D930-66BE-48E8-B086-B3E1BFE5F8AC}" name="Column5835"/>
    <tableColumn id="5841" xr3:uid="{BF4EBAB4-2BB1-4951-BDD9-43896F31EBA6}" name="Column5836"/>
    <tableColumn id="5842" xr3:uid="{AD5B217B-3391-4E3A-95A2-8DFAD863B0C6}" name="Column5837"/>
    <tableColumn id="5843" xr3:uid="{3DAF9B60-DEDD-402F-B37B-8212434FC8D1}" name="Column5838"/>
    <tableColumn id="5844" xr3:uid="{9230E749-FA95-4AC1-AC03-586E8A7E7D75}" name="Column5839"/>
    <tableColumn id="5845" xr3:uid="{C85ED67F-6EF5-48EB-99B2-F0FD029D9A0D}" name="Column5840"/>
    <tableColumn id="5846" xr3:uid="{8CC7E892-C199-451C-8DFC-13391733DB95}" name="Column5841"/>
    <tableColumn id="5847" xr3:uid="{ADA060C2-36D7-4059-93A1-4AB2FCD81C31}" name="Column5842"/>
    <tableColumn id="5848" xr3:uid="{122E29A9-6260-4394-B644-965317D1E1E6}" name="Column5843"/>
    <tableColumn id="5849" xr3:uid="{4BC0E382-8DE0-4170-ACBE-2A7844AE01C0}" name="Column5844"/>
    <tableColumn id="5850" xr3:uid="{D7E5BA07-2A39-476A-A98D-B98085F15A31}" name="Column5845"/>
    <tableColumn id="5851" xr3:uid="{5D76E903-37F9-4534-8344-2C7A573A3054}" name="Column5846"/>
    <tableColumn id="5852" xr3:uid="{7A05AD6A-91A6-491C-982A-D7725DF10241}" name="Column5847"/>
    <tableColumn id="5853" xr3:uid="{37F97C33-8A2C-42F8-BAEA-1A006132ECEC}" name="Column5848"/>
    <tableColumn id="5854" xr3:uid="{3B777408-0006-468D-AD02-163AA7E2596B}" name="Column5849"/>
    <tableColumn id="5855" xr3:uid="{DD3C03E9-5F8B-4C5D-8548-31B4D00F0DF5}" name="Column5850"/>
    <tableColumn id="5856" xr3:uid="{858A33A9-A534-4B2D-A297-5DF8C5B4AF16}" name="Column5851"/>
    <tableColumn id="5857" xr3:uid="{E817EA56-CDE3-49E4-9F5D-32F876F1B4F5}" name="Column5852"/>
    <tableColumn id="5858" xr3:uid="{00670386-4038-472B-99AF-53EFA80D78D2}" name="Column5853"/>
    <tableColumn id="5859" xr3:uid="{B3FFCD44-B425-4601-816E-94F10691221B}" name="Column5854"/>
    <tableColumn id="5860" xr3:uid="{E668ED06-72B2-4A0F-825E-B4F966DCACCA}" name="Column5855"/>
    <tableColumn id="5861" xr3:uid="{D4FD8FEB-5B14-4A37-A893-0847D03B7224}" name="Column5856"/>
    <tableColumn id="5862" xr3:uid="{D4026BF1-5B8C-4C0A-B0F5-DD209EDD9408}" name="Column5857"/>
    <tableColumn id="5863" xr3:uid="{94C073AA-97B5-46EE-A6FE-C269BCF40D1B}" name="Column5858"/>
    <tableColumn id="5864" xr3:uid="{65CF07B1-F1D8-4A7B-BF7B-D8D988EB2D64}" name="Column5859"/>
    <tableColumn id="5865" xr3:uid="{A44E0DA1-A9CA-4B06-A11A-A4215D544CEA}" name="Column5860"/>
    <tableColumn id="5866" xr3:uid="{7A5FF728-0EE4-4F3E-92BD-A31ED6AD2442}" name="Column5861"/>
    <tableColumn id="5867" xr3:uid="{8A73416A-E29C-45C8-B9DD-4B22929480FD}" name="Column5862"/>
    <tableColumn id="5868" xr3:uid="{CC0DD717-E49F-4631-9683-54FA2BE9F52F}" name="Column5863"/>
    <tableColumn id="5869" xr3:uid="{DF26FD79-9CCF-4E4A-B32A-54F5D8262E08}" name="Column5864"/>
    <tableColumn id="5870" xr3:uid="{1994AC26-7585-4A9B-9ABB-059703A93A5E}" name="Column5865"/>
    <tableColumn id="5871" xr3:uid="{4063E54F-B1E2-4BCC-841A-C424FC4D5B39}" name="Column5866"/>
    <tableColumn id="5872" xr3:uid="{9379AD4A-EA2D-4EB4-AB25-2E06381171F0}" name="Column5867"/>
    <tableColumn id="5873" xr3:uid="{F9D04ED9-6406-48C5-A114-30895C985E82}" name="Column5868"/>
    <tableColumn id="5874" xr3:uid="{38AAFC70-A4DA-424C-A1A0-6F675E7C291A}" name="Column5869"/>
    <tableColumn id="5875" xr3:uid="{9B72504F-A9AD-4A66-939B-DDF7BDD3AAF4}" name="Column5870"/>
    <tableColumn id="5876" xr3:uid="{982EFDC7-92C4-4870-8B74-C7113D64FE10}" name="Column5871"/>
    <tableColumn id="5877" xr3:uid="{370DE4D9-7732-4922-8A3B-6CE9627C876C}" name="Column5872"/>
    <tableColumn id="5878" xr3:uid="{2CAA8E9C-AA3B-42AA-A851-286267F86A76}" name="Column5873"/>
    <tableColumn id="5879" xr3:uid="{CD241463-7194-49B1-A1C5-481E98AD73B6}" name="Column5874"/>
    <tableColumn id="5880" xr3:uid="{2CBB90CB-A9CA-490B-BF89-CFECAAF70F01}" name="Column5875"/>
    <tableColumn id="5881" xr3:uid="{EEEB2C8E-EAC1-4C43-A20C-9F69C58D2429}" name="Column5876"/>
    <tableColumn id="5882" xr3:uid="{12B0D96F-FB62-4A28-8786-0F92C48E4DAB}" name="Column5877"/>
    <tableColumn id="5883" xr3:uid="{887ABF92-6A6B-4E10-B577-9B3E79A365A4}" name="Column5878"/>
    <tableColumn id="5884" xr3:uid="{F2991AE5-759C-4CBA-875C-ECFAF0FCAF81}" name="Column5879"/>
    <tableColumn id="5885" xr3:uid="{33158761-932A-4F18-BC54-7F90BD304D7C}" name="Column5880"/>
    <tableColumn id="5886" xr3:uid="{C0F7B2E9-9FC9-45E4-A527-4075088AC9B2}" name="Column5881"/>
    <tableColumn id="5887" xr3:uid="{4CD00792-86D3-415A-9E58-28025CF545DB}" name="Column5882"/>
    <tableColumn id="5888" xr3:uid="{C7460798-21F4-421F-AEA5-22AD29B74F4D}" name="Column5883"/>
    <tableColumn id="5889" xr3:uid="{B3C524F9-103F-4873-B34B-6C1A70A58567}" name="Column5884"/>
    <tableColumn id="5890" xr3:uid="{FEBCB214-E173-4A65-9E11-66FC7CA1D699}" name="Column5885"/>
    <tableColumn id="5891" xr3:uid="{EFEA9C93-3A80-46C7-AE85-FD0446A8A325}" name="Column5886"/>
    <tableColumn id="5892" xr3:uid="{305AE3CE-2B95-4394-8BF8-8C11E2DEA850}" name="Column5887"/>
    <tableColumn id="5893" xr3:uid="{C24B4C72-5F4D-4B08-8F1E-B5E67C72AE01}" name="Column5888"/>
    <tableColumn id="5894" xr3:uid="{F7A516BA-6716-4248-8BAE-C6B76168D5E3}" name="Column5889"/>
    <tableColumn id="5895" xr3:uid="{4FAE0887-5C19-445C-8DCE-F43D9C52920D}" name="Column5890"/>
    <tableColumn id="5896" xr3:uid="{26735826-FC36-467B-B998-931C2E2F61A4}" name="Column5891"/>
    <tableColumn id="5897" xr3:uid="{A12DAC53-B92B-4F00-8CCD-BAAE6350C7F6}" name="Column5892"/>
    <tableColumn id="5898" xr3:uid="{BC9C9227-C582-4B01-AD49-3D419DC0F2DB}" name="Column5893"/>
    <tableColumn id="5899" xr3:uid="{ED6D35EF-B08F-4553-A19C-79BFA6AD9E6F}" name="Column5894"/>
    <tableColumn id="5900" xr3:uid="{926B22C3-D754-45F0-AD78-F84B8C780758}" name="Column5895"/>
    <tableColumn id="5901" xr3:uid="{92D677B6-D251-41FF-90E7-675E934B8743}" name="Column5896"/>
    <tableColumn id="5902" xr3:uid="{EE620958-FBFE-449C-9F3E-F2A8DDAD22D3}" name="Column5897"/>
    <tableColumn id="5903" xr3:uid="{788DD860-C23A-4DB8-854B-FB362F504214}" name="Column5898"/>
    <tableColumn id="5904" xr3:uid="{02A8C937-EFCF-4512-B19F-892A36A7EEA4}" name="Column5899"/>
    <tableColumn id="5905" xr3:uid="{423083F1-2A3E-48F9-A5CA-2AED4CFD3E0A}" name="Column5900"/>
    <tableColumn id="5906" xr3:uid="{121D2C55-0D4D-4C93-9CB3-14D6F85CAEAA}" name="Column5901"/>
    <tableColumn id="5907" xr3:uid="{690DF220-F5E7-445C-B250-BA484B0C7038}" name="Column5902"/>
    <tableColumn id="5908" xr3:uid="{63836011-1713-4F24-BFF7-B291525D19D3}" name="Column5903"/>
    <tableColumn id="5909" xr3:uid="{9B7B2F5E-E4E9-4CAF-999B-AB67BC562630}" name="Column5904"/>
    <tableColumn id="5910" xr3:uid="{54CC1D03-382F-4D6B-B274-93BE5F2E8871}" name="Column5905"/>
    <tableColumn id="5911" xr3:uid="{20B32F16-336F-4A7A-9628-970631D3268F}" name="Column5906"/>
    <tableColumn id="5912" xr3:uid="{687B22E5-D1EF-4CE6-955E-92FD502FDBEE}" name="Column5907"/>
    <tableColumn id="5913" xr3:uid="{CA2E005C-DDAD-4BAB-BE29-FAEBCE975F22}" name="Column5908"/>
    <tableColumn id="5914" xr3:uid="{B04AB595-844C-4D58-8393-A7B932E8DD54}" name="Column5909"/>
    <tableColumn id="5915" xr3:uid="{745FE7A8-DE98-486E-9F11-338F9F1EB85D}" name="Column5910"/>
    <tableColumn id="5916" xr3:uid="{5344884C-C4C0-42B8-A3CE-A8BD2DA7E725}" name="Column5911"/>
    <tableColumn id="5917" xr3:uid="{05BCB187-8AC3-4703-9B9F-65DE8BE9F404}" name="Column5912"/>
    <tableColumn id="5918" xr3:uid="{CD842580-D333-4E86-BCED-846A204036A5}" name="Column5913"/>
    <tableColumn id="5919" xr3:uid="{14A0EE82-8519-4B2B-B933-0593858013D1}" name="Column5914"/>
    <tableColumn id="5920" xr3:uid="{3CD8066F-D443-42BB-B7D0-97A2D64080CC}" name="Column5915"/>
    <tableColumn id="5921" xr3:uid="{45E4E4CE-B12C-4C4C-BDB3-A18D11F05E66}" name="Column5916"/>
    <tableColumn id="5922" xr3:uid="{F3099901-D2AC-4234-8C23-A9213A19FFBB}" name="Column5917"/>
    <tableColumn id="5923" xr3:uid="{3F506FFD-C9F7-4391-8495-0873845CF359}" name="Column5918"/>
    <tableColumn id="5924" xr3:uid="{17B440B4-5E20-4642-A7CF-D5504DA9B427}" name="Column5919"/>
    <tableColumn id="5925" xr3:uid="{AFC996C1-B0A4-46C6-8CD7-E6B254EEB89D}" name="Column5920"/>
    <tableColumn id="5926" xr3:uid="{DB4297F4-AD6F-4EB5-8774-CD293D684F63}" name="Column5921"/>
    <tableColumn id="5927" xr3:uid="{AAF5567F-228D-4CF6-9E9E-A7C630A20F4F}" name="Column5922"/>
    <tableColumn id="5928" xr3:uid="{76A424D0-6BFF-43BB-A8C7-0166E3CD8BC0}" name="Column5923"/>
    <tableColumn id="5929" xr3:uid="{C325F457-E011-4CAD-8A18-916A715F0BDB}" name="Column5924"/>
    <tableColumn id="5930" xr3:uid="{2DFAE3CC-713A-4617-A8C3-3C659144CD8C}" name="Column5925"/>
    <tableColumn id="5931" xr3:uid="{F42BED18-D227-42E0-9FCC-A87DBAB42F60}" name="Column5926"/>
    <tableColumn id="5932" xr3:uid="{CF33019E-636A-488B-A087-BDD71277D383}" name="Column5927"/>
    <tableColumn id="5933" xr3:uid="{67E4F1A3-5189-458D-BEF1-E56DAC9E75BC}" name="Column5928"/>
    <tableColumn id="5934" xr3:uid="{2F604310-9D19-4EB6-B32E-382534B5BFDF}" name="Column5929"/>
    <tableColumn id="5935" xr3:uid="{F7ED2D05-1081-42BF-B51F-72A15D94F27E}" name="Column5930"/>
    <tableColumn id="5936" xr3:uid="{6C067624-9484-40B9-8EB7-F77708527EFD}" name="Column5931"/>
    <tableColumn id="5937" xr3:uid="{D33FBAB0-A5AB-41CB-B8FB-EF1ED12E2A0B}" name="Column5932"/>
    <tableColumn id="5938" xr3:uid="{77BD12A8-591D-4650-85ED-86E01B18E27E}" name="Column5933"/>
    <tableColumn id="5939" xr3:uid="{F1794649-F5F7-4681-BB82-ACAA6BAA488B}" name="Column5934"/>
    <tableColumn id="5940" xr3:uid="{768FF2A8-9DE2-4A0B-9BAE-ABE877AF784C}" name="Column5935"/>
    <tableColumn id="5941" xr3:uid="{C86F8266-4AB9-4C9F-94B4-7E98F999AC33}" name="Column5936"/>
    <tableColumn id="5942" xr3:uid="{A454EDF6-4B1D-4DAD-A4DC-4ECDA5C9C927}" name="Column5937"/>
    <tableColumn id="5943" xr3:uid="{E02F761D-C884-4CEE-BAAC-F21033041081}" name="Column5938"/>
    <tableColumn id="5944" xr3:uid="{BB51BE88-BE19-493C-BC4A-2DC6D8D65524}" name="Column5939"/>
    <tableColumn id="5945" xr3:uid="{E635856E-D4D4-4171-A5AF-F259BFBE7301}" name="Column5940"/>
    <tableColumn id="5946" xr3:uid="{29A6FE78-F93D-4565-8284-647384BBE8A6}" name="Column5941"/>
    <tableColumn id="5947" xr3:uid="{54722099-4A4F-4BE1-AE23-F5A7B653D190}" name="Column5942"/>
    <tableColumn id="5948" xr3:uid="{4EA4BD84-E466-4588-91F1-400712CA949F}" name="Column5943"/>
    <tableColumn id="5949" xr3:uid="{7E8E1359-81EE-439C-9A89-790A3F3E990C}" name="Column5944"/>
    <tableColumn id="5950" xr3:uid="{9B96D105-4390-4EB2-875A-1B7B6F17F0D3}" name="Column5945"/>
    <tableColumn id="5951" xr3:uid="{61C2E4CE-C415-47FA-AFAE-E7D2502557D5}" name="Column5946"/>
    <tableColumn id="5952" xr3:uid="{74C17AE7-939A-42CD-B96B-2901A90FFFAA}" name="Column5947"/>
    <tableColumn id="5953" xr3:uid="{1F72FFEC-2022-44E3-AD1C-838B6CA31A05}" name="Column5948"/>
    <tableColumn id="5954" xr3:uid="{DB81773F-DAED-46D9-BCD1-44321E66849D}" name="Column5949"/>
    <tableColumn id="5955" xr3:uid="{94E3CBEE-30BC-43F6-9CB1-9F1381BB2F7A}" name="Column5950"/>
    <tableColumn id="5956" xr3:uid="{273B611B-EB0E-4607-BF4E-9132B69F5990}" name="Column5951"/>
    <tableColumn id="5957" xr3:uid="{75DD4D54-CAE6-4C9C-85A9-488FDE14D0FE}" name="Column5952"/>
    <tableColumn id="5958" xr3:uid="{A7F80F74-3923-4933-A782-3DB5F049124A}" name="Column5953"/>
    <tableColumn id="5959" xr3:uid="{96576732-D300-4A7E-90DE-13C25F06A3F7}" name="Column5954"/>
    <tableColumn id="5960" xr3:uid="{FE4788A1-33B1-47F1-93E8-22B9F5B05F23}" name="Column5955"/>
    <tableColumn id="5961" xr3:uid="{6E1CF38E-F01D-4254-ABAD-2506A4FC86E3}" name="Column5956"/>
    <tableColumn id="5962" xr3:uid="{738E3233-9BC9-4E33-AB6B-924CFF1F994F}" name="Column5957"/>
    <tableColumn id="5963" xr3:uid="{B508E915-F38C-473B-BD47-FAC21E5F4A7D}" name="Column5958"/>
    <tableColumn id="5964" xr3:uid="{7E6249C1-D069-4EA8-BE2E-78B8D9063678}" name="Column5959"/>
    <tableColumn id="5965" xr3:uid="{32E0A927-C84D-41EC-A968-D4BABE553384}" name="Column5960"/>
    <tableColumn id="5966" xr3:uid="{E96F4E28-BDF9-4F84-AA17-BD41A43E5621}" name="Column5961"/>
    <tableColumn id="5967" xr3:uid="{6E78AE7B-0A24-465C-B18A-EC95F11C74BD}" name="Column5962"/>
    <tableColumn id="5968" xr3:uid="{AA274E2C-4401-4A2D-8CF8-56F7F2175E5A}" name="Column5963"/>
    <tableColumn id="5969" xr3:uid="{8027D094-621F-452B-BB6E-D74CB2D83475}" name="Column5964"/>
    <tableColumn id="5970" xr3:uid="{F0A4EF08-18E9-40A9-81B6-7C62E8CBFCFA}" name="Column5965"/>
    <tableColumn id="5971" xr3:uid="{14DB7CAA-D1F5-4393-90FD-AE880CCBD0B7}" name="Column5966"/>
    <tableColumn id="5972" xr3:uid="{215ECC1B-9E61-4BE2-BF92-9A3D3480A541}" name="Column5967"/>
    <tableColumn id="5973" xr3:uid="{52BC3844-5A6B-4AD6-844B-1D71F3841817}" name="Column5968"/>
    <tableColumn id="5974" xr3:uid="{19EA2D57-4B52-42B5-9F5D-29861CDDD47E}" name="Column5969"/>
    <tableColumn id="5975" xr3:uid="{45B038BF-826E-42F1-AAF8-1AAB640A705F}" name="Column5970"/>
    <tableColumn id="5976" xr3:uid="{7B8D2F47-2F66-4EED-8549-F18319C88569}" name="Column5971"/>
    <tableColumn id="5977" xr3:uid="{D2D2182A-D507-447E-8908-813D7F1EC45C}" name="Column5972"/>
    <tableColumn id="5978" xr3:uid="{96648F78-345B-4EB8-B6C2-5AF0A5A52C40}" name="Column5973"/>
    <tableColumn id="5979" xr3:uid="{D29605D4-5902-42DA-ABF9-1CC7D17218AF}" name="Column5974"/>
    <tableColumn id="5980" xr3:uid="{1CFE4807-E233-41E1-BB43-86C8F38AE499}" name="Column5975"/>
    <tableColumn id="5981" xr3:uid="{E3FB35C1-829C-4F1B-824B-22F6BB9590DA}" name="Column5976"/>
    <tableColumn id="5982" xr3:uid="{A377BF50-97B7-4D44-856E-A077ECCAD6DC}" name="Column5977"/>
    <tableColumn id="5983" xr3:uid="{A959C68A-71E1-4F4F-B866-6C6F5BCBB8AC}" name="Column5978"/>
    <tableColumn id="5984" xr3:uid="{2D4CDB99-1FB9-493F-AF30-D97CC0523C55}" name="Column5979"/>
    <tableColumn id="5985" xr3:uid="{88C06068-8BE5-40E9-8A93-AA32B3AD98F9}" name="Column5980"/>
    <tableColumn id="5986" xr3:uid="{1690E10B-D4D4-4881-9ABA-49E0323F2352}" name="Column5981"/>
    <tableColumn id="5987" xr3:uid="{7A3B012D-766C-4176-A7A9-56D65CD4EABC}" name="Column5982"/>
    <tableColumn id="5988" xr3:uid="{1D86139A-065F-4E1A-82BE-1E5A4BE4AEFB}" name="Column5983"/>
    <tableColumn id="5989" xr3:uid="{15FD6BC8-2611-4920-BA90-1B3A11C9F3E3}" name="Column5984"/>
    <tableColumn id="5990" xr3:uid="{0428F2B4-46DE-4233-A1A4-A5C6D20B7473}" name="Column5985"/>
    <tableColumn id="5991" xr3:uid="{4D763F3A-776B-4D3A-A68D-44EF23DF16E0}" name="Column5986"/>
    <tableColumn id="5992" xr3:uid="{3E892CD7-C74E-4063-92A6-CB7B970D6D12}" name="Column5987"/>
    <tableColumn id="5993" xr3:uid="{C9BCBEFD-39A7-41F0-9638-F7AA6F0019B6}" name="Column5988"/>
    <tableColumn id="5994" xr3:uid="{2884B33B-B554-45AC-8CC0-91C09ED1A415}" name="Column5989"/>
    <tableColumn id="5995" xr3:uid="{B9AEEAAD-C023-4502-B1C8-176D4D69DC79}" name="Column5990"/>
    <tableColumn id="5996" xr3:uid="{81A03C33-D5B5-4C4F-99B0-D2750CB680AE}" name="Column5991"/>
    <tableColumn id="5997" xr3:uid="{12F8F6DF-3A6C-4026-A618-75A96AA4B525}" name="Column5992"/>
    <tableColumn id="5998" xr3:uid="{DD333BF4-0623-4157-8D0F-F89B7FCB3E6B}" name="Column5993"/>
    <tableColumn id="5999" xr3:uid="{C18A999C-9A74-4146-A71E-20562A5E1CBF}" name="Column5994"/>
    <tableColumn id="6000" xr3:uid="{75F4AFF7-4637-4F84-9ADE-07E70D564176}" name="Column5995"/>
    <tableColumn id="6001" xr3:uid="{4946CFB4-6B0A-48E6-9890-CDA2B1C8F9DC}" name="Column5996"/>
    <tableColumn id="6002" xr3:uid="{E0C6D75F-AEDF-411F-8AAB-334D3D2274AB}" name="Column5997"/>
    <tableColumn id="6003" xr3:uid="{1A1F21E3-08B3-4A1F-8C77-72754F8E1797}" name="Column5998"/>
    <tableColumn id="6004" xr3:uid="{7EA8705B-6C5C-4E00-A711-38CD0C3F96CE}" name="Column5999"/>
    <tableColumn id="6005" xr3:uid="{D89540A1-B0F8-4F15-ADBC-85A88D8F1EB0}" name="Column6000"/>
    <tableColumn id="6006" xr3:uid="{F1EEC2CC-1B32-4713-A9B2-29C43F231F96}" name="Column6001"/>
    <tableColumn id="6007" xr3:uid="{2F30C1CC-1502-4E45-90F1-3195C29383BC}" name="Column6002"/>
    <tableColumn id="6008" xr3:uid="{75D4690E-6AD1-4BA7-8EE8-83F72B86DAA3}" name="Column6003"/>
    <tableColumn id="6009" xr3:uid="{19D42CDC-8E54-423B-A54E-89D3EA7743FE}" name="Column6004"/>
    <tableColumn id="6010" xr3:uid="{8886208B-ED30-4DA0-8157-DB62FB4936BF}" name="Column6005"/>
    <tableColumn id="6011" xr3:uid="{6D837362-5274-451F-82C4-CB99F21E6830}" name="Column6006"/>
    <tableColumn id="6012" xr3:uid="{63CBB84A-F60A-49C0-8957-2996446AAF28}" name="Column6007"/>
    <tableColumn id="6013" xr3:uid="{52C1AE55-D7B1-4AF0-BF17-4C947BFC2DA5}" name="Column6008"/>
    <tableColumn id="6014" xr3:uid="{1DD70F9A-52E9-4404-B0F3-81998B26A5E1}" name="Column6009"/>
    <tableColumn id="6015" xr3:uid="{62C8AE65-3DFA-4F57-A219-16BE0D1FA38D}" name="Column6010"/>
    <tableColumn id="6016" xr3:uid="{F6E72DAB-5A39-4FCA-B2D0-402068B4AAAD}" name="Column6011"/>
    <tableColumn id="6017" xr3:uid="{6B32B34E-C7DA-45E0-8EC8-72E9054B282B}" name="Column6012"/>
    <tableColumn id="6018" xr3:uid="{9AAC20FD-AE7B-4413-B5CA-C9D2879F6AE6}" name="Column6013"/>
    <tableColumn id="6019" xr3:uid="{9FEBAC8D-7415-41CA-A716-D127C1A35E96}" name="Column6014"/>
    <tableColumn id="6020" xr3:uid="{94153945-DE32-474A-8760-BB3906F2E718}" name="Column6015"/>
    <tableColumn id="6021" xr3:uid="{E79D541E-EF3E-4AFD-83D8-AD7FBE2A0743}" name="Column6016"/>
    <tableColumn id="6022" xr3:uid="{8F48087D-911F-4836-A719-D06DCEF865A0}" name="Column6017"/>
    <tableColumn id="6023" xr3:uid="{414B2D18-A6CC-41E0-BB4C-C1A92B6E1213}" name="Column6018"/>
    <tableColumn id="6024" xr3:uid="{63F2B6AA-556B-48CC-913B-882774976039}" name="Column6019"/>
    <tableColumn id="6025" xr3:uid="{26F0EEA8-2AAF-4719-B52C-492D79A9CBC5}" name="Column6020"/>
    <tableColumn id="6026" xr3:uid="{43269C42-9C05-4D81-A956-6D3FBBC31794}" name="Column6021"/>
    <tableColumn id="6027" xr3:uid="{9CEB508B-6ABF-4B1A-A9FC-389705E2B0C9}" name="Column6022"/>
    <tableColumn id="6028" xr3:uid="{F80D4B58-1DB0-4523-A3F9-95769BBFB48F}" name="Column6023"/>
    <tableColumn id="6029" xr3:uid="{85FF8C25-5D70-4784-8497-B22520737D71}" name="Column6024"/>
    <tableColumn id="6030" xr3:uid="{B24FCA2A-E94C-4211-9122-F69AE62900BE}" name="Column6025"/>
    <tableColumn id="6031" xr3:uid="{8C0AE1BC-A9C5-417E-98BB-39563D233F7B}" name="Column6026"/>
    <tableColumn id="6032" xr3:uid="{6E386E9B-0A00-4E30-8D84-8FC2D0615843}" name="Column6027"/>
    <tableColumn id="6033" xr3:uid="{2401EF7F-CD47-48B3-812A-D9F7A3D18769}" name="Column6028"/>
    <tableColumn id="6034" xr3:uid="{8074F14B-2309-4EB6-9461-934329BED5B4}" name="Column6029"/>
    <tableColumn id="6035" xr3:uid="{49CD21DD-AF5F-4670-AF3E-B728A9E65AEF}" name="Column6030"/>
    <tableColumn id="6036" xr3:uid="{C7CCE554-0BE5-4B9F-8D64-80587540AE09}" name="Column6031"/>
    <tableColumn id="6037" xr3:uid="{FD95C07D-4537-4C31-8B16-19313295EF04}" name="Column6032"/>
    <tableColumn id="6038" xr3:uid="{732EC45A-4ACB-44A4-9033-EF8B07EBD113}" name="Column6033"/>
    <tableColumn id="6039" xr3:uid="{3519EA1B-D562-4B25-8849-DAAAF27E75E8}" name="Column6034"/>
    <tableColumn id="6040" xr3:uid="{A946760A-E2D6-4DE1-83A2-B99C27C73BEE}" name="Column6035"/>
    <tableColumn id="6041" xr3:uid="{FF336288-8391-4641-B326-995F60A394B5}" name="Column6036"/>
    <tableColumn id="6042" xr3:uid="{4E485972-8992-42FF-9A40-D67473C0E441}" name="Column6037"/>
    <tableColumn id="6043" xr3:uid="{2F26D316-32B7-48CE-A8D8-50049657E47F}" name="Column6038"/>
    <tableColumn id="6044" xr3:uid="{E04DDC3B-FA01-4482-A3B9-C220CB8E0C3A}" name="Column6039"/>
    <tableColumn id="6045" xr3:uid="{733869DA-1651-401A-8EAF-A49521E9D692}" name="Column6040"/>
    <tableColumn id="6046" xr3:uid="{8ADC6261-F709-45BE-AF8F-D63231778789}" name="Column6041"/>
    <tableColumn id="6047" xr3:uid="{A6A50288-9452-4E08-9719-B39B2F9F92AD}" name="Column6042"/>
    <tableColumn id="6048" xr3:uid="{84A0724A-ACBC-4A75-898F-DC37D061858F}" name="Column6043"/>
    <tableColumn id="6049" xr3:uid="{00A91E5E-353D-4B4C-8DF5-5074A04C4284}" name="Column6044"/>
    <tableColumn id="6050" xr3:uid="{A8B6CD7D-FBEB-4A44-823F-0A84AB9EBC16}" name="Column6045"/>
    <tableColumn id="6051" xr3:uid="{A58FE5CD-A6EC-485F-A7B0-2E1D77FFC340}" name="Column6046"/>
    <tableColumn id="6052" xr3:uid="{7EB8482C-58A8-4670-802E-A264E2944241}" name="Column6047"/>
    <tableColumn id="6053" xr3:uid="{5C30177E-9C68-4032-9019-CFC48D20BFF5}" name="Column6048"/>
    <tableColumn id="6054" xr3:uid="{64E62B8B-07BE-41B3-8334-5C938B705652}" name="Column6049"/>
    <tableColumn id="6055" xr3:uid="{E267EFDF-51FC-4D74-BEA7-0D3B529011C5}" name="Column6050"/>
    <tableColumn id="6056" xr3:uid="{20853EA4-8F02-4010-87FB-1CBE20F434C9}" name="Column6051"/>
    <tableColumn id="6057" xr3:uid="{3C311D17-CEE5-4D7E-8D49-4A841FA2892D}" name="Column6052"/>
    <tableColumn id="6058" xr3:uid="{942AD753-B2A4-4FF6-8C88-07B8D653001B}" name="Column6053"/>
    <tableColumn id="6059" xr3:uid="{39A8EF2C-5ACC-467B-B7A3-8D6F33325E63}" name="Column6054"/>
    <tableColumn id="6060" xr3:uid="{FB2BD67F-A5F8-4109-9256-F116489E1259}" name="Column6055"/>
    <tableColumn id="6061" xr3:uid="{3553EB93-5A92-4554-A2F6-4DDF79A49DFC}" name="Column6056"/>
    <tableColumn id="6062" xr3:uid="{2AA09FC5-4D5E-4313-8322-181139E02E58}" name="Column6057"/>
    <tableColumn id="6063" xr3:uid="{E934E280-D100-4651-A516-4AF69C1B5C41}" name="Column6058"/>
    <tableColumn id="6064" xr3:uid="{25149507-FA76-4193-A017-E4255CE99C30}" name="Column6059"/>
    <tableColumn id="6065" xr3:uid="{892188AD-5D34-4A94-BA4B-54DA4DE06297}" name="Column6060"/>
    <tableColumn id="6066" xr3:uid="{F951F05B-58BE-428D-9BAE-31795057F4A9}" name="Column6061"/>
    <tableColumn id="6067" xr3:uid="{A912302A-C862-4D38-856D-FC6543D7CEFC}" name="Column6062"/>
    <tableColumn id="6068" xr3:uid="{DD1CEC61-9CFA-450A-9AA0-BC4CC0EB2012}" name="Column6063"/>
    <tableColumn id="6069" xr3:uid="{360E710D-DBA3-42B3-9558-81D3BD472098}" name="Column6064"/>
    <tableColumn id="6070" xr3:uid="{4D3C9EAC-6CA1-43F9-AD5E-E875AC38DFA5}" name="Column6065"/>
    <tableColumn id="6071" xr3:uid="{A42CDF40-E8F1-472E-A2F8-7C63B1F20ACA}" name="Column6066"/>
    <tableColumn id="6072" xr3:uid="{DFBFB4AD-680D-422B-BDBE-C1CB9B8031C3}" name="Column6067"/>
    <tableColumn id="6073" xr3:uid="{E11B424D-EBAE-4011-8005-BDE4D9C02F24}" name="Column6068"/>
    <tableColumn id="6074" xr3:uid="{5385A8B8-5B8E-4283-B023-716D58B68F5C}" name="Column6069"/>
    <tableColumn id="6075" xr3:uid="{DF96CE7F-9744-4331-9AAC-3A6189911A2B}" name="Column6070"/>
    <tableColumn id="6076" xr3:uid="{84CB5417-CD9D-43E4-A691-10A09E01E85E}" name="Column6071"/>
    <tableColumn id="6077" xr3:uid="{142F4B7B-DBCC-44A2-A9E4-085AD71FF2E7}" name="Column6072"/>
    <tableColumn id="6078" xr3:uid="{2A10080D-C7E4-4A6A-99B7-D5150C575AED}" name="Column6073"/>
    <tableColumn id="6079" xr3:uid="{A3385196-D68C-461A-AB40-B469234964D1}" name="Column6074"/>
    <tableColumn id="6080" xr3:uid="{365EB170-5027-43AE-81FC-32726B6D0BDB}" name="Column6075"/>
    <tableColumn id="6081" xr3:uid="{DC45D652-EED9-482B-A475-219ED13EBC3B}" name="Column6076"/>
    <tableColumn id="6082" xr3:uid="{220B5B2F-CB70-4FFE-ABD9-BEDD43EE6839}" name="Column6077"/>
    <tableColumn id="6083" xr3:uid="{006C7678-C317-482F-90F3-EFE6FBA90DE1}" name="Column6078"/>
    <tableColumn id="6084" xr3:uid="{3DDADB03-1E1B-44B1-B0D9-EBC3199F383B}" name="Column6079"/>
    <tableColumn id="6085" xr3:uid="{62A21047-AE8B-4F25-A639-CB56C20415D0}" name="Column6080"/>
    <tableColumn id="6086" xr3:uid="{005A1EE7-2BD6-47A6-9403-D63EB2A8813D}" name="Column6081"/>
    <tableColumn id="6087" xr3:uid="{EBFA2AAD-C498-4646-9786-E76DAFD01C7A}" name="Column6082"/>
    <tableColumn id="6088" xr3:uid="{5886793F-6C4A-4F06-B41B-CD5C9F00FA17}" name="Column6083"/>
    <tableColumn id="6089" xr3:uid="{285E282F-62F8-4684-87A9-2CDF07FF8AFB}" name="Column6084"/>
    <tableColumn id="6090" xr3:uid="{C5A27745-87CA-4A37-9B68-C8EBD1175B32}" name="Column6085"/>
    <tableColumn id="6091" xr3:uid="{E6EE4FE7-D6AA-488B-976A-BCD6A9011332}" name="Column6086"/>
    <tableColumn id="6092" xr3:uid="{46D2C177-9C90-47C5-A52D-ECC4A77D23E1}" name="Column6087"/>
    <tableColumn id="6093" xr3:uid="{E59F94D4-5C6A-4FDF-B801-5015AE1C8E05}" name="Column6088"/>
    <tableColumn id="6094" xr3:uid="{42BCE6B9-9167-4DF4-97BD-C6EB71F82430}" name="Column6089"/>
    <tableColumn id="6095" xr3:uid="{A4B63D51-9714-44E5-8C60-AB0799AB23E7}" name="Column6090"/>
    <tableColumn id="6096" xr3:uid="{E9FF6F1C-F1A6-4558-BC45-A50D5A38266D}" name="Column6091"/>
    <tableColumn id="6097" xr3:uid="{67081064-3B94-4EEA-88BF-8BEE96724809}" name="Column6092"/>
    <tableColumn id="6098" xr3:uid="{6B6BCE2E-B750-46AD-BF16-77366B8E5708}" name="Column6093"/>
    <tableColumn id="6099" xr3:uid="{68C36433-EFB8-45A1-BB7D-D92D7195C67C}" name="Column6094"/>
    <tableColumn id="6100" xr3:uid="{8B500535-C37F-447E-AFC5-10628405EDAE}" name="Column6095"/>
    <tableColumn id="6101" xr3:uid="{4BC3BBCC-2391-4419-8E56-40FD39F0734D}" name="Column6096"/>
    <tableColumn id="6102" xr3:uid="{4A959F76-49A4-40EB-B61A-5B29B8593BD0}" name="Column6097"/>
    <tableColumn id="6103" xr3:uid="{BBBE9712-E850-4A13-8D33-5C333200BC64}" name="Column6098"/>
    <tableColumn id="6104" xr3:uid="{1523F462-C39E-496A-876C-59682ADA1B41}" name="Column6099"/>
    <tableColumn id="6105" xr3:uid="{E8F0C010-5389-41C8-B728-0981BEFD0C07}" name="Column6100"/>
    <tableColumn id="6106" xr3:uid="{DF049CE8-20EF-488C-82DD-791E0E06399C}" name="Column6101"/>
    <tableColumn id="6107" xr3:uid="{9C3DE481-DCD7-444A-AE50-E8807DF9F0F1}" name="Column6102"/>
    <tableColumn id="6108" xr3:uid="{29DC650A-EBDC-4247-9737-EE7824C5DD87}" name="Column6103"/>
    <tableColumn id="6109" xr3:uid="{9AF4FD17-4850-408F-B5B2-D1A81ABC8009}" name="Column6104"/>
    <tableColumn id="6110" xr3:uid="{7AE1A2A3-DB0D-4BB3-B906-C9E9D10C833A}" name="Column6105"/>
    <tableColumn id="6111" xr3:uid="{3FC30631-E0A4-4B4D-BFC3-C620E3237447}" name="Column6106"/>
    <tableColumn id="6112" xr3:uid="{1E72AB64-E915-4689-9AC0-EC7282A1055F}" name="Column6107"/>
    <tableColumn id="6113" xr3:uid="{8CD84781-5B2D-4299-8CC1-2AA5404912B7}" name="Column6108"/>
    <tableColumn id="6114" xr3:uid="{AB89EE13-3774-403A-AE00-E9DC4ADB6204}" name="Column6109"/>
    <tableColumn id="6115" xr3:uid="{D9C104FD-D54D-4017-B980-2501E6E162B6}" name="Column6110"/>
    <tableColumn id="6116" xr3:uid="{F171A1F4-B1A8-45CC-B3CA-45CBB248B012}" name="Column6111"/>
    <tableColumn id="6117" xr3:uid="{E9C6E2B4-2743-4018-8E82-37D10EDB04BB}" name="Column6112"/>
    <tableColumn id="6118" xr3:uid="{51CD05CB-9DB5-4482-A6CA-7FAF9E246260}" name="Column6113"/>
    <tableColumn id="6119" xr3:uid="{D15638D5-0F2B-49EB-A61D-2707015898D5}" name="Column6114"/>
    <tableColumn id="6120" xr3:uid="{3EF129D4-ACCC-4AEC-BBAB-B00B50B4E60C}" name="Column6115"/>
    <tableColumn id="6121" xr3:uid="{D981E647-A399-4492-AE0E-872063A41A51}" name="Column6116"/>
    <tableColumn id="6122" xr3:uid="{D7F36CBC-B993-446B-BFD5-764968B3ADC7}" name="Column6117"/>
    <tableColumn id="6123" xr3:uid="{3B1E0D5C-F65D-4323-8736-D94DDFD4B60B}" name="Column6118"/>
    <tableColumn id="6124" xr3:uid="{B47E150E-8669-46D8-80E2-A0AF76AB814B}" name="Column6119"/>
    <tableColumn id="6125" xr3:uid="{C6C16E24-4160-4818-95E6-786E4D3674A6}" name="Column6120"/>
    <tableColumn id="6126" xr3:uid="{4844D284-28A2-4C58-BB08-93F03E7A7CAA}" name="Column6121"/>
    <tableColumn id="6127" xr3:uid="{5488AD8C-2256-474F-96E6-471591811919}" name="Column6122"/>
    <tableColumn id="6128" xr3:uid="{E2640E00-5944-4EA2-A954-6894FC059FCE}" name="Column6123"/>
    <tableColumn id="6129" xr3:uid="{FFFD9659-53A9-4695-A82C-2669C36B68C1}" name="Column6124"/>
    <tableColumn id="6130" xr3:uid="{14EA32D5-D499-48C4-A63C-70AED63D472B}" name="Column6125"/>
    <tableColumn id="6131" xr3:uid="{D3AD3A63-9807-4184-A5D2-068994E0C101}" name="Column6126"/>
    <tableColumn id="6132" xr3:uid="{D97A204F-3274-4246-B2BB-A86C126041A8}" name="Column6127"/>
    <tableColumn id="6133" xr3:uid="{0CD4A336-ECEB-4CA6-A2F7-7C8BE5D858EE}" name="Column6128"/>
    <tableColumn id="6134" xr3:uid="{16BD5722-D983-45B9-8714-2EC891EC5042}" name="Column6129"/>
    <tableColumn id="6135" xr3:uid="{8D089603-375F-4020-9306-63A4D36871DB}" name="Column6130"/>
    <tableColumn id="6136" xr3:uid="{2C853221-F936-4937-8B7B-A7436D252F76}" name="Column6131"/>
    <tableColumn id="6137" xr3:uid="{76BD4FB6-9855-48C8-836D-F260374535A9}" name="Column6132"/>
    <tableColumn id="6138" xr3:uid="{75F5E072-C4BB-4F22-9E2A-EC2B8B368254}" name="Column6133"/>
    <tableColumn id="6139" xr3:uid="{1BB1D13C-2DDE-4031-83C0-6B30E835F61F}" name="Column6134"/>
    <tableColumn id="6140" xr3:uid="{0F88BCDC-5B04-4500-B6DA-500487E39541}" name="Column6135"/>
    <tableColumn id="6141" xr3:uid="{ABD7FBE9-EDB4-4707-BF9A-7B83971184F5}" name="Column6136"/>
    <tableColumn id="6142" xr3:uid="{DDF10E55-7D67-4CC4-B6BC-339A03A764C8}" name="Column6137"/>
    <tableColumn id="6143" xr3:uid="{4D6FFD18-1CB1-40A7-80C0-E51BA7A81A78}" name="Column6138"/>
    <tableColumn id="6144" xr3:uid="{89D9AE99-E404-418B-8BB0-46BBA0630184}" name="Column6139"/>
    <tableColumn id="6145" xr3:uid="{DC339567-56C3-4BB7-ACD7-21D7D75B79F8}" name="Column6140"/>
    <tableColumn id="6146" xr3:uid="{9C88BB3C-FCAB-4645-93F1-D7ABD65EF1DA}" name="Column6141"/>
    <tableColumn id="6147" xr3:uid="{4713FB6F-EDFB-4312-83FF-B80F1CDABEEE}" name="Column6142"/>
    <tableColumn id="6148" xr3:uid="{C600C775-CAA7-4D89-A763-65C5A7D1AE34}" name="Column6143"/>
    <tableColumn id="6149" xr3:uid="{42F9777F-4ABE-4DC0-B242-32EA57B180C6}" name="Column6144"/>
    <tableColumn id="6150" xr3:uid="{57F3BEE1-7466-4D0C-AD5F-4412660A1509}" name="Column6145"/>
    <tableColumn id="6151" xr3:uid="{42B6AC0E-CD41-4AEB-8CC8-903D5BC1B523}" name="Column6146"/>
    <tableColumn id="6152" xr3:uid="{17811014-869A-4B49-9A6E-7C8678D48789}" name="Column6147"/>
    <tableColumn id="6153" xr3:uid="{074D9128-0242-41E3-B238-AE76E45A282C}" name="Column6148"/>
    <tableColumn id="6154" xr3:uid="{30649FB9-54D8-49D4-A6EE-994684CF7149}" name="Column6149"/>
    <tableColumn id="6155" xr3:uid="{8832AA81-9649-4296-8C2F-F7DDF692E3B0}" name="Column6150"/>
    <tableColumn id="6156" xr3:uid="{FC1C7A5F-AE81-4DFE-9216-7F387EECA2BB}" name="Column6151"/>
    <tableColumn id="6157" xr3:uid="{8C923442-A0D9-4F87-81AF-4D08CB1D4337}" name="Column6152"/>
    <tableColumn id="6158" xr3:uid="{5CA52F6A-A4B7-4899-BE6C-2FBE99FBEF08}" name="Column6153"/>
    <tableColumn id="6159" xr3:uid="{5AB795FC-C091-483C-9B47-96F29677CBA8}" name="Column6154"/>
    <tableColumn id="6160" xr3:uid="{9EC8BD6B-96BD-45C2-917E-D72620F375E6}" name="Column6155"/>
    <tableColumn id="6161" xr3:uid="{2F4DD9B5-C020-483E-BE71-F19F9BDE11C2}" name="Column6156"/>
    <tableColumn id="6162" xr3:uid="{ABF42924-B37B-4240-97E9-B9371264B031}" name="Column6157"/>
    <tableColumn id="6163" xr3:uid="{A45B66BA-CF26-4441-990A-2859985A8861}" name="Column6158"/>
    <tableColumn id="6164" xr3:uid="{EFB8C594-5045-4818-B227-853E1036429C}" name="Column6159"/>
    <tableColumn id="6165" xr3:uid="{2474BAEF-15A5-488F-A6FD-D880D0B6D32C}" name="Column6160"/>
    <tableColumn id="6166" xr3:uid="{7226983D-9E5B-4603-BF99-C240FC4D71FE}" name="Column6161"/>
    <tableColumn id="6167" xr3:uid="{B37405EF-1CDE-4C31-8A3B-7950A01B1AC4}" name="Column6162"/>
    <tableColumn id="6168" xr3:uid="{DF228CBB-C6BA-4E45-BAFE-EA11A1A57C3B}" name="Column6163"/>
    <tableColumn id="6169" xr3:uid="{2C39338A-B73C-4DFB-B324-35313EF4C2E5}" name="Column6164"/>
    <tableColumn id="6170" xr3:uid="{A56ACF5D-0B94-4B07-A399-E88BB45EF138}" name="Column6165"/>
    <tableColumn id="6171" xr3:uid="{05F1C0B7-1A84-481F-BE5F-AD8CDFC067E2}" name="Column6166"/>
    <tableColumn id="6172" xr3:uid="{FBFDE549-5F8A-43CC-B79A-7B4E856A203E}" name="Column6167"/>
    <tableColumn id="6173" xr3:uid="{0FA72A01-6B36-4945-B993-1877909EF631}" name="Column6168"/>
    <tableColumn id="6174" xr3:uid="{CF074DD5-6569-4143-943A-F925597D1211}" name="Column6169"/>
    <tableColumn id="6175" xr3:uid="{DA010AFA-E8D9-4855-9DDC-387A38618EFD}" name="Column6170"/>
    <tableColumn id="6176" xr3:uid="{F78CEE99-A4AF-47A3-B552-3F28E5A604E6}" name="Column6171"/>
    <tableColumn id="6177" xr3:uid="{59DF181C-BD83-4969-BBA4-8B9BA1CBC2E0}" name="Column6172"/>
    <tableColumn id="6178" xr3:uid="{FEF38E6F-2FDD-48B7-9996-20DF44AC53DD}" name="Column6173"/>
    <tableColumn id="6179" xr3:uid="{FF7A3C10-59EA-494B-A3B8-6E3CE7B44E72}" name="Column6174"/>
    <tableColumn id="6180" xr3:uid="{78D14DD3-D02D-46CA-A644-3C44A485A9EE}" name="Column6175"/>
    <tableColumn id="6181" xr3:uid="{1C5E9F8E-FA28-4223-8061-F2D1B936AFA8}" name="Column6176"/>
    <tableColumn id="6182" xr3:uid="{2DD32B4D-D57E-4D5E-B81F-9D598B769F96}" name="Column6177"/>
    <tableColumn id="6183" xr3:uid="{642F1431-3AF4-4B83-8F30-C13DB2BC40C8}" name="Column6178"/>
    <tableColumn id="6184" xr3:uid="{A35279CA-7604-4A8F-BE69-100118A68E63}" name="Column6179"/>
    <tableColumn id="6185" xr3:uid="{8D6A0CBE-EE35-438D-B3B3-001AEE019909}" name="Column6180"/>
    <tableColumn id="6186" xr3:uid="{55ADE451-F44A-49E6-8829-E7642D54A861}" name="Column6181"/>
    <tableColumn id="6187" xr3:uid="{0F86DFD5-C865-4D7F-B37E-D649F9FC2E3B}" name="Column6182"/>
    <tableColumn id="6188" xr3:uid="{8AF6130E-F74A-4496-83B4-6A71BCABD933}" name="Column6183"/>
    <tableColumn id="6189" xr3:uid="{DC3063BF-B414-4164-91D8-B4D57FD8BDF7}" name="Column6184"/>
    <tableColumn id="6190" xr3:uid="{EBD43B47-BDAA-476F-BFF3-12DD7FB9420C}" name="Column6185"/>
    <tableColumn id="6191" xr3:uid="{B0A693CF-48AF-40DB-9A25-D3D4FE0580D4}" name="Column6186"/>
    <tableColumn id="6192" xr3:uid="{89FE093B-C3F6-43AC-9571-EC0EA2C2FE6E}" name="Column6187"/>
    <tableColumn id="6193" xr3:uid="{05D7F099-98E6-4274-9219-A6011320B36E}" name="Column6188"/>
    <tableColumn id="6194" xr3:uid="{C5BC59C7-A9ED-4B14-9493-B85E3E977A75}" name="Column6189"/>
    <tableColumn id="6195" xr3:uid="{70204ACA-C969-4F12-9F6B-075DD52418D2}" name="Column6190"/>
    <tableColumn id="6196" xr3:uid="{42CEB66F-318F-4796-BB7B-866E506706CC}" name="Column6191"/>
    <tableColumn id="6197" xr3:uid="{95EE3135-366E-4CD0-AF81-78AED38A5B1B}" name="Column6192"/>
    <tableColumn id="6198" xr3:uid="{04A5E325-F994-4519-96F2-98878D7B3AF0}" name="Column6193"/>
    <tableColumn id="6199" xr3:uid="{2B852998-B55E-46F2-8DC8-6CFFCD8A1284}" name="Column6194"/>
    <tableColumn id="6200" xr3:uid="{F6C13BAD-4E60-4D92-8115-7CFAABBEF002}" name="Column6195"/>
    <tableColumn id="6201" xr3:uid="{B6C6C9B0-1CAE-4BF9-BF08-1095A4F38B69}" name="Column6196"/>
    <tableColumn id="6202" xr3:uid="{56E3F86C-1F21-4C2C-92DD-8E41AC1873EF}" name="Column6197"/>
    <tableColumn id="6203" xr3:uid="{800C7DDE-D41A-4338-BC66-3825139AF7E6}" name="Column6198"/>
    <tableColumn id="6204" xr3:uid="{3D957033-A526-436F-AE1F-695FFCAB0457}" name="Column6199"/>
    <tableColumn id="6205" xr3:uid="{14E4039A-EFB8-4E7A-B658-C6B8D33ABD5C}" name="Column6200"/>
    <tableColumn id="6206" xr3:uid="{47536B33-6EDF-49F8-A44B-2A5183D432BD}" name="Column6201"/>
    <tableColumn id="6207" xr3:uid="{57D8F7A9-A852-469F-9D08-4006291062E1}" name="Column6202"/>
    <tableColumn id="6208" xr3:uid="{48640B0B-A34B-4838-B0D4-EBE1EFE82FBF}" name="Column6203"/>
    <tableColumn id="6209" xr3:uid="{4CBB65FB-8EF8-4FBC-A0C7-AC6A6B288BA4}" name="Column6204"/>
    <tableColumn id="6210" xr3:uid="{6440CA96-DF3A-43E0-84B8-9986C575A2AC}" name="Column6205"/>
    <tableColumn id="6211" xr3:uid="{5B9A1756-046B-4CAA-99C1-6247C7D3028C}" name="Column6206"/>
    <tableColumn id="6212" xr3:uid="{EE535377-44C0-4CB3-B17E-C8DF7CB02DDC}" name="Column6207"/>
    <tableColumn id="6213" xr3:uid="{E452ECE5-0854-4A91-A793-D5F0B2D6EB8A}" name="Column6208"/>
    <tableColumn id="6214" xr3:uid="{8DE83876-64E1-4E0E-8B00-AB474538E3E9}" name="Column6209"/>
    <tableColumn id="6215" xr3:uid="{08D39A6F-C2F4-4170-9F6A-0784A2E93D24}" name="Column6210"/>
    <tableColumn id="6216" xr3:uid="{F4CA264B-C983-445D-A23A-D58D510A31ED}" name="Column6211"/>
    <tableColumn id="6217" xr3:uid="{F814E0BE-63B9-40B0-8442-FC9F055D8589}" name="Column6212"/>
    <tableColumn id="6218" xr3:uid="{253D2989-A91E-4BF5-92ED-DDE896CC8F90}" name="Column6213"/>
    <tableColumn id="6219" xr3:uid="{06B8A8D6-C369-49E8-8B7A-9FFB34EA7998}" name="Column6214"/>
    <tableColumn id="6220" xr3:uid="{D14C1F62-3A7B-4BB5-BA8C-489FFF3D46CD}" name="Column6215"/>
    <tableColumn id="6221" xr3:uid="{2A1AAD2A-E64D-4B12-88BE-499540956C27}" name="Column6216"/>
    <tableColumn id="6222" xr3:uid="{0910157A-3E49-4C41-909C-F18929361A73}" name="Column6217"/>
    <tableColumn id="6223" xr3:uid="{40385CEA-7998-40EF-82A8-9E34E146115D}" name="Column6218"/>
    <tableColumn id="6224" xr3:uid="{3A2B074C-F3B8-4AD4-B624-F2C59B9811A1}" name="Column6219"/>
    <tableColumn id="6225" xr3:uid="{C4685DC8-8FCA-4092-B1E5-1698F1184AAB}" name="Column6220"/>
    <tableColumn id="6226" xr3:uid="{102D0755-5CD9-44A0-9429-CA8D522F2D4B}" name="Column6221"/>
    <tableColumn id="6227" xr3:uid="{80315EC3-A072-4293-AD1C-F4D16E3844B0}" name="Column6222"/>
    <tableColumn id="6228" xr3:uid="{7EE9E5FB-1088-4AA0-8DEB-27A3B1D30E2C}" name="Column6223"/>
    <tableColumn id="6229" xr3:uid="{AB072EE5-160D-46F9-A7EA-7F979EF343D6}" name="Column6224"/>
    <tableColumn id="6230" xr3:uid="{2DA5E206-4761-457E-A73D-D285A4D552C4}" name="Column6225"/>
    <tableColumn id="6231" xr3:uid="{B1A5F517-67F2-4FDA-9568-EEAB81A2ADDA}" name="Column6226"/>
    <tableColumn id="6232" xr3:uid="{D294141D-21A0-4015-86F6-E29091225271}" name="Column6227"/>
    <tableColumn id="6233" xr3:uid="{86B149CD-BD05-4525-BD5D-B440FE665AF3}" name="Column6228"/>
    <tableColumn id="6234" xr3:uid="{D499BE71-1DE8-4F8E-9D98-93D54C2BEA70}" name="Column6229"/>
    <tableColumn id="6235" xr3:uid="{7BE24EDF-CAED-4049-BDD1-59601EF7C4B3}" name="Column6230"/>
    <tableColumn id="6236" xr3:uid="{423B31EE-8D82-43D4-B0CF-DBE18100E70A}" name="Column6231"/>
    <tableColumn id="6237" xr3:uid="{B67C38D8-309D-4C70-AC7C-E9AE46A1F233}" name="Column6232"/>
    <tableColumn id="6238" xr3:uid="{50045463-24E0-46F5-B282-33C98140F6EB}" name="Column6233"/>
    <tableColumn id="6239" xr3:uid="{03239599-B007-41A5-AB18-9EE25BDB6E23}" name="Column6234"/>
    <tableColumn id="6240" xr3:uid="{020DA162-D8CA-41B8-90B1-9D1D486439CC}" name="Column6235"/>
    <tableColumn id="6241" xr3:uid="{860FD2F3-8B8D-4275-871F-2FB9A5254449}" name="Column6236"/>
    <tableColumn id="6242" xr3:uid="{88ED1EC4-59E9-4F23-BC14-2263FC3F0702}" name="Column6237"/>
    <tableColumn id="6243" xr3:uid="{AE682C43-A75E-4861-A4C4-BEA7DABD4163}" name="Column6238"/>
    <tableColumn id="6244" xr3:uid="{1C562E4F-C11C-496E-B979-48D5B72479C9}" name="Column6239"/>
    <tableColumn id="6245" xr3:uid="{50FD8BFF-0369-45B0-81DD-4BEA92E57991}" name="Column6240"/>
    <tableColumn id="6246" xr3:uid="{4D3F7F18-92FA-48B2-866D-41C3B4A182AB}" name="Column6241"/>
    <tableColumn id="6247" xr3:uid="{1EE74B99-A451-44B3-A5A3-0159A29209E0}" name="Column6242"/>
    <tableColumn id="6248" xr3:uid="{44ECE60E-9AFD-495C-85C6-4304517C59C6}" name="Column6243"/>
    <tableColumn id="6249" xr3:uid="{D475DBB9-2FDD-4666-A684-C113A00FC4E2}" name="Column6244"/>
    <tableColumn id="6250" xr3:uid="{C965ADE0-25B5-43FC-8E3B-DC7EC9299355}" name="Column6245"/>
    <tableColumn id="6251" xr3:uid="{B9C8F06B-BD36-4BC2-B1B5-4E3C833F4DAE}" name="Column6246"/>
    <tableColumn id="6252" xr3:uid="{FB017AC4-F98E-4D91-BB36-FE2DBC21E564}" name="Column6247"/>
    <tableColumn id="6253" xr3:uid="{CBAEF8A8-E6EC-4493-879B-282E9D0D318E}" name="Column6248"/>
    <tableColumn id="6254" xr3:uid="{8F0EDE15-1502-4CFC-B65E-270301702396}" name="Column6249"/>
    <tableColumn id="6255" xr3:uid="{AE312316-E77C-4EFA-B08E-487F27BBCD53}" name="Column6250"/>
    <tableColumn id="6256" xr3:uid="{7DF6846D-4F8C-4B18-9BD5-BCFFDDE06CD3}" name="Column6251"/>
    <tableColumn id="6257" xr3:uid="{27800D2E-4CAD-4397-8D80-71B89C87DCC4}" name="Column6252"/>
    <tableColumn id="6258" xr3:uid="{0EC33551-D436-42DD-A8FF-AFC11A918766}" name="Column6253"/>
    <tableColumn id="6259" xr3:uid="{218037BB-154D-467E-93A0-BA86C50C3FE4}" name="Column6254"/>
    <tableColumn id="6260" xr3:uid="{C45110A8-C82E-4235-B638-4D8C45D1CA0C}" name="Column6255"/>
    <tableColumn id="6261" xr3:uid="{B2A57BA4-608A-46ED-A46D-9E9EC87EDA20}" name="Column6256"/>
    <tableColumn id="6262" xr3:uid="{3F034522-0F6B-448C-9465-4F013A47DE4C}" name="Column6257"/>
    <tableColumn id="6263" xr3:uid="{F3B95229-8E3A-4A3F-8BA8-125D247FCCC1}" name="Column6258"/>
    <tableColumn id="6264" xr3:uid="{2D48B0F4-4599-47AC-B1BF-2DE27664B40C}" name="Column6259"/>
    <tableColumn id="6265" xr3:uid="{1C8BC876-2A32-4463-ABE7-CE2865EFFF59}" name="Column6260"/>
    <tableColumn id="6266" xr3:uid="{88D62CAE-6A78-4C6F-94C4-A793991824BF}" name="Column6261"/>
    <tableColumn id="6267" xr3:uid="{9A4C54D8-63D0-4AED-8974-44C07561ECE7}" name="Column6262"/>
    <tableColumn id="6268" xr3:uid="{967AA4C3-E13E-4E7B-BCF7-1C99D407AFC2}" name="Column6263"/>
    <tableColumn id="6269" xr3:uid="{A61554C8-D526-4DC4-8613-8099BEC2315A}" name="Column6264"/>
    <tableColumn id="6270" xr3:uid="{58771D7B-19FB-45BB-AF68-12C75BCB7134}" name="Column6265"/>
    <tableColumn id="6271" xr3:uid="{4A681A39-58FF-4711-934E-105D23681173}" name="Column6266"/>
    <tableColumn id="6272" xr3:uid="{139EF0F5-4110-40F5-8C23-51498964FA99}" name="Column6267"/>
    <tableColumn id="6273" xr3:uid="{C6D1366C-AAE6-40E1-A8D9-EB77556CA3B9}" name="Column6268"/>
    <tableColumn id="6274" xr3:uid="{39A37A6F-1219-4FD6-849E-CF830E2DAD49}" name="Column6269"/>
    <tableColumn id="6275" xr3:uid="{4FF99C07-ED86-4F82-A670-6E1F57D182A3}" name="Column6270"/>
    <tableColumn id="6276" xr3:uid="{AD3ADED9-787A-4AE8-BF4A-5528FF65BFF8}" name="Column6271"/>
    <tableColumn id="6277" xr3:uid="{0AAC9E5A-7360-4264-8667-BC4684EEAE04}" name="Column6272"/>
    <tableColumn id="6278" xr3:uid="{1CD356C2-AF92-4840-A761-0F539D10A7A2}" name="Column6273"/>
    <tableColumn id="6279" xr3:uid="{03A26FD8-E713-4162-9824-09763962381A}" name="Column6274"/>
    <tableColumn id="6280" xr3:uid="{E27992C1-1273-43C8-A8F9-179BE7BF9D4A}" name="Column6275"/>
    <tableColumn id="6281" xr3:uid="{4419BC82-8146-49E0-A629-1278B2707923}" name="Column6276"/>
    <tableColumn id="6282" xr3:uid="{2999D8B0-1993-44D5-A69C-FF6BACB3B63B}" name="Column6277"/>
    <tableColumn id="6283" xr3:uid="{80751018-2D84-4CAB-B21E-9353843881DF}" name="Column6278"/>
    <tableColumn id="6284" xr3:uid="{C2EFE020-93F3-416E-B6F0-CFD547892823}" name="Column6279"/>
    <tableColumn id="6285" xr3:uid="{E81F6E11-4FDF-4354-9577-0119DA7964A6}" name="Column6280"/>
    <tableColumn id="6286" xr3:uid="{EFCE842F-DC37-4E6E-B67D-FAD00E12868A}" name="Column6281"/>
    <tableColumn id="6287" xr3:uid="{3BD100F6-FED8-4431-ACCD-D5113F67FB64}" name="Column6282"/>
    <tableColumn id="6288" xr3:uid="{4FC67E60-50E0-4CD8-8BB2-F600986C945F}" name="Column6283"/>
    <tableColumn id="6289" xr3:uid="{318B17A9-1AEB-41C1-95F9-3AC2F209AEF1}" name="Column6284"/>
    <tableColumn id="6290" xr3:uid="{6449BECE-6D9E-4C73-9FE8-C84ABE99BC89}" name="Column6285"/>
    <tableColumn id="6291" xr3:uid="{69CE157D-D20A-4597-A4EE-7C351E09A542}" name="Column6286"/>
    <tableColumn id="6292" xr3:uid="{40B52B92-16ED-4004-B734-ECFF7FA4C630}" name="Column6287"/>
    <tableColumn id="6293" xr3:uid="{1CA6683B-3721-4E91-AEE6-C4E05499E326}" name="Column6288"/>
    <tableColumn id="6294" xr3:uid="{F3757E03-CDFD-4F9D-A44C-DFF378FA1706}" name="Column6289"/>
    <tableColumn id="6295" xr3:uid="{30EB8931-C2BE-4892-9ADF-07855DFBC92E}" name="Column6290"/>
    <tableColumn id="6296" xr3:uid="{98C1893D-42B6-426F-9156-B0582FDF9270}" name="Column6291"/>
    <tableColumn id="6297" xr3:uid="{C69CB62B-F1E4-4167-83A5-5A16572EEABC}" name="Column6292"/>
    <tableColumn id="6298" xr3:uid="{E6D8F911-E3D2-498E-AE61-C14C8E4FE560}" name="Column6293"/>
    <tableColumn id="6299" xr3:uid="{E145136A-18E9-473D-B589-07548E8DFDAF}" name="Column6294"/>
    <tableColumn id="6300" xr3:uid="{A769E6B8-26B7-4BAE-A20A-776D66DAD35B}" name="Column6295"/>
    <tableColumn id="6301" xr3:uid="{56E4F89E-CAF5-4E02-8ACB-05543BDFDBA1}" name="Column6296"/>
    <tableColumn id="6302" xr3:uid="{29D4E93F-A14A-468A-A8A8-5907113D3387}" name="Column6297"/>
    <tableColumn id="6303" xr3:uid="{06D7A3FA-4D29-45C2-9DB5-B80EA0090169}" name="Column6298"/>
    <tableColumn id="6304" xr3:uid="{671DF720-D873-4905-81AA-C61F0E9CAB2C}" name="Column6299"/>
    <tableColumn id="6305" xr3:uid="{727FDCA4-AE64-401D-B7F3-F3790A336904}" name="Column6300"/>
    <tableColumn id="6306" xr3:uid="{C7FBBE9B-1E96-442D-9612-0831B92A972F}" name="Column6301"/>
    <tableColumn id="6307" xr3:uid="{5CB05482-CDB8-4A3E-A0DC-F91BA5AB3858}" name="Column6302"/>
    <tableColumn id="6308" xr3:uid="{497F30AA-3156-472F-81DA-5FDDCEB79CAB}" name="Column6303"/>
    <tableColumn id="6309" xr3:uid="{EA849E2C-1A2B-45C8-97F6-94E24B3104D3}" name="Column6304"/>
    <tableColumn id="6310" xr3:uid="{6D7E1159-6FE5-4404-B69F-1229D84D2059}" name="Column6305"/>
    <tableColumn id="6311" xr3:uid="{45F39024-5224-435C-948F-D0C52B8CA20F}" name="Column6306"/>
    <tableColumn id="6312" xr3:uid="{BAFE154D-4C7C-40D6-B271-6B18BD7F9799}" name="Column6307"/>
    <tableColumn id="6313" xr3:uid="{865A33FF-BB43-4413-966D-B411A7132921}" name="Column6308"/>
    <tableColumn id="6314" xr3:uid="{B5DCBC85-02BD-4832-BDF6-98F82DBA3B1A}" name="Column6309"/>
    <tableColumn id="6315" xr3:uid="{C35FFB47-AD54-46B6-AAF3-222BF0F87B42}" name="Column6310"/>
    <tableColumn id="6316" xr3:uid="{B3191851-3C11-4D84-A99F-AFEF8DE92DB4}" name="Column6311"/>
    <tableColumn id="6317" xr3:uid="{5786809B-8B5C-4414-B6A3-B589B53DEA41}" name="Column6312"/>
    <tableColumn id="6318" xr3:uid="{DD518FBD-506A-4E28-B4A9-1F619A1C0140}" name="Column6313"/>
    <tableColumn id="6319" xr3:uid="{374F015F-348A-4BCC-9B1C-1B111E9EBE3F}" name="Column6314"/>
    <tableColumn id="6320" xr3:uid="{77EF88C3-D116-4DFB-8E33-FF38ADB07E01}" name="Column6315"/>
    <tableColumn id="6321" xr3:uid="{CDB37BB3-F5A9-4E9C-932B-94745DB4218C}" name="Column6316"/>
    <tableColumn id="6322" xr3:uid="{AC480286-75C8-4419-9382-4373FDFE5D0D}" name="Column6317"/>
    <tableColumn id="6323" xr3:uid="{8206EDC5-B06F-4659-999A-4BE37BDE4B32}" name="Column6318"/>
    <tableColumn id="6324" xr3:uid="{7C6B2EEA-D9F8-4B7D-AB25-D8F655A06106}" name="Column6319"/>
    <tableColumn id="6325" xr3:uid="{E631AC54-7438-44A9-96E7-E76D1B083965}" name="Column6320"/>
    <tableColumn id="6326" xr3:uid="{D16C0172-CA6B-4FE0-BB03-AE8F9B192D65}" name="Column6321"/>
    <tableColumn id="6327" xr3:uid="{DE3FB011-7B2B-4F6C-BE88-82CCE7284571}" name="Column6322"/>
    <tableColumn id="6328" xr3:uid="{ED772627-F227-4385-95B6-992E781C71E1}" name="Column6323"/>
    <tableColumn id="6329" xr3:uid="{8277FAB5-34B1-41FF-8FA5-4D805D1E2E6E}" name="Column6324"/>
    <tableColumn id="6330" xr3:uid="{D7C5C549-3DCE-4E7C-B1BD-14DA3732FFCF}" name="Column6325"/>
    <tableColumn id="6331" xr3:uid="{598B118D-1687-41BF-9AF5-6F94504FCEB8}" name="Column6326"/>
    <tableColumn id="6332" xr3:uid="{264ABB83-4FA7-48D4-B30E-43B558169A6A}" name="Column6327"/>
    <tableColumn id="6333" xr3:uid="{48F0BF6D-A040-4451-9090-A5D7F868C0C1}" name="Column6328"/>
    <tableColumn id="6334" xr3:uid="{6980A690-9CB3-438A-86BC-0A2547A7B736}" name="Column6329"/>
    <tableColumn id="6335" xr3:uid="{D8FE2122-056D-4632-8FE7-F61BEB668718}" name="Column6330"/>
    <tableColumn id="6336" xr3:uid="{A440C73A-05E8-4E75-9C11-7CC8D37C46C6}" name="Column6331"/>
    <tableColumn id="6337" xr3:uid="{29787A89-CB58-422A-B9A9-E64B5770023A}" name="Column6332"/>
    <tableColumn id="6338" xr3:uid="{8A4331D5-4787-4CE4-A8FA-A7DFC5E70DF5}" name="Column6333"/>
    <tableColumn id="6339" xr3:uid="{D7597BE9-8222-4555-910C-38C5A5DD65DF}" name="Column6334"/>
    <tableColumn id="6340" xr3:uid="{A267EDD3-687F-468C-84D0-F7E35EA0BDBE}" name="Column6335"/>
    <tableColumn id="6341" xr3:uid="{6E230029-C15B-41E9-AA4A-79022B61252F}" name="Column6336"/>
    <tableColumn id="6342" xr3:uid="{D7448E76-96E5-4270-8F20-5D7312EB716F}" name="Column6337"/>
    <tableColumn id="6343" xr3:uid="{3C01882D-3264-4C31-8C93-3853E0507677}" name="Column6338"/>
    <tableColumn id="6344" xr3:uid="{BBD47930-720A-4C07-B058-7086296571B1}" name="Column6339"/>
    <tableColumn id="6345" xr3:uid="{96675196-8B82-454D-BBFD-A29E26145EB4}" name="Column6340"/>
    <tableColumn id="6346" xr3:uid="{CD6ED9D7-0CFB-4DD5-8B6F-CF3C0E28B9F6}" name="Column6341"/>
    <tableColumn id="6347" xr3:uid="{195A0F84-14C3-4E2F-88B4-B3BD7D2EEDA0}" name="Column6342"/>
    <tableColumn id="6348" xr3:uid="{4ED33521-AE22-48A0-A007-495228D7941D}" name="Column6343"/>
    <tableColumn id="6349" xr3:uid="{3FB9A1C5-09C8-4DC7-ACAE-7F3B149B783B}" name="Column6344"/>
    <tableColumn id="6350" xr3:uid="{F73B5065-B1E3-4AE7-9AA7-A5FC5B0C8E6D}" name="Column6345"/>
    <tableColumn id="6351" xr3:uid="{08118AEA-7393-431D-8725-C51E4DFA961F}" name="Column6346"/>
    <tableColumn id="6352" xr3:uid="{53F7D00C-7ED9-47F9-829D-32FF18B9E7FA}" name="Column6347"/>
    <tableColumn id="6353" xr3:uid="{27DD08D0-9AED-4891-A517-2A5B2EA18A92}" name="Column6348"/>
    <tableColumn id="6354" xr3:uid="{2F571E2A-F194-48C8-A8BD-DBF29EFE9F39}" name="Column6349"/>
    <tableColumn id="6355" xr3:uid="{A193625F-C73A-435A-B0B4-201E8FBE2340}" name="Column6350"/>
    <tableColumn id="6356" xr3:uid="{634EA2D9-EDA5-448F-99E5-9C245CCE1A4E}" name="Column6351"/>
    <tableColumn id="6357" xr3:uid="{072F6233-EE2E-4622-8662-68BE5226F451}" name="Column6352"/>
    <tableColumn id="6358" xr3:uid="{0341444F-7FFA-4255-B858-23F128C24335}" name="Column6353"/>
    <tableColumn id="6359" xr3:uid="{2F65C6AA-516F-469B-85AB-C2EDCA126C8C}" name="Column6354"/>
    <tableColumn id="6360" xr3:uid="{017A3508-F3FA-407F-808D-A923C7475494}" name="Column6355"/>
    <tableColumn id="6361" xr3:uid="{FFCF1DD2-170F-4D73-B693-993C821A4553}" name="Column6356"/>
    <tableColumn id="6362" xr3:uid="{D1BEC2BE-2A55-43CF-9ABD-200FC135B064}" name="Column6357"/>
    <tableColumn id="6363" xr3:uid="{E248A1FE-BAC7-464F-ABDC-3C1C71B0E05D}" name="Column6358"/>
    <tableColumn id="6364" xr3:uid="{41DAF575-C26C-4FAB-BB1D-34DA55496D2C}" name="Column6359"/>
    <tableColumn id="6365" xr3:uid="{F54DC301-A548-40C3-B148-BBB1F1E66C93}" name="Column6360"/>
    <tableColumn id="6366" xr3:uid="{318D76FA-E259-4B74-9442-26EDCAE7831B}" name="Column6361"/>
    <tableColumn id="6367" xr3:uid="{49218219-6BF6-4F2E-B840-3E1914F1CE75}" name="Column6362"/>
    <tableColumn id="6368" xr3:uid="{EF244CA4-A8CA-48D2-903B-9E1F300E612C}" name="Column6363"/>
    <tableColumn id="6369" xr3:uid="{C54CDD9A-F1FB-4844-B642-954A4E602B42}" name="Column6364"/>
    <tableColumn id="6370" xr3:uid="{7F3017EA-4B3B-4F8C-93FF-D1D57E6F912B}" name="Column6365"/>
    <tableColumn id="6371" xr3:uid="{A9D3FF7F-FDEE-4485-A559-7E500FF76C3B}" name="Column6366"/>
    <tableColumn id="6372" xr3:uid="{DA059017-928D-4E29-9035-FC5AD496F9AD}" name="Column6367"/>
    <tableColumn id="6373" xr3:uid="{4CDF8AA7-3B4B-4F3A-B0FB-5E3F4C1CDC73}" name="Column6368"/>
    <tableColumn id="6374" xr3:uid="{E9A98F76-9A0B-41C0-A420-A209EE5B6172}" name="Column6369"/>
    <tableColumn id="6375" xr3:uid="{5F935978-F359-4D59-8CBB-EA15E9633DB3}" name="Column6370"/>
    <tableColumn id="6376" xr3:uid="{C73E6D74-61B5-4704-B3F6-975DA48439CC}" name="Column6371"/>
    <tableColumn id="6377" xr3:uid="{CEDF6A96-8E35-4781-A35F-FAFBFBEBBEDE}" name="Column6372"/>
    <tableColumn id="6378" xr3:uid="{58A5321B-68CB-4A1B-BCA5-5B92ED2D3499}" name="Column6373"/>
    <tableColumn id="6379" xr3:uid="{D760DD8A-88AE-419C-8EF2-9DCD1FD0F1C8}" name="Column6374"/>
    <tableColumn id="6380" xr3:uid="{83D92F49-1B04-4716-A5BF-EFCB7884A121}" name="Column6375"/>
    <tableColumn id="6381" xr3:uid="{307D3575-23D0-4693-91F0-63A3A3CA58EF}" name="Column6376"/>
    <tableColumn id="6382" xr3:uid="{D8453291-3279-4F8B-883F-54B38D4F9412}" name="Column6377"/>
    <tableColumn id="6383" xr3:uid="{A9E33A09-44BA-4764-AFA3-E961BA4B1525}" name="Column6378"/>
    <tableColumn id="6384" xr3:uid="{C5EB5E93-7BBE-47E9-882E-59881D58BF16}" name="Column6379"/>
    <tableColumn id="6385" xr3:uid="{4E187274-F534-4B8A-AB35-CCF69CE627C6}" name="Column6380"/>
    <tableColumn id="6386" xr3:uid="{F282CDA1-F5B7-4B20-9891-BEA04B0D3457}" name="Column6381"/>
    <tableColumn id="6387" xr3:uid="{29DDE4BC-9134-4361-BEF5-784AFF45AF07}" name="Column6382"/>
    <tableColumn id="6388" xr3:uid="{E8EDD845-F0E3-46FD-A440-5A87BFBD5B42}" name="Column6383"/>
    <tableColumn id="6389" xr3:uid="{F931FD25-BD2C-4901-92FD-7561AA81730A}" name="Column6384"/>
    <tableColumn id="6390" xr3:uid="{E931FF06-36F9-4F28-A9CB-9FC2456D3062}" name="Column6385"/>
    <tableColumn id="6391" xr3:uid="{9E34506B-1036-4871-82F3-923A1263B000}" name="Column6386"/>
    <tableColumn id="6392" xr3:uid="{7F68935E-B63A-4571-B4B7-D1E5BB4F7B77}" name="Column6387"/>
    <tableColumn id="6393" xr3:uid="{6E300BB0-8512-4BA8-9F75-BF4671602D72}" name="Column6388"/>
    <tableColumn id="6394" xr3:uid="{EE8909BE-FE79-4EAD-BAE4-F27B5FE71364}" name="Column6389"/>
    <tableColumn id="6395" xr3:uid="{D5A34704-D306-42B7-BE9A-62965E9D310A}" name="Column6390"/>
    <tableColumn id="6396" xr3:uid="{B3BC1628-5AF9-41F5-BC38-44928211B84F}" name="Column6391"/>
    <tableColumn id="6397" xr3:uid="{051F1035-2024-4561-9AF9-B5A277A5B299}" name="Column6392"/>
    <tableColumn id="6398" xr3:uid="{DF16834B-F5D8-4548-A1EC-6CCDCF9EADB4}" name="Column6393"/>
    <tableColumn id="6399" xr3:uid="{C17467BC-B745-4CBE-83D6-971CF52BEC52}" name="Column6394"/>
    <tableColumn id="6400" xr3:uid="{831E9262-5B02-4353-9760-6EF9CDE68EE1}" name="Column6395"/>
    <tableColumn id="6401" xr3:uid="{4456D6E1-D3F5-44B5-81B3-78CF9D324EA6}" name="Column6396"/>
    <tableColumn id="6402" xr3:uid="{8A7A2D17-2F75-4B23-B840-339C7243E8F9}" name="Column6397"/>
    <tableColumn id="6403" xr3:uid="{3A65FC65-576C-41DA-8244-83C0B8A70522}" name="Column6398"/>
    <tableColumn id="6404" xr3:uid="{90DFD6E8-6A11-41D9-B1EF-567F92E2D89D}" name="Column6399"/>
    <tableColumn id="6405" xr3:uid="{8B7A9856-7F28-46EA-9B60-2FD1EBC88D0B}" name="Column6400"/>
    <tableColumn id="6406" xr3:uid="{3A4A2405-5482-4050-9E08-1D1DF9797898}" name="Column6401"/>
    <tableColumn id="6407" xr3:uid="{A11CED30-5E0A-48DC-838E-9610A3BBB850}" name="Column6402"/>
    <tableColumn id="6408" xr3:uid="{773FDF7E-0441-4BF4-96AF-0D47DF5F228F}" name="Column6403"/>
    <tableColumn id="6409" xr3:uid="{9ABA5201-23D7-4EEE-9F84-5576E1F65910}" name="Column6404"/>
    <tableColumn id="6410" xr3:uid="{117F67CA-8AE3-4A95-8ECD-F80BE8812CCE}" name="Column6405"/>
    <tableColumn id="6411" xr3:uid="{B844ADE3-39EB-4DF0-91E5-26B774B10BE9}" name="Column6406"/>
    <tableColumn id="6412" xr3:uid="{28927D17-D0DF-40C5-B49A-75F3EDDEFE5A}" name="Column6407"/>
    <tableColumn id="6413" xr3:uid="{A9B15639-45E6-4081-95D9-2BA786EDA193}" name="Column6408"/>
    <tableColumn id="6414" xr3:uid="{BFFA92E3-1081-4F6E-95DF-378B030DCFEE}" name="Column6409"/>
    <tableColumn id="6415" xr3:uid="{BD84368C-83D9-49FB-B49A-0857410DF6E0}" name="Column6410"/>
    <tableColumn id="6416" xr3:uid="{783BE832-A3FE-48F0-8F7C-6FE93C51FADB}" name="Column6411"/>
    <tableColumn id="6417" xr3:uid="{E5BE7425-D9DA-473C-86DB-C7C66C8D020E}" name="Column6412"/>
    <tableColumn id="6418" xr3:uid="{EC29F04D-AED6-4FA8-B58D-903D326F1A75}" name="Column6413"/>
    <tableColumn id="6419" xr3:uid="{1F0463C3-0BAD-4C84-B007-C7B0C737AC37}" name="Column6414"/>
    <tableColumn id="6420" xr3:uid="{D0716980-5062-4DB6-B6D2-54B1BDC25AE7}" name="Column6415"/>
    <tableColumn id="6421" xr3:uid="{E1DE7992-E858-4289-8B7A-E01C39D46EF7}" name="Column6416"/>
    <tableColumn id="6422" xr3:uid="{89AA2559-C972-4A43-9271-B3CEB643FA63}" name="Column6417"/>
    <tableColumn id="6423" xr3:uid="{1D2D3090-57EF-4F75-8457-219C2CB6F75E}" name="Column6418"/>
    <tableColumn id="6424" xr3:uid="{56B7FAAA-430A-4CB1-B8E6-AB3CA8EACBF4}" name="Column6419"/>
    <tableColumn id="6425" xr3:uid="{624F4366-401F-4496-B9EB-93A0913F2813}" name="Column6420"/>
    <tableColumn id="6426" xr3:uid="{35697022-F08C-4419-A570-02CC8DBE17A5}" name="Column6421"/>
    <tableColumn id="6427" xr3:uid="{E1569AD4-672C-4527-86EF-224A2BC3A7CC}" name="Column6422"/>
    <tableColumn id="6428" xr3:uid="{50899F82-11BD-486F-B0CB-E14A6A02CB85}" name="Column6423"/>
    <tableColumn id="6429" xr3:uid="{C7363F34-57B3-451E-91B3-22EEFE5918E4}" name="Column6424"/>
    <tableColumn id="6430" xr3:uid="{8185FFF8-571C-47BA-B682-3010CB88B41E}" name="Column6425"/>
    <tableColumn id="6431" xr3:uid="{C30B0320-0EC1-4F6E-8A7C-270034790177}" name="Column6426"/>
    <tableColumn id="6432" xr3:uid="{83EDAE21-563A-4EB6-B209-5CF94DBFBEBF}" name="Column6427"/>
    <tableColumn id="6433" xr3:uid="{1BA917BB-1E3B-479D-A1E7-EE80D97962AA}" name="Column6428"/>
    <tableColumn id="6434" xr3:uid="{F5454510-11F2-4964-8789-30532B3F24C9}" name="Column6429"/>
    <tableColumn id="6435" xr3:uid="{FF330DB0-BDF5-47E1-AB65-63668337C7C4}" name="Column6430"/>
    <tableColumn id="6436" xr3:uid="{F69044A5-639A-4A2A-A6D5-A9123BF11619}" name="Column6431"/>
    <tableColumn id="6437" xr3:uid="{049A5FA2-80F1-4988-A17F-4BE0F4D61251}" name="Column6432"/>
    <tableColumn id="6438" xr3:uid="{70C0734A-8E5C-42D4-B6E4-0192279BF14D}" name="Column6433"/>
    <tableColumn id="6439" xr3:uid="{26B1D088-AC98-45BA-96A0-6E0F839169A5}" name="Column6434"/>
    <tableColumn id="6440" xr3:uid="{49246A71-E2F0-4CFD-A7FD-22CD1EB73B85}" name="Column6435"/>
    <tableColumn id="6441" xr3:uid="{D5F897F2-A953-458C-9B72-850BF42A6E1C}" name="Column6436"/>
    <tableColumn id="6442" xr3:uid="{FA1A87B5-40C7-457A-B42E-6F6AB09DD9BD}" name="Column6437"/>
    <tableColumn id="6443" xr3:uid="{29B243ED-B13C-4BE6-A8EE-F04372B935C0}" name="Column6438"/>
    <tableColumn id="6444" xr3:uid="{3614F077-8CA9-4EDF-9B32-DB7124C0027E}" name="Column6439"/>
    <tableColumn id="6445" xr3:uid="{3B6D6FB8-5E4C-482E-A09A-63C9ED7FB083}" name="Column6440"/>
    <tableColumn id="6446" xr3:uid="{61E1AB78-9E28-490F-A178-1E9CC31122A7}" name="Column6441"/>
    <tableColumn id="6447" xr3:uid="{CBB6CFC6-9A1C-4B63-BC6E-310E353AA05F}" name="Column6442"/>
    <tableColumn id="6448" xr3:uid="{2E314CF0-4146-49E1-AAA1-D020ABE31FB4}" name="Column6443"/>
    <tableColumn id="6449" xr3:uid="{75043470-9B97-4CA7-9AA5-E358445176B1}" name="Column6444"/>
    <tableColumn id="6450" xr3:uid="{8567AB31-C55E-454F-B93D-597A4F63726A}" name="Column6445"/>
    <tableColumn id="6451" xr3:uid="{2BC92130-F4F6-4D91-BF47-7239E7F8EACD}" name="Column6446"/>
    <tableColumn id="6452" xr3:uid="{FD0CDEA2-5BB3-46D1-9353-F7EF7E1A9D11}" name="Column6447"/>
    <tableColumn id="6453" xr3:uid="{82E6F06C-98C5-48A6-91CF-B5D1A8E5142C}" name="Column6448"/>
    <tableColumn id="6454" xr3:uid="{494845B8-2ADD-490C-9B60-F8A5AEF57B61}" name="Column6449"/>
    <tableColumn id="6455" xr3:uid="{04A28E4E-C0D6-43EA-9D85-BF21A1A501AB}" name="Column6450"/>
    <tableColumn id="6456" xr3:uid="{A7CC4177-A3DD-464A-A497-CB6B0FBCD375}" name="Column6451"/>
    <tableColumn id="6457" xr3:uid="{79C87B85-DE6E-4637-8955-F68BDB5E767D}" name="Column6452"/>
    <tableColumn id="6458" xr3:uid="{22D13837-8485-42E6-8BE4-C0FD4B3B3B29}" name="Column6453"/>
    <tableColumn id="6459" xr3:uid="{5377B866-2D74-4464-986E-903DFFEE74AE}" name="Column6454"/>
    <tableColumn id="6460" xr3:uid="{BB2D9A37-8104-4E7C-BBED-90FD38420FBD}" name="Column6455"/>
    <tableColumn id="6461" xr3:uid="{6BD149AD-2EF0-48C1-B781-B5430352CC4D}" name="Column6456"/>
    <tableColumn id="6462" xr3:uid="{3E24BAEE-D0E6-4DBC-B8C8-F830B94302F1}" name="Column6457"/>
    <tableColumn id="6463" xr3:uid="{BE81139D-47B6-44D4-B23E-2A48F381CEE3}" name="Column6458"/>
    <tableColumn id="6464" xr3:uid="{1A701A53-EA73-46EC-911C-5AF48721A429}" name="Column6459"/>
    <tableColumn id="6465" xr3:uid="{8E2DDB15-C8B3-4031-A02D-A073D49F5F81}" name="Column6460"/>
    <tableColumn id="6466" xr3:uid="{8751232E-BB69-4C12-A2DE-2B77D6740D33}" name="Column6461"/>
    <tableColumn id="6467" xr3:uid="{23CC9D2F-DF85-40BB-9159-0A9B11F6B112}" name="Column6462"/>
    <tableColumn id="6468" xr3:uid="{6A17E648-6F3A-47A4-9E61-C43A249FDEA8}" name="Column6463"/>
    <tableColumn id="6469" xr3:uid="{A37FB9D7-C64E-440F-97D5-711F24634C9F}" name="Column6464"/>
    <tableColumn id="6470" xr3:uid="{75526643-8B70-4050-B449-9CA830045180}" name="Column6465"/>
    <tableColumn id="6471" xr3:uid="{0FDA4256-5695-4D76-A478-D8C1FB060A4A}" name="Column6466"/>
    <tableColumn id="6472" xr3:uid="{99F03AD2-A5FC-4E66-900A-23403747C281}" name="Column6467"/>
    <tableColumn id="6473" xr3:uid="{EA6C3849-6D4A-4918-ACA8-B424F19CF5F4}" name="Column6468"/>
    <tableColumn id="6474" xr3:uid="{DC3CFC3A-824F-4A1A-8312-03BE28B8861C}" name="Column6469"/>
    <tableColumn id="6475" xr3:uid="{19DD060F-2D50-4AFD-BF7C-B62169D4697E}" name="Column6470"/>
    <tableColumn id="6476" xr3:uid="{DD9BB641-82F1-4BDD-AB02-0BA62AF56A31}" name="Column6471"/>
    <tableColumn id="6477" xr3:uid="{166CA18F-0E7A-4C96-8AE7-3B99FD0B1233}" name="Column6472"/>
    <tableColumn id="6478" xr3:uid="{80C8699F-2DAC-4F40-BACB-7FD23C626440}" name="Column6473"/>
    <tableColumn id="6479" xr3:uid="{920572D9-E15F-4A2A-A595-DD95E6910AD7}" name="Column6474"/>
    <tableColumn id="6480" xr3:uid="{5A0FD6A3-7625-42F2-9710-20360FF76996}" name="Column6475"/>
    <tableColumn id="6481" xr3:uid="{E6011B33-6E26-4C64-997B-61599B64A0EE}" name="Column6476"/>
    <tableColumn id="6482" xr3:uid="{2E7EEE40-B64D-43B0-ADC7-EE1DC7459730}" name="Column6477"/>
    <tableColumn id="6483" xr3:uid="{6D591D79-3B69-4FED-955C-0BCCD53C6E14}" name="Column6478"/>
    <tableColumn id="6484" xr3:uid="{0AA8B925-9F21-44AE-A382-B767CBF0D76F}" name="Column6479"/>
    <tableColumn id="6485" xr3:uid="{10FC6F55-0D17-4B52-8B37-A09E95B1577E}" name="Column6480"/>
    <tableColumn id="6486" xr3:uid="{B6434C52-C211-43A9-BCAE-746C82863BF5}" name="Column6481"/>
    <tableColumn id="6487" xr3:uid="{E50240FB-5185-475F-9F97-04BD7778BC5D}" name="Column6482"/>
    <tableColumn id="6488" xr3:uid="{751F6A0B-BCD8-48A6-A7A9-607298CA4F62}" name="Column6483"/>
    <tableColumn id="6489" xr3:uid="{B5447E2C-8442-4E79-AEB5-687223D2F3BC}" name="Column6484"/>
    <tableColumn id="6490" xr3:uid="{664BE52A-935A-4601-9CA5-C8578A4DE8F3}" name="Column6485"/>
    <tableColumn id="6491" xr3:uid="{70845C82-0D8C-487E-B027-A6812DECAB6E}" name="Column6486"/>
    <tableColumn id="6492" xr3:uid="{5CC0D6CE-47CD-4FAB-B82C-8B882779AC82}" name="Column6487"/>
    <tableColumn id="6493" xr3:uid="{8D0A8EE8-0E92-4B8C-BC5C-B36A16EF2771}" name="Column6488"/>
    <tableColumn id="6494" xr3:uid="{8F856136-B1E5-46B9-BD9D-9B19DF1DD53C}" name="Column6489"/>
    <tableColumn id="6495" xr3:uid="{C22617A4-7201-4E32-97FD-BDDB0FDF0EDB}" name="Column6490"/>
    <tableColumn id="6496" xr3:uid="{F04A407F-97F7-4563-B6F0-2F4BDD87705B}" name="Column6491"/>
    <tableColumn id="6497" xr3:uid="{17BE1C22-8228-4F30-9D37-E2E15FECD278}" name="Column6492"/>
    <tableColumn id="6498" xr3:uid="{5970A3AA-111C-46C1-8847-21A9E375F422}" name="Column6493"/>
    <tableColumn id="6499" xr3:uid="{89086185-AB7B-48F3-8C33-F6A3E4CB07EA}" name="Column6494"/>
    <tableColumn id="6500" xr3:uid="{06466C7D-7E2A-451A-BBDB-BA04A0D38556}" name="Column6495"/>
    <tableColumn id="6501" xr3:uid="{0E2C53D3-6E60-42AE-85E6-C9D40BDA2D47}" name="Column6496"/>
    <tableColumn id="6502" xr3:uid="{4DE8A66E-E74E-4E6F-9FC1-A1618A1A56C2}" name="Column6497"/>
    <tableColumn id="6503" xr3:uid="{3789C025-6AFC-4DE4-97F2-4E6498AA4EE1}" name="Column6498"/>
    <tableColumn id="6504" xr3:uid="{830D8A25-C8CA-48D6-AF84-81CE36AA393B}" name="Column6499"/>
    <tableColumn id="6505" xr3:uid="{F1E6DC9F-E894-4FAC-B0A7-7B557DB8AD33}" name="Column6500"/>
    <tableColumn id="6506" xr3:uid="{D02C4AFE-E890-4D62-9894-106B7AC24E4B}" name="Column6501"/>
    <tableColumn id="6507" xr3:uid="{A6F59D31-77DC-4641-880C-DE27F88C955D}" name="Column6502"/>
    <tableColumn id="6508" xr3:uid="{FF778647-0487-4F35-A743-F3191F447D00}" name="Column6503"/>
    <tableColumn id="6509" xr3:uid="{22263BD1-E55E-4310-90A6-BB0205BE5C1A}" name="Column6504"/>
    <tableColumn id="6510" xr3:uid="{F8811CE1-71E7-4C27-97AE-B56010EA9371}" name="Column6505"/>
    <tableColumn id="6511" xr3:uid="{AEABAAAE-0741-4CCB-996F-4C8BFE99EE78}" name="Column6506"/>
    <tableColumn id="6512" xr3:uid="{123FB4B1-D89E-486D-BDB6-2640D6C09366}" name="Column6507"/>
    <tableColumn id="6513" xr3:uid="{8DDA60C5-3729-4EE7-AFDB-6D0AE817F336}" name="Column6508"/>
    <tableColumn id="6514" xr3:uid="{11C8D74C-8274-4F77-8BD4-CB72ACFB7353}" name="Column6509"/>
    <tableColumn id="6515" xr3:uid="{DDB2FD28-32EB-4096-80FE-85D36B16AF2D}" name="Column6510"/>
    <tableColumn id="6516" xr3:uid="{A6BAE9D9-0DBF-4C18-946A-98A4FB46B3FE}" name="Column6511"/>
    <tableColumn id="6517" xr3:uid="{2217D299-39C1-4BFF-9842-83254100E737}" name="Column6512"/>
    <tableColumn id="6518" xr3:uid="{A665F372-26AA-404D-89A8-B4734C9D5FAA}" name="Column6513"/>
    <tableColumn id="6519" xr3:uid="{DE0D0B5B-1D13-4590-9AD9-552C247F5063}" name="Column6514"/>
    <tableColumn id="6520" xr3:uid="{2BBA5F89-23CC-4C28-B3A2-587E634444F7}" name="Column6515"/>
    <tableColumn id="6521" xr3:uid="{71927186-600D-48B2-8E9F-45CB50D07BD8}" name="Column6516"/>
    <tableColumn id="6522" xr3:uid="{BDFDE753-DFE6-4974-A211-C1059A9139A1}" name="Column6517"/>
    <tableColumn id="6523" xr3:uid="{33C03B02-99D7-4E7E-9BD8-EF88C9F5216D}" name="Column6518"/>
    <tableColumn id="6524" xr3:uid="{FA057E66-F39F-494F-B190-8E7674AF3BD0}" name="Column6519"/>
    <tableColumn id="6525" xr3:uid="{52416845-02A1-4223-BFB1-313EF5283625}" name="Column6520"/>
    <tableColumn id="6526" xr3:uid="{1B422ECA-B4D1-4068-AE0C-67F18D5691DB}" name="Column6521"/>
    <tableColumn id="6527" xr3:uid="{E56EE406-1075-47FA-8259-83F8C4EDD2C2}" name="Column6522"/>
    <tableColumn id="6528" xr3:uid="{2086C302-5031-46D1-9165-30B1EE04D7D9}" name="Column6523"/>
    <tableColumn id="6529" xr3:uid="{3E0902DB-F486-47C4-BE24-19A0F67F23E9}" name="Column6524"/>
    <tableColumn id="6530" xr3:uid="{D37B65A8-4984-4CB2-B513-6CF40E040650}" name="Column6525"/>
    <tableColumn id="6531" xr3:uid="{10F0762B-02A3-4DAB-B620-7D2FD1499AD3}" name="Column6526"/>
    <tableColumn id="6532" xr3:uid="{AE94C9D6-AB48-4747-8479-5617E6CE0E2C}" name="Column6527"/>
    <tableColumn id="6533" xr3:uid="{436053E0-1F27-4F1B-A9C4-689933A2CF6E}" name="Column6528"/>
    <tableColumn id="6534" xr3:uid="{4CB9DBDD-E902-4CEC-8A7D-510684477813}" name="Column6529"/>
    <tableColumn id="6535" xr3:uid="{5473903F-A345-4C96-91C1-1A46826DA055}" name="Column6530"/>
    <tableColumn id="6536" xr3:uid="{F4A548F9-F6E9-4F8C-87D8-4DE4C583036E}" name="Column6531"/>
    <tableColumn id="6537" xr3:uid="{792F973D-A078-494E-959B-07EF87946926}" name="Column6532"/>
    <tableColumn id="6538" xr3:uid="{C9940174-C31F-47EE-8675-02E2DFC81F83}" name="Column6533"/>
    <tableColumn id="6539" xr3:uid="{55560137-4A73-4BDC-846A-314CE1E49198}" name="Column6534"/>
    <tableColumn id="6540" xr3:uid="{ECE5C63D-E831-46B4-BDF2-7DAD4EE9E248}" name="Column6535"/>
    <tableColumn id="6541" xr3:uid="{200F0307-B6FE-4A39-85C9-85FD658BE6B1}" name="Column6536"/>
    <tableColumn id="6542" xr3:uid="{36B32A52-64FB-4570-98A8-50B9FE7BE9C5}" name="Column6537"/>
    <tableColumn id="6543" xr3:uid="{A192ADB6-1B7C-47DC-B1FD-37A0D092DE69}" name="Column6538"/>
    <tableColumn id="6544" xr3:uid="{9650D6B7-33E2-4E44-88E5-4315E67C4DC0}" name="Column6539"/>
    <tableColumn id="6545" xr3:uid="{6990D179-1801-4DB7-B9B1-AD373A2D35B4}" name="Column6540"/>
    <tableColumn id="6546" xr3:uid="{A393AF72-6BBA-4904-AFE1-7CBFDA10E020}" name="Column6541"/>
    <tableColumn id="6547" xr3:uid="{968CB4B1-A5B7-4B7C-BF84-197186FE590C}" name="Column6542"/>
    <tableColumn id="6548" xr3:uid="{263941B2-9D2E-4F99-A20C-F8B82FCC6187}" name="Column6543"/>
    <tableColumn id="6549" xr3:uid="{CAA0DA35-FD48-4F4D-A2E7-4BA77D16D78C}" name="Column6544"/>
    <tableColumn id="6550" xr3:uid="{DDAEF807-B731-4CF3-BF8E-AD4A24084399}" name="Column6545"/>
    <tableColumn id="6551" xr3:uid="{B22EE538-62D5-4050-929B-ABB7CC6068F2}" name="Column6546"/>
    <tableColumn id="6552" xr3:uid="{AEBB88AD-B73F-4A0C-BC6A-7D81EC3469BA}" name="Column6547"/>
    <tableColumn id="6553" xr3:uid="{72C1A552-8888-479B-95D6-FD3512473BCE}" name="Column6548"/>
    <tableColumn id="6554" xr3:uid="{51CB50F3-59BB-451F-856A-BD693A41438A}" name="Column6549"/>
    <tableColumn id="6555" xr3:uid="{6C932B13-05CF-4C1B-A3EA-5FE630B383F4}" name="Column6550"/>
    <tableColumn id="6556" xr3:uid="{2557F593-E386-4679-8CB8-60FF9C442733}" name="Column6551"/>
    <tableColumn id="6557" xr3:uid="{70EFD17C-1C66-4EF8-940F-E0603C6B6BB2}" name="Column6552"/>
    <tableColumn id="6558" xr3:uid="{A8EA1557-FC17-4DCA-BC54-10C58C05C71A}" name="Column6553"/>
    <tableColumn id="6559" xr3:uid="{21C45F0E-C934-48DC-A988-9CFF396F3689}" name="Column6554"/>
    <tableColumn id="6560" xr3:uid="{A13A2952-2E65-450B-8F4C-9243E7EED80D}" name="Column6555"/>
    <tableColumn id="6561" xr3:uid="{026C2500-D03D-4206-A1BC-A39A66D3F4AD}" name="Column6556"/>
    <tableColumn id="6562" xr3:uid="{E6BDA7FC-19DD-44C1-8F99-A1D19957A694}" name="Column6557"/>
    <tableColumn id="6563" xr3:uid="{AF6ED76D-FADE-4F92-B0B7-29EF3766C4CD}" name="Column6558"/>
    <tableColumn id="6564" xr3:uid="{D28B6184-2DA8-4AB4-9653-E3D4A42C83F6}" name="Column6559"/>
    <tableColumn id="6565" xr3:uid="{6A71D318-C909-4918-A2D5-16912E185C54}" name="Column6560"/>
    <tableColumn id="6566" xr3:uid="{7535CB00-F887-48F8-B5AF-049259780702}" name="Column6561"/>
    <tableColumn id="6567" xr3:uid="{BEDAD7B3-4FD0-477E-9AFF-F558E2F4B21C}" name="Column6562"/>
    <tableColumn id="6568" xr3:uid="{85433BEE-646B-44A7-B36D-6A0017BFE48B}" name="Column6563"/>
    <tableColumn id="6569" xr3:uid="{47029FF5-78F5-4A50-A3B7-CAD1248FD05D}" name="Column6564"/>
    <tableColumn id="6570" xr3:uid="{A4A4B073-3215-4369-A9C5-B562A50F1380}" name="Column6565"/>
    <tableColumn id="6571" xr3:uid="{F0B9DC40-9C1A-4E55-8359-FF6C75563C0E}" name="Column6566"/>
    <tableColumn id="6572" xr3:uid="{21A1CCAE-C503-45C2-9B47-F81286A20A89}" name="Column6567"/>
    <tableColumn id="6573" xr3:uid="{4A3BDB8B-CE6F-427C-87AA-430353F036F0}" name="Column6568"/>
    <tableColumn id="6574" xr3:uid="{CD1149C4-10C7-4CAA-BBC3-84DA515B8662}" name="Column6569"/>
    <tableColumn id="6575" xr3:uid="{E9BA4746-F36C-4DD8-A86E-B6B9336859A1}" name="Column6570"/>
    <tableColumn id="6576" xr3:uid="{EC8BD93E-FA86-4401-B81D-4A7813389E30}" name="Column6571"/>
    <tableColumn id="6577" xr3:uid="{78491D06-61D8-4523-8808-BA017A13B191}" name="Column6572"/>
    <tableColumn id="6578" xr3:uid="{23E42A9C-5813-4198-BA1B-DE0F9B86EE5A}" name="Column6573"/>
    <tableColumn id="6579" xr3:uid="{45F20003-1A16-4FFF-9F82-C511ECA3BA61}" name="Column6574"/>
    <tableColumn id="6580" xr3:uid="{4B7F9CB9-A2E2-464D-893D-4EE85ECDD762}" name="Column6575"/>
    <tableColumn id="6581" xr3:uid="{F9AFF3E2-814B-4EAF-8C94-FA55F9F08FD5}" name="Column6576"/>
    <tableColumn id="6582" xr3:uid="{F5A6EA65-9650-476A-83BC-F78F6987D214}" name="Column6577"/>
    <tableColumn id="6583" xr3:uid="{2B930574-B62A-4F8B-B435-86947EF2FC69}" name="Column6578"/>
    <tableColumn id="6584" xr3:uid="{4F1A4241-1237-4D55-B01E-0EAA36BB915D}" name="Column6579"/>
    <tableColumn id="6585" xr3:uid="{ED9B9EFE-93E7-420F-BA12-B4DA8C95FDB2}" name="Column6580"/>
    <tableColumn id="6586" xr3:uid="{6D245CF3-CF36-4DE3-97F8-EB1525059095}" name="Column6581"/>
    <tableColumn id="6587" xr3:uid="{45D8E879-0FE3-48B4-A2CA-77913C6BDDAC}" name="Column6582"/>
    <tableColumn id="6588" xr3:uid="{A33CB2A3-B690-4B3D-AB8C-91094EA576FC}" name="Column6583"/>
    <tableColumn id="6589" xr3:uid="{31672807-D03E-422F-A7F8-E6880947BFE0}" name="Column6584"/>
    <tableColumn id="6590" xr3:uid="{BC2D56CD-09C1-40F7-A109-DDBB1B2EC9E4}" name="Column6585"/>
    <tableColumn id="6591" xr3:uid="{1A547A81-EBA7-4595-AD51-7BA600906A7A}" name="Column6586"/>
    <tableColumn id="6592" xr3:uid="{4388C4A8-6688-48D0-A86B-9637E67BEA8B}" name="Column6587"/>
    <tableColumn id="6593" xr3:uid="{A4C3F1F6-219C-4091-B767-A54C19D848DA}" name="Column6588"/>
    <tableColumn id="6594" xr3:uid="{D9C034EA-0F0B-42AF-B796-2E1972BEAD9B}" name="Column6589"/>
    <tableColumn id="6595" xr3:uid="{C0D221A9-3977-48C7-86BD-7DF45083BF6A}" name="Column6590"/>
    <tableColumn id="6596" xr3:uid="{A17FD2A1-C5D2-4745-BD3B-083BF51CD9A5}" name="Column6591"/>
    <tableColumn id="6597" xr3:uid="{8B0A9D6E-8B76-4ADC-9E4D-84914A9915FA}" name="Column6592"/>
    <tableColumn id="6598" xr3:uid="{4E66280A-FDAF-4E2B-A8CE-CF339FD41016}" name="Column6593"/>
    <tableColumn id="6599" xr3:uid="{A01B7557-9F24-4BBC-86C4-C31E007550BB}" name="Column6594"/>
    <tableColumn id="6600" xr3:uid="{B56EBEAB-BF56-4CEA-8146-AF65871FFB24}" name="Column6595"/>
    <tableColumn id="6601" xr3:uid="{3509CD75-886C-44F9-B9A2-0228AE6916A3}" name="Column6596"/>
    <tableColumn id="6602" xr3:uid="{77A2F3F8-26EA-49BD-8ABC-E73F69772EAD}" name="Column6597"/>
    <tableColumn id="6603" xr3:uid="{DBAE7909-E053-4C0E-B845-2279F5015702}" name="Column6598"/>
    <tableColumn id="6604" xr3:uid="{D1C6406E-03CA-44FB-A5F1-ECCE5F87B7B8}" name="Column6599"/>
    <tableColumn id="6605" xr3:uid="{68A9D551-C018-4BD7-9C91-E587FABA3643}" name="Column6600"/>
    <tableColumn id="6606" xr3:uid="{F5F278C8-C2CA-4BBE-B1A0-59EBA9C08BF0}" name="Column6601"/>
    <tableColumn id="6607" xr3:uid="{A5A11519-9E6A-44B9-917D-8E63125730BD}" name="Column6602"/>
    <tableColumn id="6608" xr3:uid="{3D317F44-1E89-49C0-9542-6AE4094E48A2}" name="Column6603"/>
    <tableColumn id="6609" xr3:uid="{D7C4FBD1-8F2A-40BE-9171-2CAF509EE889}" name="Column6604"/>
    <tableColumn id="6610" xr3:uid="{F9726E44-F5AB-436E-93B0-107A10A98600}" name="Column6605"/>
    <tableColumn id="6611" xr3:uid="{4B8CA3EA-28CA-43E5-9FE8-471EC1403E2D}" name="Column6606"/>
    <tableColumn id="6612" xr3:uid="{E316D88E-D02E-4AB6-AF34-CCFAD25DFC7D}" name="Column6607"/>
    <tableColumn id="6613" xr3:uid="{9F51C52D-2DFF-4742-B700-A0EA6D428F77}" name="Column6608"/>
    <tableColumn id="6614" xr3:uid="{1336C542-CD5B-4E65-BD63-6DBFDC3DF344}" name="Column6609"/>
    <tableColumn id="6615" xr3:uid="{4FB4D03E-117D-44BE-BEEE-6FD205868D51}" name="Column6610"/>
    <tableColumn id="6616" xr3:uid="{91D381B1-E974-4D8D-99DD-4E1D1D7B72B5}" name="Column6611"/>
    <tableColumn id="6617" xr3:uid="{E60E2860-1695-47F4-9DAC-D815AEDBF97F}" name="Column6612"/>
    <tableColumn id="6618" xr3:uid="{021751FE-B6D9-49C4-AE11-F66788307021}" name="Column6613"/>
    <tableColumn id="6619" xr3:uid="{D5075C2B-C9FB-4D3D-B32F-2963877306D5}" name="Column6614"/>
    <tableColumn id="6620" xr3:uid="{AE509D73-4CD0-49FE-8A52-E24689E6FA23}" name="Column6615"/>
    <tableColumn id="6621" xr3:uid="{ACA5D5BD-BCD2-4F25-82CE-E343C911B219}" name="Column6616"/>
    <tableColumn id="6622" xr3:uid="{6B28BEF4-06A9-4D7F-9FF6-ED84590C2ABD}" name="Column6617"/>
    <tableColumn id="6623" xr3:uid="{328F247F-28E3-4BDE-8D49-D56D5FFF0A24}" name="Column6618"/>
    <tableColumn id="6624" xr3:uid="{77AFA46B-A0E3-4138-A5C9-12DDE4FC0007}" name="Column6619"/>
    <tableColumn id="6625" xr3:uid="{80BCD637-F97B-4275-B7A0-44A815947225}" name="Column6620"/>
    <tableColumn id="6626" xr3:uid="{4308C1D7-607B-451B-8BB6-D8B71B37AF55}" name="Column6621"/>
    <tableColumn id="6627" xr3:uid="{C5E7C3B8-4197-44CB-8F52-F542B28857A6}" name="Column6622"/>
    <tableColumn id="6628" xr3:uid="{94D09DBE-95E8-4FB8-8B1C-418A93C3AA49}" name="Column6623"/>
    <tableColumn id="6629" xr3:uid="{591175B8-FF9D-4548-832E-5FE945B55223}" name="Column6624"/>
    <tableColumn id="6630" xr3:uid="{B0E78594-4F88-4A57-9210-F2482E11FCC9}" name="Column6625"/>
    <tableColumn id="6631" xr3:uid="{E9431AA7-EE2D-467A-9C05-138438CB540C}" name="Column6626"/>
    <tableColumn id="6632" xr3:uid="{B5E891F0-D7CA-4B37-8F6F-9DF55717630A}" name="Column6627"/>
    <tableColumn id="6633" xr3:uid="{C041204F-7EC5-4E75-9AE3-58443B706082}" name="Column6628"/>
    <tableColumn id="6634" xr3:uid="{E6ED24A8-F369-44FF-AB6C-52C50025ABF9}" name="Column6629"/>
    <tableColumn id="6635" xr3:uid="{EB7C1A1C-7F6E-4F8C-A102-0548E148BFEB}" name="Column6630"/>
    <tableColumn id="6636" xr3:uid="{073FEBBE-E3A7-4E97-BCC1-8456BA90E52B}" name="Column6631"/>
    <tableColumn id="6637" xr3:uid="{1E17FB6B-F008-4DB5-9E23-FFEFFD1DD90E}" name="Column6632"/>
    <tableColumn id="6638" xr3:uid="{C38291C0-E174-49EC-9CEF-F92CDCF935C5}" name="Column6633"/>
    <tableColumn id="6639" xr3:uid="{BC76C4CA-DC6E-475B-AFBA-DCA0B1B2A153}" name="Column6634"/>
    <tableColumn id="6640" xr3:uid="{F278A4D4-37AF-437E-8D60-3E4E08208E67}" name="Column6635"/>
    <tableColumn id="6641" xr3:uid="{A806E5A2-47E0-405C-8E01-BF3E28573BE4}" name="Column6636"/>
    <tableColumn id="6642" xr3:uid="{0489FB44-0741-48E2-B71F-B21D36D7E742}" name="Column6637"/>
    <tableColumn id="6643" xr3:uid="{0E4D88EA-59EE-421B-9861-A1AFFD744C17}" name="Column6638"/>
    <tableColumn id="6644" xr3:uid="{5C6C1D17-9EF6-4CCB-94EC-15FBF6E38881}" name="Column6639"/>
    <tableColumn id="6645" xr3:uid="{5D1F5902-FE2A-4CE8-82DD-B87E90DE9010}" name="Column6640"/>
    <tableColumn id="6646" xr3:uid="{7C411280-FCDB-42E2-A01A-182DC05D8624}" name="Column6641"/>
    <tableColumn id="6647" xr3:uid="{6AFD1B92-F7B3-438D-9398-E02163CC5400}" name="Column6642"/>
    <tableColumn id="6648" xr3:uid="{8DABAE92-AAE2-4962-A3F6-A21620BCC9FE}" name="Column6643"/>
    <tableColumn id="6649" xr3:uid="{29B19BFF-7C74-4C54-8017-FB83BF8419CB}" name="Column6644"/>
    <tableColumn id="6650" xr3:uid="{7B0B655F-72BA-466C-BADA-544560B083C6}" name="Column6645"/>
    <tableColumn id="6651" xr3:uid="{8A0193AF-B56A-4EFD-B046-2F3CBBCEF2E5}" name="Column6646"/>
    <tableColumn id="6652" xr3:uid="{92A890BE-8F47-4C97-B002-5EA4FF29DAD8}" name="Column6647"/>
    <tableColumn id="6653" xr3:uid="{8AECA69B-C14E-4BF4-9EFA-0BF821D46BF2}" name="Column6648"/>
    <tableColumn id="6654" xr3:uid="{93F61D06-4D67-46BD-901B-87DD7ED5E65E}" name="Column6649"/>
    <tableColumn id="6655" xr3:uid="{601F7951-5CEC-45ED-BD61-A1129388E0C9}" name="Column6650"/>
    <tableColumn id="6656" xr3:uid="{125E09C3-CFC6-4C0D-845E-6D1EAC5192A6}" name="Column6651"/>
    <tableColumn id="6657" xr3:uid="{C20C4C9E-1FFE-46A6-A662-06DBEA9F8163}" name="Column6652"/>
    <tableColumn id="6658" xr3:uid="{908581DE-58F3-445A-A8A2-4E1BE7264353}" name="Column6653"/>
    <tableColumn id="6659" xr3:uid="{61FDBAA6-3013-4EC8-9C02-44A9A623A701}" name="Column6654"/>
    <tableColumn id="6660" xr3:uid="{8C461F4C-D47A-4509-ABC0-500F296BE880}" name="Column6655"/>
    <tableColumn id="6661" xr3:uid="{E70F4F7A-6012-4E71-B763-71ECE135AB59}" name="Column6656"/>
    <tableColumn id="6662" xr3:uid="{A2072C16-8D3C-4E9F-BC4E-2B88AA968D81}" name="Column6657"/>
    <tableColumn id="6663" xr3:uid="{656A3699-70CE-4A6E-BA11-83F2A2E9B8E1}" name="Column6658"/>
    <tableColumn id="6664" xr3:uid="{A80BB461-7136-4661-9009-F5401A2EB18C}" name="Column6659"/>
    <tableColumn id="6665" xr3:uid="{34C02F4C-D680-411B-A35D-F60B39E3D7FE}" name="Column6660"/>
    <tableColumn id="6666" xr3:uid="{F839A6B7-5660-414E-BD69-2C827600F0D3}" name="Column6661"/>
    <tableColumn id="6667" xr3:uid="{8ECC3B3C-6991-4032-B717-B6991C68D1EA}" name="Column6662"/>
    <tableColumn id="6668" xr3:uid="{6930D9BA-270F-4FCF-BA64-BD079071FAD3}" name="Column6663"/>
    <tableColumn id="6669" xr3:uid="{F04045A7-F151-466D-B05B-66CB3B183935}" name="Column6664"/>
    <tableColumn id="6670" xr3:uid="{7A554C4F-FF96-4E9F-AB6A-EFF530E47E90}" name="Column6665"/>
    <tableColumn id="6671" xr3:uid="{AA516205-EB75-4927-BD7E-A46BCEB0E3D3}" name="Column6666"/>
    <tableColumn id="6672" xr3:uid="{381FD80D-86A6-4CDE-A26C-32F83F649859}" name="Column6667"/>
    <tableColumn id="6673" xr3:uid="{DF2BC5EC-0251-4AC8-951E-882FC55A03A4}" name="Column6668"/>
    <tableColumn id="6674" xr3:uid="{6C742754-04D8-428F-BF6A-ED51D796B666}" name="Column6669"/>
    <tableColumn id="6675" xr3:uid="{133F600F-D73F-4F60-93A6-B53E6A6BDDEF}" name="Column6670"/>
    <tableColumn id="6676" xr3:uid="{B9519407-E965-4ED3-8652-338F0D746E8C}" name="Column6671"/>
    <tableColumn id="6677" xr3:uid="{2C843288-24BE-49F8-85E6-E2EFC7D08E9F}" name="Column6672"/>
    <tableColumn id="6678" xr3:uid="{474DC49F-128A-42B9-A416-D9E1C6D2CDD0}" name="Column6673"/>
    <tableColumn id="6679" xr3:uid="{E313BE53-C04E-494B-9F1A-C3C6DC466EE3}" name="Column6674"/>
    <tableColumn id="6680" xr3:uid="{17B1FC48-62A4-4767-8317-D7FD973394CB}" name="Column6675"/>
    <tableColumn id="6681" xr3:uid="{30D084B4-8A9B-4D47-8829-B70A1E2B4F53}" name="Column6676"/>
    <tableColumn id="6682" xr3:uid="{C18136F6-8410-430E-883B-0A4AB228BBFD}" name="Column6677"/>
    <tableColumn id="6683" xr3:uid="{75900D48-C5DC-46FE-B26D-3B9A61FF7CE0}" name="Column6678"/>
    <tableColumn id="6684" xr3:uid="{C2DE4E95-6092-4FE3-BBAD-6BB7F4821EAE}" name="Column6679"/>
    <tableColumn id="6685" xr3:uid="{8F3CF675-60DD-4665-8377-158F69EDC5BE}" name="Column6680"/>
    <tableColumn id="6686" xr3:uid="{DAC15768-2018-4072-9EED-C564307E057B}" name="Column6681"/>
    <tableColumn id="6687" xr3:uid="{F88BA3C7-ABB2-44CB-B8D9-988579537995}" name="Column6682"/>
    <tableColumn id="6688" xr3:uid="{89A544E1-F16B-4A6F-A6A3-A6A2C026FA70}" name="Column6683"/>
    <tableColumn id="6689" xr3:uid="{7D834840-1F35-410E-8FBC-2CE90C04FE58}" name="Column6684"/>
    <tableColumn id="6690" xr3:uid="{C66E38F1-D6B5-42CE-AAE7-4F3803ADCE8E}" name="Column6685"/>
    <tableColumn id="6691" xr3:uid="{2D298887-23F5-42F7-B932-CAFE88FF7714}" name="Column6686"/>
    <tableColumn id="6692" xr3:uid="{5C6A1675-D76D-475C-89DF-40EE78D5492C}" name="Column6687"/>
    <tableColumn id="6693" xr3:uid="{FC4BACFA-02E5-4825-BEBD-A7F0CCE8766A}" name="Column6688"/>
    <tableColumn id="6694" xr3:uid="{6CAF2989-1E1D-46C1-B797-B5B86B2C25C8}" name="Column6689"/>
    <tableColumn id="6695" xr3:uid="{5BD6AC48-B7FE-4D33-AFB1-F8DF56E0CE34}" name="Column6690"/>
    <tableColumn id="6696" xr3:uid="{BFB223A1-6A10-4DF8-96F1-FD5FC5DB3AB6}" name="Column6691"/>
    <tableColumn id="6697" xr3:uid="{A80834C4-FE83-476E-AE64-A683E1988EBC}" name="Column6692"/>
    <tableColumn id="6698" xr3:uid="{12E375DD-6A3B-47FA-978E-4A65125AF7A9}" name="Column6693"/>
    <tableColumn id="6699" xr3:uid="{B21886C6-104E-4290-905C-B5FEDDD602DE}" name="Column6694"/>
    <tableColumn id="6700" xr3:uid="{D087BA41-2154-49C9-A181-79BB99E22F4B}" name="Column6695"/>
    <tableColumn id="6701" xr3:uid="{5844BF2F-B210-44E9-A927-71DEC9A1ECB2}" name="Column6696"/>
    <tableColumn id="6702" xr3:uid="{38E48184-980C-4612-BCCF-7BE7E7A4A3C9}" name="Column6697"/>
    <tableColumn id="6703" xr3:uid="{AF6CA873-DE29-4C28-8FF9-BD9760AEF036}" name="Column6698"/>
    <tableColumn id="6704" xr3:uid="{976E7195-6496-4C30-BF30-186222AF4F9F}" name="Column6699"/>
    <tableColumn id="6705" xr3:uid="{5AB156C7-0458-4247-9D76-1E4C1C872CE6}" name="Column6700"/>
    <tableColumn id="6706" xr3:uid="{5A1E89DB-198B-4A3C-B237-30CFF39679B7}" name="Column6701"/>
    <tableColumn id="6707" xr3:uid="{BB34A598-D59E-4B14-8EBF-29A607E92BDA}" name="Column6702"/>
    <tableColumn id="6708" xr3:uid="{18F98FF1-C881-483A-ACE6-FC5B90CBF1D7}" name="Column6703"/>
    <tableColumn id="6709" xr3:uid="{9157E7B1-5741-4192-8145-D15F6AB05049}" name="Column6704"/>
    <tableColumn id="6710" xr3:uid="{B04B8103-1BF3-4F75-9C97-DD4A1C108A2F}" name="Column6705"/>
    <tableColumn id="6711" xr3:uid="{97504300-E13D-42BC-BDED-AA57DDA328B0}" name="Column6706"/>
    <tableColumn id="6712" xr3:uid="{45098E64-0163-460F-8124-86C1F96A18AC}" name="Column6707"/>
    <tableColumn id="6713" xr3:uid="{91EAC34F-523D-4699-BF12-CA6162F177CB}" name="Column6708"/>
    <tableColumn id="6714" xr3:uid="{00DA2B6A-F3F1-4FC7-BB59-9E712B74722C}" name="Column6709"/>
    <tableColumn id="6715" xr3:uid="{AEB4ABA1-F893-48E3-BDE9-C2443FD169BC}" name="Column6710"/>
    <tableColumn id="6716" xr3:uid="{9BCF33DD-919A-4203-B85A-5F1272E780D0}" name="Column6711"/>
    <tableColumn id="6717" xr3:uid="{036B2D4D-51BB-4668-906D-CA5DFD62656A}" name="Column6712"/>
    <tableColumn id="6718" xr3:uid="{7380DBAD-DB34-4AFF-926A-1420069A106F}" name="Column6713"/>
    <tableColumn id="6719" xr3:uid="{4FD98AE3-4CD6-4287-B8BB-DEA28ACA5F57}" name="Column6714"/>
    <tableColumn id="6720" xr3:uid="{C6044D18-3A05-451F-8213-F1015EA17051}" name="Column6715"/>
    <tableColumn id="6721" xr3:uid="{7123EB49-0DA0-4773-9FE1-70FC6E02E516}" name="Column6716"/>
    <tableColumn id="6722" xr3:uid="{A0317CEB-3CAB-46F5-84BF-E162F03DEF9B}" name="Column6717"/>
    <tableColumn id="6723" xr3:uid="{CADE3326-4D93-4899-9066-C22D836A77AE}" name="Column6718"/>
    <tableColumn id="6724" xr3:uid="{05290F92-0658-475D-B9AA-0F88EEE4AF3D}" name="Column6719"/>
    <tableColumn id="6725" xr3:uid="{2146E270-B069-4676-9541-D8FB3AD6F2ED}" name="Column6720"/>
    <tableColumn id="6726" xr3:uid="{4EF5D3FB-45BC-4C47-AAE2-98930C0D2F61}" name="Column6721"/>
    <tableColumn id="6727" xr3:uid="{8A38D99B-1240-467B-BC4F-01E2D2EB7DD6}" name="Column6722"/>
    <tableColumn id="6728" xr3:uid="{A4F0CE66-78AE-4486-B8D4-65B1621BAC40}" name="Column6723"/>
    <tableColumn id="6729" xr3:uid="{40B5631F-06C9-4329-B376-34D1A5E82572}" name="Column6724"/>
    <tableColumn id="6730" xr3:uid="{22C9B982-D995-4359-A88F-CF191C5CFF49}" name="Column6725"/>
    <tableColumn id="6731" xr3:uid="{0E0AFDCE-C0C5-4510-9AD4-04B0791DA76B}" name="Column6726"/>
    <tableColumn id="6732" xr3:uid="{C4365EEB-EE74-446F-9CD7-63BEE8382C78}" name="Column6727"/>
    <tableColumn id="6733" xr3:uid="{E861013C-73BF-46D0-A24B-A3122F03DD78}" name="Column6728"/>
    <tableColumn id="6734" xr3:uid="{03634FC1-2C06-496D-BA76-E1D40B988BEC}" name="Column6729"/>
    <tableColumn id="6735" xr3:uid="{4660E976-FB6E-4CBB-923B-740576E17E5F}" name="Column6730"/>
    <tableColumn id="6736" xr3:uid="{5EB6382A-F779-4CD7-8155-DC888A65BDAB}" name="Column6731"/>
    <tableColumn id="6737" xr3:uid="{42C4FEFD-1A01-40FC-ABD0-D1CE9AC4E5BC}" name="Column6732"/>
    <tableColumn id="6738" xr3:uid="{CECE3D62-CCF0-44E4-9BA8-FD70D096F34A}" name="Column6733"/>
    <tableColumn id="6739" xr3:uid="{63DCFDBC-3B8E-4F31-965D-92E9B0458F05}" name="Column6734"/>
    <tableColumn id="6740" xr3:uid="{1E89ECE7-A690-4B86-A69F-7812A9F9D13F}" name="Column6735"/>
    <tableColumn id="6741" xr3:uid="{D0B7621B-1689-4DBD-820E-DFF87CCD3FEE}" name="Column6736"/>
    <tableColumn id="6742" xr3:uid="{504B05F8-43B5-4112-B070-EBB9E100EAE4}" name="Column6737"/>
    <tableColumn id="6743" xr3:uid="{52144645-6F9A-45B4-859E-D2B6FB31077B}" name="Column6738"/>
    <tableColumn id="6744" xr3:uid="{6E604D3D-D486-482F-9AF6-5875DDDF5797}" name="Column6739"/>
    <tableColumn id="6745" xr3:uid="{56CFEE49-FB16-4FE8-8CB8-6FD7C713F51F}" name="Column6740"/>
    <tableColumn id="6746" xr3:uid="{B27AEC18-54B8-4DEB-B6EE-434A570061FD}" name="Column6741"/>
    <tableColumn id="6747" xr3:uid="{661626F8-9F00-4B6B-9322-EA953B24FE21}" name="Column6742"/>
    <tableColumn id="6748" xr3:uid="{78C2DF7E-8EB3-4482-8C1E-CC86FE1DB8C0}" name="Column6743"/>
    <tableColumn id="6749" xr3:uid="{D55C861C-A827-4006-8554-5C14E9EFF05C}" name="Column6744"/>
    <tableColumn id="6750" xr3:uid="{7CA8AA20-B3E3-4FEC-A22D-5F1A024B4916}" name="Column6745"/>
    <tableColumn id="6751" xr3:uid="{7AC7E939-77E1-4748-9ACA-1F80B0565A90}" name="Column6746"/>
    <tableColumn id="6752" xr3:uid="{C088F862-CFED-4396-8C49-8F92D9BA2505}" name="Column6747"/>
    <tableColumn id="6753" xr3:uid="{7F500C8F-F4F6-4491-B051-527C431B845F}" name="Column6748"/>
    <tableColumn id="6754" xr3:uid="{393BF7BA-D84C-4BBA-99D5-6B56C9E786D7}" name="Column6749"/>
    <tableColumn id="6755" xr3:uid="{227CE976-4812-4C40-ACA6-54FD4984DC60}" name="Column6750"/>
    <tableColumn id="6756" xr3:uid="{2AC349CB-13B6-46B1-B3EF-83DC75D33227}" name="Column6751"/>
    <tableColumn id="6757" xr3:uid="{6C542451-40A8-4562-946C-44E3E0D05C4C}" name="Column6752"/>
    <tableColumn id="6758" xr3:uid="{08EE3D39-7458-4787-85B6-957BF4D02E28}" name="Column6753"/>
    <tableColumn id="6759" xr3:uid="{A63037C3-DE6C-4ED0-8F07-A6B9F2032EBC}" name="Column6754"/>
    <tableColumn id="6760" xr3:uid="{FB77AF7A-9D2E-4790-9390-CBF445FB5302}" name="Column6755"/>
    <tableColumn id="6761" xr3:uid="{D19A3E95-D64F-4421-9B73-AD8F8846FCA2}" name="Column6756"/>
    <tableColumn id="6762" xr3:uid="{2D311AEE-A986-4BB3-9487-D3DCB84FD95C}" name="Column6757"/>
    <tableColumn id="6763" xr3:uid="{50D414FC-955F-46E7-893D-1FC9E77B6EDE}" name="Column6758"/>
    <tableColumn id="6764" xr3:uid="{92BF7DE4-C14C-44D5-9147-7C1578C3395F}" name="Column6759"/>
    <tableColumn id="6765" xr3:uid="{257FCF64-C2D0-421E-B996-EB466FA014A1}" name="Column6760"/>
    <tableColumn id="6766" xr3:uid="{23A405FA-F9F3-4856-A267-ED944622C274}" name="Column6761"/>
    <tableColumn id="6767" xr3:uid="{D04A138A-1448-47D3-8ED8-08827CCFFAE4}" name="Column6762"/>
    <tableColumn id="6768" xr3:uid="{DF4E973D-691C-47F9-884D-491F64CE435B}" name="Column6763"/>
    <tableColumn id="6769" xr3:uid="{FD6C1F97-E6C4-4B98-AAB0-4B2770CAB873}" name="Column6764"/>
    <tableColumn id="6770" xr3:uid="{819A2EDD-9A3A-4C3C-8A90-3C95B7DED8FD}" name="Column6765"/>
    <tableColumn id="6771" xr3:uid="{F6FD2B1B-6AC9-4E41-B1D5-E7B2CED7ECE8}" name="Column6766"/>
    <tableColumn id="6772" xr3:uid="{9CD221D1-4B17-477F-910B-242980FC5003}" name="Column6767"/>
    <tableColumn id="6773" xr3:uid="{F73F3527-74DB-4C50-ACF4-A305109B2B6A}" name="Column6768"/>
    <tableColumn id="6774" xr3:uid="{39DC17B6-9E8A-4AE6-854B-424F368E9996}" name="Column6769"/>
    <tableColumn id="6775" xr3:uid="{6803C73A-1E75-43E3-B4BC-D2F91ABB6EC6}" name="Column6770"/>
    <tableColumn id="6776" xr3:uid="{D464F86C-EBA7-4B30-976A-8D2F65E0DA28}" name="Column6771"/>
    <tableColumn id="6777" xr3:uid="{90D746C8-CE38-42E5-88EF-60D973340264}" name="Column6772"/>
    <tableColumn id="6778" xr3:uid="{694DEFB8-FB92-43F6-A087-CAACC1BED46F}" name="Column6773"/>
    <tableColumn id="6779" xr3:uid="{9D4E40F7-29EB-45DB-B8FB-962F86EABE2F}" name="Column6774"/>
    <tableColumn id="6780" xr3:uid="{4E1334C0-A71F-48B7-8DF1-E8A2DF96E094}" name="Column6775"/>
    <tableColumn id="6781" xr3:uid="{B53AC700-6210-40D2-A486-1B0B203E7871}" name="Column6776"/>
    <tableColumn id="6782" xr3:uid="{59497739-A465-4294-B4EA-AA30FA7D2955}" name="Column6777"/>
    <tableColumn id="6783" xr3:uid="{1D9A33F2-488C-483D-9001-1DFA95434C41}" name="Column6778"/>
    <tableColumn id="6784" xr3:uid="{99046CCE-A5BE-48B8-BBDB-622DC402926E}" name="Column6779"/>
    <tableColumn id="6785" xr3:uid="{4B2746B7-F152-4712-B3CB-6475889B1864}" name="Column6780"/>
    <tableColumn id="6786" xr3:uid="{19EA5BE5-0311-42E0-AC15-54D454112F23}" name="Column6781"/>
    <tableColumn id="6787" xr3:uid="{11732FEF-29BC-4B45-994E-3DE206AA408D}" name="Column6782"/>
    <tableColumn id="6788" xr3:uid="{6EA1093C-F8D3-4B23-907E-0578EF47F9E3}" name="Column6783"/>
    <tableColumn id="6789" xr3:uid="{C33079D7-E2D3-403A-A4C0-83CE9495ADCF}" name="Column6784"/>
    <tableColumn id="6790" xr3:uid="{CCB7AE83-68C9-42F6-9248-C79F4F6B4540}" name="Column6785"/>
    <tableColumn id="6791" xr3:uid="{2CE704E5-D702-403F-A2B4-3ED84E7D588B}" name="Column6786"/>
    <tableColumn id="6792" xr3:uid="{07AE117B-0F5C-4252-AEF8-53A744336B79}" name="Column6787"/>
    <tableColumn id="6793" xr3:uid="{2D9B7667-C37C-4190-BEC0-DDDA9B361451}" name="Column6788"/>
    <tableColumn id="6794" xr3:uid="{B8A5BD68-2FDB-4987-96FE-7063359FC9CE}" name="Column6789"/>
    <tableColumn id="6795" xr3:uid="{954645B9-175A-4D2F-BAD9-EC7E0163807F}" name="Column6790"/>
    <tableColumn id="6796" xr3:uid="{12DC8300-4D04-451B-9644-E1C50DA024F1}" name="Column6791"/>
    <tableColumn id="6797" xr3:uid="{8CFA7DAE-B0BC-4AE3-8781-09A5216A9A5E}" name="Column6792"/>
    <tableColumn id="6798" xr3:uid="{67C7708E-1121-4472-B884-62DA1B6C759F}" name="Column6793"/>
    <tableColumn id="6799" xr3:uid="{C859F482-25EB-47A7-B72F-98B0FDCAB555}" name="Column6794"/>
    <tableColumn id="6800" xr3:uid="{F4D8FAE1-5FD6-429B-BC4C-23FCB5CA3F54}" name="Column6795"/>
    <tableColumn id="6801" xr3:uid="{2A125725-60AB-486C-B119-5BA046643BE0}" name="Column6796"/>
    <tableColumn id="6802" xr3:uid="{A19BA8B5-DB7F-4C7B-9105-70CED3D9A61E}" name="Column6797"/>
    <tableColumn id="6803" xr3:uid="{8C3F8991-FE1C-4A7F-9461-032A58E155D5}" name="Column6798"/>
    <tableColumn id="6804" xr3:uid="{547E81C3-C93B-431B-B05D-C0EB3C0B0AA8}" name="Column6799"/>
    <tableColumn id="6805" xr3:uid="{649718AF-2E55-477F-96FB-4F05E25E58FD}" name="Column6800"/>
    <tableColumn id="6806" xr3:uid="{A33007BA-8548-47B6-B654-99190EEC09A4}" name="Column6801"/>
    <tableColumn id="6807" xr3:uid="{C72C96B1-30D8-44F2-9B5B-954597D03AA2}" name="Column6802"/>
    <tableColumn id="6808" xr3:uid="{717CB889-3216-4953-83FD-1065DDC15A2F}" name="Column6803"/>
    <tableColumn id="6809" xr3:uid="{07CB3CB5-DA4A-4052-972C-B29A761B3609}" name="Column6804"/>
    <tableColumn id="6810" xr3:uid="{D4A7192C-B3F7-43D0-B9C9-F3B825D29BD7}" name="Column6805"/>
    <tableColumn id="6811" xr3:uid="{7ADD6775-C2CC-4B91-80A3-404255E7B70C}" name="Column6806"/>
    <tableColumn id="6812" xr3:uid="{DC168890-5247-431D-8B9C-A3D92E126B44}" name="Column6807"/>
    <tableColumn id="6813" xr3:uid="{6D28B655-58A7-432D-9BD1-B03D9245E5F4}" name="Column6808"/>
    <tableColumn id="6814" xr3:uid="{72A17DD1-36FC-4DDB-919D-96FDEA64473D}" name="Column6809"/>
    <tableColumn id="6815" xr3:uid="{CF3F9C02-C095-4196-B4E2-8BE33CDBBF57}" name="Column6810"/>
    <tableColumn id="6816" xr3:uid="{6F6EA005-BBF7-4D69-B9EE-4F273D475063}" name="Column6811"/>
    <tableColumn id="6817" xr3:uid="{D85B78BC-1EE4-4227-BBDF-1E8F0CBB5FE9}" name="Column6812"/>
    <tableColumn id="6818" xr3:uid="{6BDAA0CC-E8CA-45D2-8841-2129804456BF}" name="Column6813"/>
    <tableColumn id="6819" xr3:uid="{CA36693A-8E58-4DBA-8EEB-0412AAE0A39D}" name="Column6814"/>
    <tableColumn id="6820" xr3:uid="{B2E4B47C-8F01-4A3E-849D-E7A506138C7D}" name="Column6815"/>
    <tableColumn id="6821" xr3:uid="{B59049FC-B02E-4819-8C7B-5E2BB60AC588}" name="Column6816"/>
    <tableColumn id="6822" xr3:uid="{28EE5B39-6B26-431C-9853-A68AD710F9DC}" name="Column6817"/>
    <tableColumn id="6823" xr3:uid="{07FC96C9-064F-4A27-ACC1-CA9D449A399B}" name="Column6818"/>
    <tableColumn id="6824" xr3:uid="{27766F66-E9D0-4745-B0EE-EE83AA715E0B}" name="Column6819"/>
    <tableColumn id="6825" xr3:uid="{89527027-DC86-41B8-BE50-12D5297EBE51}" name="Column6820"/>
    <tableColumn id="6826" xr3:uid="{D8797F12-0489-4833-975A-07F834032C56}" name="Column6821"/>
    <tableColumn id="6827" xr3:uid="{8C412802-4BEF-4E4A-A7FF-44E927BD2300}" name="Column6822"/>
    <tableColumn id="6828" xr3:uid="{995813A1-920A-4599-BA04-6E9EDFCA5DC7}" name="Column6823"/>
    <tableColumn id="6829" xr3:uid="{8E87D5A1-B24E-4560-83F8-7564303DC4AA}" name="Column6824"/>
    <tableColumn id="6830" xr3:uid="{53DAAC05-173A-4CC9-8DFE-939136D89556}" name="Column6825"/>
    <tableColumn id="6831" xr3:uid="{B8EBA0D7-FB5A-4E3E-9BC0-DBE90A01C935}" name="Column6826"/>
    <tableColumn id="6832" xr3:uid="{F882F459-649C-44CA-B419-D0F0C2356F23}" name="Column6827"/>
    <tableColumn id="6833" xr3:uid="{450299CE-AEB3-4115-86DA-2067D209B697}" name="Column6828"/>
    <tableColumn id="6834" xr3:uid="{89290F0F-9054-4C4E-93EA-16133B0CD856}" name="Column6829"/>
    <tableColumn id="6835" xr3:uid="{5415C219-1DD2-4FBC-8165-B338A676138A}" name="Column6830"/>
    <tableColumn id="6836" xr3:uid="{52163040-1798-426A-A26F-89747AA4C2C9}" name="Column6831"/>
    <tableColumn id="6837" xr3:uid="{EAF3E17B-5396-43E0-BAC0-D79C165D8B80}" name="Column6832"/>
    <tableColumn id="6838" xr3:uid="{26232F98-8121-418A-8D99-616E50859018}" name="Column6833"/>
    <tableColumn id="6839" xr3:uid="{CD8FCF8B-E48B-43F5-BD59-8557626B296C}" name="Column6834"/>
    <tableColumn id="6840" xr3:uid="{7C1FE728-97F2-4295-8588-7DBF1C9EE941}" name="Column6835"/>
    <tableColumn id="6841" xr3:uid="{6A829649-57AF-4538-AFF3-A5863578ACE6}" name="Column6836"/>
    <tableColumn id="6842" xr3:uid="{8C65D6E2-E943-49EF-9B78-1CE4758EC84C}" name="Column6837"/>
    <tableColumn id="6843" xr3:uid="{5B2E8920-41EC-48C9-BC4A-402E61F61917}" name="Column6838"/>
    <tableColumn id="6844" xr3:uid="{1CA261F5-D236-4487-A2D2-39ED259DD549}" name="Column6839"/>
    <tableColumn id="6845" xr3:uid="{C168A9E8-58F9-4979-85AC-1E1A2F4DA916}" name="Column6840"/>
    <tableColumn id="6846" xr3:uid="{CDD5108C-B977-401E-9C07-AE8CE164667C}" name="Column6841"/>
    <tableColumn id="6847" xr3:uid="{2D79D6FF-37F3-4C88-BFB8-5D28EE32C345}" name="Column6842"/>
    <tableColumn id="6848" xr3:uid="{5517D2E7-6B65-449D-BCB8-B11405FC2507}" name="Column6843"/>
    <tableColumn id="6849" xr3:uid="{729F1197-6780-43EC-ADB6-255063EB0593}" name="Column6844"/>
    <tableColumn id="6850" xr3:uid="{1BDD2F61-A84E-4BEB-89FC-38CDE8FBAE45}" name="Column6845"/>
    <tableColumn id="6851" xr3:uid="{12FFCCA8-F802-4427-86D9-F57FE990F683}" name="Column6846"/>
    <tableColumn id="6852" xr3:uid="{48E57B5A-EB29-4968-90A7-EE101AC07E55}" name="Column6847"/>
    <tableColumn id="6853" xr3:uid="{542599A3-ADB8-4622-A650-9C9E4499E3BF}" name="Column6848"/>
    <tableColumn id="6854" xr3:uid="{5C95E776-0356-441E-A340-CB91F1F7D883}" name="Column6849"/>
    <tableColumn id="6855" xr3:uid="{23364A05-AED1-4659-9ED5-F163431744EB}" name="Column6850"/>
    <tableColumn id="6856" xr3:uid="{928DF59F-9641-4994-8E94-C1B582B81282}" name="Column6851"/>
    <tableColumn id="6857" xr3:uid="{B4BD19DB-62FD-4A3D-ADCC-DF8A446CF180}" name="Column6852"/>
    <tableColumn id="6858" xr3:uid="{8B05F94F-8E13-489D-B8AF-1E96B380F31B}" name="Column6853"/>
    <tableColumn id="6859" xr3:uid="{5329150F-D87D-45B2-A3EC-EB86EDE3CD2A}" name="Column6854"/>
    <tableColumn id="6860" xr3:uid="{EE367948-F477-477D-81CF-3CFCF06E75A8}" name="Column6855"/>
    <tableColumn id="6861" xr3:uid="{94676260-BB4D-41C0-B689-704FC55FFFCF}" name="Column6856"/>
    <tableColumn id="6862" xr3:uid="{76CEFA12-7513-4053-B99F-49A80E38F616}" name="Column6857"/>
    <tableColumn id="6863" xr3:uid="{3E213D43-046F-4041-B17A-CDEABD4974C7}" name="Column6858"/>
    <tableColumn id="6864" xr3:uid="{DBA84686-D4F9-4B22-988E-6D0D33D51B84}" name="Column6859"/>
    <tableColumn id="6865" xr3:uid="{CCADD561-D351-4A2F-8B54-516C4AB70BC3}" name="Column6860"/>
    <tableColumn id="6866" xr3:uid="{0B1488B1-5A03-464B-965D-13942267DCB3}" name="Column6861"/>
    <tableColumn id="6867" xr3:uid="{816C86AD-3657-48D1-B90C-AACA4EC08CA1}" name="Column6862"/>
    <tableColumn id="6868" xr3:uid="{6FD40836-8E5A-4733-8AC0-F6C2FD99A134}" name="Column6863"/>
    <tableColumn id="6869" xr3:uid="{9AF129B1-10B5-410D-97A2-175F4BCD332C}" name="Column6864"/>
    <tableColumn id="6870" xr3:uid="{12D58059-665D-4878-949D-A3821DFE0E70}" name="Column6865"/>
    <tableColumn id="6871" xr3:uid="{A3554F6A-83A9-41F9-85F0-2936A80E09FF}" name="Column6866"/>
    <tableColumn id="6872" xr3:uid="{5B6DAA53-B26E-4122-8A7C-D3720782DA41}" name="Column6867"/>
    <tableColumn id="6873" xr3:uid="{AD47460D-C722-4748-BA94-F496CC14E4B0}" name="Column6868"/>
    <tableColumn id="6874" xr3:uid="{9C2AD113-F06A-4B5D-888C-A40716DB58F1}" name="Column6869"/>
    <tableColumn id="6875" xr3:uid="{68C28559-E900-4B53-B659-1AB425E0B4BD}" name="Column6870"/>
    <tableColumn id="6876" xr3:uid="{4A74E968-0193-44A8-9C99-371BEB7C6093}" name="Column6871"/>
    <tableColumn id="6877" xr3:uid="{2FDB470E-84CA-4C3F-AB10-00CFA7BF6566}" name="Column6872"/>
    <tableColumn id="6878" xr3:uid="{510D0834-BC87-4169-BFDD-1CC9D6CD5DB4}" name="Column6873"/>
    <tableColumn id="6879" xr3:uid="{12161997-A94C-4569-A624-BEF48B012A59}" name="Column6874"/>
    <tableColumn id="6880" xr3:uid="{84BD49EE-33F8-4048-8C6C-61DE26D067A1}" name="Column6875"/>
    <tableColumn id="6881" xr3:uid="{B1F88A59-62C0-4B4E-AE3C-667491BAC3BB}" name="Column6876"/>
    <tableColumn id="6882" xr3:uid="{1023C75E-7FBF-4B4A-ACCB-ABEF2D60D9DA}" name="Column6877"/>
    <tableColumn id="6883" xr3:uid="{ECC07E1B-A3A0-4D64-92F3-E429A362E3FF}" name="Column6878"/>
    <tableColumn id="6884" xr3:uid="{16A50121-5FE0-43C7-9B73-A6B74A3A5B88}" name="Column6879"/>
    <tableColumn id="6885" xr3:uid="{7A855E4F-7B59-442C-9DF7-B88B6E0E3D21}" name="Column6880"/>
    <tableColumn id="6886" xr3:uid="{487245AD-D7C1-4055-975B-ECF92742145E}" name="Column6881"/>
    <tableColumn id="6887" xr3:uid="{33851707-53CE-4D96-9572-951A20692FD1}" name="Column6882"/>
    <tableColumn id="6888" xr3:uid="{81A81D1F-E9EB-4DC5-BB58-129DF6C3989A}" name="Column6883"/>
    <tableColumn id="6889" xr3:uid="{D5FA4372-2A53-42FC-9806-40126B4297C7}" name="Column6884"/>
    <tableColumn id="6890" xr3:uid="{50B94775-978B-4CFF-86B4-513684FF6701}" name="Column6885"/>
    <tableColumn id="6891" xr3:uid="{F5698F7F-A04C-4B4C-AEF7-D7F68B032CCC}" name="Column6886"/>
    <tableColumn id="6892" xr3:uid="{F9249D91-50C2-4A71-8C46-C7F42C4BA02C}" name="Column6887"/>
    <tableColumn id="6893" xr3:uid="{D33D71EC-7E5F-47AF-8E20-4DC30BE6CF76}" name="Column6888"/>
    <tableColumn id="6894" xr3:uid="{A0447C5A-6547-4BB3-900B-4B0CCD219872}" name="Column6889"/>
    <tableColumn id="6895" xr3:uid="{9688FF62-0A7D-4557-96D2-F01838CFC54E}" name="Column6890"/>
    <tableColumn id="6896" xr3:uid="{80D339F1-4A54-4BA4-84C4-C335A826F991}" name="Column6891"/>
    <tableColumn id="6897" xr3:uid="{0F86EEE1-A3D2-494D-8417-A2A32A257A55}" name="Column6892"/>
    <tableColumn id="6898" xr3:uid="{DA99E89B-18C2-4010-8E18-C631F63BFDBE}" name="Column6893"/>
    <tableColumn id="6899" xr3:uid="{19FBAA70-3CB4-4DC5-9E1F-6D16E8E3F091}" name="Column6894"/>
    <tableColumn id="6900" xr3:uid="{1203937D-31BE-4F07-9AB0-45D69CB06186}" name="Column6895"/>
    <tableColumn id="6901" xr3:uid="{5B8E7496-959D-467B-A22D-8034D6C80275}" name="Column6896"/>
    <tableColumn id="6902" xr3:uid="{99553879-3209-48EB-A324-784A6D6AE3AB}" name="Column6897"/>
    <tableColumn id="6903" xr3:uid="{54037678-B8BE-44E6-B3F4-C4FD71CC1C67}" name="Column6898"/>
    <tableColumn id="6904" xr3:uid="{58CD5331-F8DA-4DE9-8D6C-1B5F8D0C1E4E}" name="Column6899"/>
    <tableColumn id="6905" xr3:uid="{C75F7E17-3662-40C2-86DD-C2AD9E95A914}" name="Column6900"/>
    <tableColumn id="6906" xr3:uid="{4E58BF96-E23C-42DF-BFA1-FA84F54EC63B}" name="Column6901"/>
    <tableColumn id="6907" xr3:uid="{18999E7D-E148-4E00-9D43-AA3321C2D272}" name="Column6902"/>
    <tableColumn id="6908" xr3:uid="{D31309D0-2C76-4C38-81AF-35BE35CF5AF9}" name="Column6903"/>
    <tableColumn id="6909" xr3:uid="{E19081A2-98BC-47CD-8AE0-439927290018}" name="Column6904"/>
    <tableColumn id="6910" xr3:uid="{888A80CF-F4D4-49CA-96B0-AD1865A64497}" name="Column6905"/>
    <tableColumn id="6911" xr3:uid="{5D91B55B-55DC-4518-9678-3C8EDE11560F}" name="Column6906"/>
    <tableColumn id="6912" xr3:uid="{E3756E49-9A66-429A-9E37-41E03FD00FA4}" name="Column6907"/>
    <tableColumn id="6913" xr3:uid="{325455A0-F9EF-48CB-97CA-13AFB3F1840D}" name="Column6908"/>
    <tableColumn id="6914" xr3:uid="{B404E28B-2E79-4BB6-BF08-B72978C2D82E}" name="Column6909"/>
    <tableColumn id="6915" xr3:uid="{7EB551C0-9DD6-45D4-8281-E0A704962A63}" name="Column6910"/>
    <tableColumn id="6916" xr3:uid="{551603F7-85E7-43D3-B2C6-5FA18C30E10A}" name="Column6911"/>
    <tableColumn id="6917" xr3:uid="{2FC9E3FB-DC1D-4B17-9EEA-D734F4E35515}" name="Column6912"/>
    <tableColumn id="6918" xr3:uid="{795794C9-7CB7-40C8-846C-D0B7CDA295FC}" name="Column6913"/>
    <tableColumn id="6919" xr3:uid="{35FAF78A-94FA-4800-B882-EE6C77B1F5DE}" name="Column6914"/>
    <tableColumn id="6920" xr3:uid="{2063824A-BA65-4867-A86A-8077F3004745}" name="Column6915"/>
    <tableColumn id="6921" xr3:uid="{7FDEBBB6-A8F2-4893-9647-33D5A539B2F1}" name="Column6916"/>
    <tableColumn id="6922" xr3:uid="{2499843B-C30E-42D3-9060-F7AED382F89E}" name="Column6917"/>
    <tableColumn id="6923" xr3:uid="{560862B5-6A1E-4065-8CF9-344BF358AAD4}" name="Column6918"/>
    <tableColumn id="6924" xr3:uid="{1D73FC55-E572-4013-BFF7-81DFDE3CB817}" name="Column6919"/>
    <tableColumn id="6925" xr3:uid="{78A2440F-A4E5-40DA-BB94-676FE2F0A3EA}" name="Column6920"/>
    <tableColumn id="6926" xr3:uid="{E2C60CFD-FD6B-4117-B4EE-0B4B30ACD223}" name="Column6921"/>
    <tableColumn id="6927" xr3:uid="{A335FEE9-DA93-4914-90B8-118D725062E6}" name="Column6922"/>
    <tableColumn id="6928" xr3:uid="{ECE132C0-7A41-40CD-93D7-EFE7C87DE3EE}" name="Column6923"/>
    <tableColumn id="6929" xr3:uid="{A9D291F7-6E18-4984-9E2A-AA1C87507F09}" name="Column6924"/>
    <tableColumn id="6930" xr3:uid="{19B37E0C-0EF6-4E28-95CD-FEEFC2AF6B57}" name="Column6925"/>
    <tableColumn id="6931" xr3:uid="{CA8696C1-73CE-4C2B-B1FA-CA6B1D54A0BF}" name="Column6926"/>
    <tableColumn id="6932" xr3:uid="{1B24EA17-4388-43C6-BEEA-F875FA8471CE}" name="Column6927"/>
    <tableColumn id="6933" xr3:uid="{9AAE2E9B-2902-4669-9ABC-1AB342C38804}" name="Column6928"/>
    <tableColumn id="6934" xr3:uid="{2C8B2016-01C0-4B80-8D23-9F0EE0AD5957}" name="Column6929"/>
    <tableColumn id="6935" xr3:uid="{E777059B-B549-4FD9-8669-B89B0208BCFD}" name="Column6930"/>
    <tableColumn id="6936" xr3:uid="{00C0CD89-28AC-4421-AC00-8C321C49A4DE}" name="Column6931"/>
    <tableColumn id="6937" xr3:uid="{2BF9B93F-2268-4AC1-8933-8A921AAABA90}" name="Column6932"/>
    <tableColumn id="6938" xr3:uid="{A64656D4-681C-4AD8-BFBC-4F105F4CD40D}" name="Column6933"/>
    <tableColumn id="6939" xr3:uid="{262C570C-56BC-49F1-9D17-237E88C87BED}" name="Column6934"/>
    <tableColumn id="6940" xr3:uid="{3F618003-0EA2-48C8-9F24-E99DA50C4351}" name="Column6935"/>
    <tableColumn id="6941" xr3:uid="{EEBC46DD-4C33-4DAE-B250-A57E6C3AFCAA}" name="Column6936"/>
    <tableColumn id="6942" xr3:uid="{B514923C-79D5-4216-B259-892E73B1673A}" name="Column6937"/>
    <tableColumn id="6943" xr3:uid="{25EA2EC6-CEEC-436A-B129-DF745C08FAE6}" name="Column6938"/>
    <tableColumn id="6944" xr3:uid="{12F51A98-93FC-4A4F-AD3D-27E773059DBD}" name="Column6939"/>
    <tableColumn id="6945" xr3:uid="{D11804BF-D60F-4660-B482-46162077AA28}" name="Column6940"/>
    <tableColumn id="6946" xr3:uid="{6BDAD2AA-9003-4B26-AE84-CDCCE7D05234}" name="Column6941"/>
    <tableColumn id="6947" xr3:uid="{4F6B455B-E24E-436C-9B5A-F85BD2D4B86C}" name="Column6942"/>
    <tableColumn id="6948" xr3:uid="{5E337A90-A7D8-4A71-BCBB-1D29ADC4C586}" name="Column6943"/>
    <tableColumn id="6949" xr3:uid="{F09E3C9E-ACC6-450E-8D72-D670B3F3F17A}" name="Column6944"/>
    <tableColumn id="6950" xr3:uid="{0F17DA66-BAD0-49C3-BFBB-F8A922575C69}" name="Column6945"/>
    <tableColumn id="6951" xr3:uid="{EF186183-8C4E-4FA5-8787-3E3695A4564E}" name="Column6946"/>
    <tableColumn id="6952" xr3:uid="{9C005D68-974A-4537-9303-A9F7C385C9B1}" name="Column6947"/>
    <tableColumn id="6953" xr3:uid="{66DE2B0E-13B9-430E-B197-3465E89887D3}" name="Column6948"/>
    <tableColumn id="6954" xr3:uid="{2CB8B191-8A23-480D-A3AD-F3741124AA9E}" name="Column6949"/>
    <tableColumn id="6955" xr3:uid="{47EDA3A1-CB47-45C2-832D-7DB0836A0301}" name="Column6950"/>
    <tableColumn id="6956" xr3:uid="{593536B7-B937-4C34-97E6-1815FCCF3660}" name="Column6951"/>
    <tableColumn id="6957" xr3:uid="{5FC21E21-7D04-4FB8-B521-3A6F53BBE783}" name="Column6952"/>
    <tableColumn id="6958" xr3:uid="{24D72DBC-BF6A-4E6F-8975-D926BB5B7DB0}" name="Column6953"/>
    <tableColumn id="6959" xr3:uid="{6DFE0144-8A00-488F-A5AC-2A4387C8C3E8}" name="Column6954"/>
    <tableColumn id="6960" xr3:uid="{464B0B9B-3D4E-4EB0-9068-332B323082DC}" name="Column6955"/>
    <tableColumn id="6961" xr3:uid="{7817E91A-AAD9-44B3-9BFE-14E7F5A8A963}" name="Column6956"/>
    <tableColumn id="6962" xr3:uid="{5D14F570-0186-4253-B33C-1C99449B2B6A}" name="Column6957"/>
    <tableColumn id="6963" xr3:uid="{E9E7B96F-13E8-4DD0-91D6-B1E85AE45D04}" name="Column6958"/>
    <tableColumn id="6964" xr3:uid="{625D45F8-7F76-40AE-989A-ED5A8A178067}" name="Column6959"/>
    <tableColumn id="6965" xr3:uid="{E5F711BB-7CDA-41C9-9BEA-88526865C4D6}" name="Column6960"/>
    <tableColumn id="6966" xr3:uid="{61312665-1CBF-43DE-A2FF-57E5CD99A2A9}" name="Column6961"/>
    <tableColumn id="6967" xr3:uid="{F3EA974D-314B-4FBA-A414-30BE6129A9BE}" name="Column6962"/>
    <tableColumn id="6968" xr3:uid="{A400CF50-D1EA-462E-A62A-F4E961099877}" name="Column6963"/>
    <tableColumn id="6969" xr3:uid="{ACFAD694-649A-4547-8C15-E1B05F939612}" name="Column6964"/>
    <tableColumn id="6970" xr3:uid="{9684E389-DB14-4FA8-9315-5F21F8A77EF1}" name="Column6965"/>
    <tableColumn id="6971" xr3:uid="{CCD9A2F2-3CCC-4DB2-8DC3-A2A5BB8A60F1}" name="Column6966"/>
    <tableColumn id="6972" xr3:uid="{8EE86B9E-CCB7-4AFB-AD52-D1CEB88CDD6F}" name="Column6967"/>
    <tableColumn id="6973" xr3:uid="{28B19270-E4CE-4CBE-B850-645E84F2CDEC}" name="Column6968"/>
    <tableColumn id="6974" xr3:uid="{E6837D97-BA02-4016-9DA6-DEBBC3171BC3}" name="Column6969"/>
    <tableColumn id="6975" xr3:uid="{94FD0AB9-64A2-4C6B-A1EF-735A15F1B09C}" name="Column6970"/>
    <tableColumn id="6976" xr3:uid="{0C9AE052-0388-487E-B643-E18D9FAEB847}" name="Column6971"/>
    <tableColumn id="6977" xr3:uid="{820CB93D-05AE-42B0-B4A8-54EF61C56EE1}" name="Column6972"/>
    <tableColumn id="6978" xr3:uid="{1FE31663-25D6-4788-9C31-A83ACA6D6DDD}" name="Column6973"/>
    <tableColumn id="6979" xr3:uid="{6F413ACD-DF37-401E-973D-EAAEBA2E67C1}" name="Column6974"/>
    <tableColumn id="6980" xr3:uid="{F1C8989E-FB25-4082-8F09-B8F1CA090563}" name="Column6975"/>
    <tableColumn id="6981" xr3:uid="{CA088B92-1C92-4544-9AE1-F2B79B47900C}" name="Column6976"/>
    <tableColumn id="6982" xr3:uid="{21C84457-A5B8-4F2C-B337-479916D394AE}" name="Column6977"/>
    <tableColumn id="6983" xr3:uid="{EE9A7DAD-A5B8-4BAC-A834-85202343DF53}" name="Column6978"/>
    <tableColumn id="6984" xr3:uid="{DD3883E4-5003-4CC0-8DE6-EA4C792EE052}" name="Column6979"/>
    <tableColumn id="6985" xr3:uid="{3B7C1AB5-D8E4-4EB5-88D3-B32A7FF54278}" name="Column6980"/>
    <tableColumn id="6986" xr3:uid="{CC8D58CC-28E7-401B-A09D-75F55B72F1BD}" name="Column6981"/>
    <tableColumn id="6987" xr3:uid="{4013121B-FCB8-4E7A-915D-55AB616E63CA}" name="Column6982"/>
    <tableColumn id="6988" xr3:uid="{DB8E8985-E357-43DD-A597-666AF27D5C92}" name="Column6983"/>
    <tableColumn id="6989" xr3:uid="{B0FE422C-236D-4D99-A0B1-BBE7B854C4FE}" name="Column6984"/>
    <tableColumn id="6990" xr3:uid="{E2CA80FD-ED4B-4D5B-AA15-E7317244E89F}" name="Column6985"/>
    <tableColumn id="6991" xr3:uid="{94BD29AA-AB65-4E4D-9945-A5F36F1BD2BA}" name="Column6986"/>
    <tableColumn id="6992" xr3:uid="{D09F1E68-DDDC-48DB-BBA2-DAB5F527AEA0}" name="Column6987"/>
    <tableColumn id="6993" xr3:uid="{DD4D9BBB-8BBE-4701-963D-312A8512D505}" name="Column6988"/>
    <tableColumn id="6994" xr3:uid="{0F8C79E3-7420-454F-A97F-6BB8D155F10A}" name="Column6989"/>
    <tableColumn id="6995" xr3:uid="{04A507EB-D10A-413C-8843-B9A350AB7120}" name="Column6990"/>
    <tableColumn id="6996" xr3:uid="{77AD3B75-4021-4ED2-9582-F3187312677A}" name="Column6991"/>
    <tableColumn id="6997" xr3:uid="{EE433D10-9555-4D70-94D4-9C48B47CA530}" name="Column6992"/>
    <tableColumn id="6998" xr3:uid="{BCD1CDAD-5235-4BF6-9B6C-6835FB6B79DE}" name="Column6993"/>
    <tableColumn id="6999" xr3:uid="{BF9064FD-E41B-44DC-BE23-D0FD6ADAB91E}" name="Column6994"/>
    <tableColumn id="7000" xr3:uid="{A05DB3F4-9C13-407D-9E98-2CC0B795B019}" name="Column6995"/>
    <tableColumn id="7001" xr3:uid="{DE6AB54F-5FDD-4394-907F-C6FB55B1A4BE}" name="Column6996"/>
    <tableColumn id="7002" xr3:uid="{A05A70E0-708F-492A-A8DC-3BA3C8EDB294}" name="Column6997"/>
    <tableColumn id="7003" xr3:uid="{3E67C307-D155-4C27-B86C-70E76D6D1DA8}" name="Column6998"/>
    <tableColumn id="7004" xr3:uid="{200EEF56-CE40-49FA-8963-598E0072AA90}" name="Column6999"/>
    <tableColumn id="7005" xr3:uid="{5D6461EC-D992-4A12-9A46-D22BD2635632}" name="Column7000"/>
    <tableColumn id="7006" xr3:uid="{FBBBAE79-828D-41C0-B322-B99C28A75192}" name="Column7001"/>
    <tableColumn id="7007" xr3:uid="{274B5486-B29A-4696-9B88-00DCAA5EEA85}" name="Column7002"/>
    <tableColumn id="7008" xr3:uid="{751C716E-E546-494B-A974-502FBF74C193}" name="Column7003"/>
    <tableColumn id="7009" xr3:uid="{4D3B5BD3-ED52-4AF8-82B0-71E3FB72D786}" name="Column7004"/>
    <tableColumn id="7010" xr3:uid="{8D7E14B7-F8E7-4F8E-B79C-A4DFD281546A}" name="Column7005"/>
    <tableColumn id="7011" xr3:uid="{06B6867B-B676-4695-8262-93ECDF3A5111}" name="Column7006"/>
    <tableColumn id="7012" xr3:uid="{81EF2EE0-1BDB-4ECD-A8B1-7C7E94FC91DE}" name="Column7007"/>
    <tableColumn id="7013" xr3:uid="{C6522B16-B842-4407-908D-7A1B28E7D40F}" name="Column7008"/>
    <tableColumn id="7014" xr3:uid="{E47F96DC-26D0-43F9-82B1-4905FDD28033}" name="Column7009"/>
    <tableColumn id="7015" xr3:uid="{6EE8B319-E515-4F7F-B7AA-A156AC86A5ED}" name="Column7010"/>
    <tableColumn id="7016" xr3:uid="{35FE27DD-9B18-484E-A7A4-203C2E8FEB94}" name="Column7011"/>
    <tableColumn id="7017" xr3:uid="{9384438C-A2DE-4B8B-862A-7C2740B6FFC6}" name="Column7012"/>
    <tableColumn id="7018" xr3:uid="{E7863A2F-73CA-464E-830C-34BF18F7F21C}" name="Column7013"/>
    <tableColumn id="7019" xr3:uid="{EBCD55DE-B819-4EF7-8743-A259C9B4D8F4}" name="Column7014"/>
    <tableColumn id="7020" xr3:uid="{38822834-AF3C-47ED-A2ED-6D303009D47B}" name="Column7015"/>
    <tableColumn id="7021" xr3:uid="{39BB9A2C-083F-4956-93C6-209AC45746DE}" name="Column7016"/>
    <tableColumn id="7022" xr3:uid="{E82080CA-B57A-479B-B5D4-9C851CF1F313}" name="Column7017"/>
    <tableColumn id="7023" xr3:uid="{48F7FEB0-F85A-4F10-B215-477CF111EA98}" name="Column7018"/>
    <tableColumn id="7024" xr3:uid="{6FE6B969-6DDA-472A-90E8-2536E797C416}" name="Column7019"/>
    <tableColumn id="7025" xr3:uid="{013D884D-14D3-43BB-B3D9-3997E6FE7801}" name="Column7020"/>
    <tableColumn id="7026" xr3:uid="{FF661EE0-BBB1-493E-B60E-A9007EE2F427}" name="Column7021"/>
    <tableColumn id="7027" xr3:uid="{70F0CA52-E5E2-4675-83B9-E2F3D70983A5}" name="Column7022"/>
    <tableColumn id="7028" xr3:uid="{829D9DE2-3697-4FA6-BF3B-F2A7259430FC}" name="Column7023"/>
    <tableColumn id="7029" xr3:uid="{EA1B20BA-0561-4CD5-9B51-A6633884334D}" name="Column7024"/>
    <tableColumn id="7030" xr3:uid="{C1D2F079-145E-4B22-8583-925F9498217E}" name="Column7025"/>
    <tableColumn id="7031" xr3:uid="{034A93CF-C9F7-499A-9446-1E652CEB3490}" name="Column7026"/>
    <tableColumn id="7032" xr3:uid="{7BA79C3D-9810-41EC-BBFC-D1AC5450BD60}" name="Column7027"/>
    <tableColumn id="7033" xr3:uid="{A2C5BD72-9D82-4A1B-97E4-5684B18513AE}" name="Column7028"/>
    <tableColumn id="7034" xr3:uid="{BF61FC11-9164-406B-A3F3-8C39028A2E6C}" name="Column7029"/>
    <tableColumn id="7035" xr3:uid="{6B4C500A-8034-4876-AEF0-29D689B36999}" name="Column7030"/>
    <tableColumn id="7036" xr3:uid="{BB03F1B2-665A-451B-8B62-D40FBCD1768E}" name="Column7031"/>
    <tableColumn id="7037" xr3:uid="{59CA7411-D7FF-4D72-B71A-87612E9D652D}" name="Column7032"/>
    <tableColumn id="7038" xr3:uid="{4CBD6633-98AD-4BB8-971B-D68597B4CDB3}" name="Column7033"/>
    <tableColumn id="7039" xr3:uid="{E536E411-F0A8-406A-A691-AB4E0AB464A7}" name="Column7034"/>
    <tableColumn id="7040" xr3:uid="{18122122-FB2D-498B-97B3-43759C7EE0F8}" name="Column7035"/>
    <tableColumn id="7041" xr3:uid="{E5FA2261-3479-4A26-A94C-908DC1AFE21D}" name="Column7036"/>
    <tableColumn id="7042" xr3:uid="{6A45F054-9789-42F5-BB49-727B1E720670}" name="Column7037"/>
    <tableColumn id="7043" xr3:uid="{825BC7B4-F45C-44FA-AEAB-DCCE8762BF32}" name="Column7038"/>
    <tableColumn id="7044" xr3:uid="{9A8662B6-DCCC-48F2-AA39-C55425AAA1F1}" name="Column7039"/>
    <tableColumn id="7045" xr3:uid="{3D7B9859-AE3A-4291-9EC7-B72E3A0D17A0}" name="Column7040"/>
    <tableColumn id="7046" xr3:uid="{5E1D4DFC-17E2-4796-B11B-7DEF71655FA1}" name="Column7041"/>
    <tableColumn id="7047" xr3:uid="{182922D5-1C8D-417A-8523-8ECB2B1D11D0}" name="Column7042"/>
    <tableColumn id="7048" xr3:uid="{D50810AB-25F3-4837-AE59-6EFCC21AAC28}" name="Column7043"/>
    <tableColumn id="7049" xr3:uid="{FF3A8A3D-F804-4D8A-907D-9206BE12D2D5}" name="Column7044"/>
    <tableColumn id="7050" xr3:uid="{2B7F08EE-4FBB-46DD-A3D8-5DF102AAB614}" name="Column7045"/>
    <tableColumn id="7051" xr3:uid="{0F35E630-617B-4949-A246-66E49148A577}" name="Column7046"/>
    <tableColumn id="7052" xr3:uid="{ADC85F1E-3ECD-4F39-B568-0AD7006C0768}" name="Column7047"/>
    <tableColumn id="7053" xr3:uid="{388B58FB-853B-419A-A033-C20D04CDC2A3}" name="Column7048"/>
    <tableColumn id="7054" xr3:uid="{5586BCC9-5E4E-450E-82DC-0387A4E3F9BE}" name="Column7049"/>
    <tableColumn id="7055" xr3:uid="{A8B85F26-680B-414D-82F0-93DFD15F3749}" name="Column7050"/>
    <tableColumn id="7056" xr3:uid="{B71F78B9-650D-4C8C-A6FA-A5EAE7BB3B6E}" name="Column7051"/>
    <tableColumn id="7057" xr3:uid="{ED9DB8ED-BF67-4FED-A652-1CDD64F0B3C3}" name="Column7052"/>
    <tableColumn id="7058" xr3:uid="{14714277-69A5-4DF0-A0D1-A324DE183AC8}" name="Column7053"/>
    <tableColumn id="7059" xr3:uid="{8070C393-9F41-46FE-948B-667519D3208C}" name="Column7054"/>
    <tableColumn id="7060" xr3:uid="{18BE8C04-14FE-430D-9C02-6D17852C814B}" name="Column7055"/>
    <tableColumn id="7061" xr3:uid="{D6E0215A-EF5C-49DC-8DAB-D138E17B4BD8}" name="Column7056"/>
    <tableColumn id="7062" xr3:uid="{9CBDF080-34F8-4978-919B-A26140C0A54D}" name="Column7057"/>
    <tableColumn id="7063" xr3:uid="{F8371EF2-9A91-49B6-86E1-0150F905F0A4}" name="Column7058"/>
    <tableColumn id="7064" xr3:uid="{FEB4CD0C-1E5C-484B-A76E-D9E221CF9DC9}" name="Column7059"/>
    <tableColumn id="7065" xr3:uid="{D41892AC-B971-4468-84EC-83F55737DAB3}" name="Column7060"/>
    <tableColumn id="7066" xr3:uid="{043FC744-D484-4D92-B844-ABC10E12D38A}" name="Column7061"/>
    <tableColumn id="7067" xr3:uid="{0523B68F-7E07-45D7-B644-13CE3C4958D6}" name="Column7062"/>
    <tableColumn id="7068" xr3:uid="{9012B8D9-42FE-4F83-A78A-8AB495D16FBA}" name="Column7063"/>
    <tableColumn id="7069" xr3:uid="{9062F1B5-18E8-4224-8BF0-29E44381B979}" name="Column7064"/>
    <tableColumn id="7070" xr3:uid="{F9BC75E9-5AA3-4ED4-B2A3-903DA139C2FC}" name="Column7065"/>
    <tableColumn id="7071" xr3:uid="{62B16420-997F-42E9-B05E-4395D40A596C}" name="Column7066"/>
    <tableColumn id="7072" xr3:uid="{4AB40913-CB6B-4728-83D1-328E2B9783DA}" name="Column7067"/>
    <tableColumn id="7073" xr3:uid="{C4DAC805-9643-47D8-B1C4-F0E9674FC1F1}" name="Column7068"/>
    <tableColumn id="7074" xr3:uid="{2CAA1124-2E1E-4D16-9FFD-7DF80515E40B}" name="Column7069"/>
    <tableColumn id="7075" xr3:uid="{B78379F9-6172-42BF-A8E8-C215D77FC038}" name="Column7070"/>
    <tableColumn id="7076" xr3:uid="{1D9EEDA8-7FAE-45DE-AEC7-2C7BB82B43BF}" name="Column7071"/>
    <tableColumn id="7077" xr3:uid="{381F38AC-C48B-45A6-A60B-87EF59E17D23}" name="Column7072"/>
    <tableColumn id="7078" xr3:uid="{AFEB3DD0-0165-4C8F-AEA5-70EC5344412F}" name="Column7073"/>
    <tableColumn id="7079" xr3:uid="{D90C5FBC-2ECE-4C34-A63E-5D4696D4AB6A}" name="Column7074"/>
    <tableColumn id="7080" xr3:uid="{290E6AD5-8358-4FD9-9FB2-5542FB40F77B}" name="Column7075"/>
    <tableColumn id="7081" xr3:uid="{3F0DA714-EDA9-4338-8833-5FD8B4F843C9}" name="Column7076"/>
    <tableColumn id="7082" xr3:uid="{B33D81D3-1147-44F9-857A-AC40CB5FEBF2}" name="Column7077"/>
    <tableColumn id="7083" xr3:uid="{4883AC13-D1E3-4587-BF0D-3B23FCCB566F}" name="Column7078"/>
    <tableColumn id="7084" xr3:uid="{A27CF305-6316-4D21-B1DB-78F5D1942FC1}" name="Column7079"/>
    <tableColumn id="7085" xr3:uid="{E5634C71-A2C5-4EA9-9C72-C0946568698E}" name="Column7080"/>
    <tableColumn id="7086" xr3:uid="{5587962B-03E8-4551-9941-8A20036265E4}" name="Column7081"/>
    <tableColumn id="7087" xr3:uid="{C6BAECCA-A4DE-42CA-BCCD-97B43AD8EB79}" name="Column7082"/>
    <tableColumn id="7088" xr3:uid="{51315D72-8F1F-45FE-ACFD-693E1D63253C}" name="Column7083"/>
    <tableColumn id="7089" xr3:uid="{F66C78B4-7856-402C-AE88-7CC338197045}" name="Column7084"/>
    <tableColumn id="7090" xr3:uid="{C186C49A-C4B5-4069-A740-D15896F82F92}" name="Column7085"/>
    <tableColumn id="7091" xr3:uid="{778C929C-97CB-4D04-864B-5BC0B3D839B0}" name="Column7086"/>
    <tableColumn id="7092" xr3:uid="{557D587F-FEB7-4307-88EF-61CEB945C5E0}" name="Column7087"/>
    <tableColumn id="7093" xr3:uid="{CC4D0310-1E4B-4CD3-9A2C-34ED8825D293}" name="Column7088"/>
    <tableColumn id="7094" xr3:uid="{67079C92-9F46-48B4-8A45-743490D4B195}" name="Column7089"/>
    <tableColumn id="7095" xr3:uid="{58A21CFC-2511-419A-A839-9AB6071A5D00}" name="Column7090"/>
    <tableColumn id="7096" xr3:uid="{DBF87867-17E7-4C01-87B9-417ED8316B23}" name="Column7091"/>
    <tableColumn id="7097" xr3:uid="{2FE61170-E5E3-4911-B72F-202846CA67EE}" name="Column7092"/>
    <tableColumn id="7098" xr3:uid="{B4CDDBDA-7CCE-4F5E-890E-9087B0264B42}" name="Column7093"/>
    <tableColumn id="7099" xr3:uid="{F93C0814-8D71-48D5-BED7-B2EDC5AEC920}" name="Column7094"/>
    <tableColumn id="7100" xr3:uid="{E936C003-B6E2-4F58-B931-1319041ACE51}" name="Column7095"/>
    <tableColumn id="7101" xr3:uid="{81BE89C3-662B-4EE2-9ED4-72C082FFC6CE}" name="Column7096"/>
    <tableColumn id="7102" xr3:uid="{8DFD24B7-64EC-47AB-93D5-3963A9603A89}" name="Column7097"/>
    <tableColumn id="7103" xr3:uid="{9185F2E2-FB4E-4138-85BE-B791EE83CCFE}" name="Column7098"/>
    <tableColumn id="7104" xr3:uid="{9922A7A6-3B93-4558-8435-1EAA4913D29D}" name="Column7099"/>
    <tableColumn id="7105" xr3:uid="{37C7371E-0F06-4643-A322-C8CFEE7DAB53}" name="Column7100"/>
    <tableColumn id="7106" xr3:uid="{E8C48D7E-2782-4DFA-A3EB-736FD249D0CE}" name="Column7101"/>
    <tableColumn id="7107" xr3:uid="{4B256FFE-8318-46F0-84F8-ABDABBF544CF}" name="Column7102"/>
    <tableColumn id="7108" xr3:uid="{9DD80319-65A3-433E-AEC9-E864ECB0B713}" name="Column7103"/>
    <tableColumn id="7109" xr3:uid="{4D55A716-0CED-4E47-A726-16C61A68A648}" name="Column7104"/>
    <tableColumn id="7110" xr3:uid="{D48FFD18-47FA-45CC-B00D-F49AF4D03655}" name="Column7105"/>
    <tableColumn id="7111" xr3:uid="{D9803ECF-8C7C-4668-9EF5-89CB067A0A9B}" name="Column7106"/>
    <tableColumn id="7112" xr3:uid="{018561A6-571D-4D34-8A2B-DC5ABD554407}" name="Column7107"/>
    <tableColumn id="7113" xr3:uid="{1E08187B-6DFC-4C1C-908B-E15522F26220}" name="Column7108"/>
    <tableColumn id="7114" xr3:uid="{DA0C8951-A9F1-4C28-9DBF-2198A8D3F9F5}" name="Column7109"/>
    <tableColumn id="7115" xr3:uid="{47D537B1-7322-4FD3-A4D8-036ABC876222}" name="Column7110"/>
    <tableColumn id="7116" xr3:uid="{F3D4D456-D581-4CC7-831C-B86BA4D81395}" name="Column7111"/>
    <tableColumn id="7117" xr3:uid="{689832A2-1CC9-40D3-B0BC-19B79C59AAAE}" name="Column7112"/>
    <tableColumn id="7118" xr3:uid="{FDD47379-6B67-4D59-956B-F6F784910637}" name="Column7113"/>
    <tableColumn id="7119" xr3:uid="{F4DB2FFC-EE92-481C-927F-7AB1B75A6EE3}" name="Column7114"/>
    <tableColumn id="7120" xr3:uid="{61D2A88E-4A4B-48FB-9807-A351D9A832E4}" name="Column7115"/>
    <tableColumn id="7121" xr3:uid="{79726DE8-66D2-449E-8484-D2B2E2533048}" name="Column7116"/>
    <tableColumn id="7122" xr3:uid="{D4974B60-0EB7-4EAF-AEC0-DA0C0DA63A46}" name="Column7117"/>
    <tableColumn id="7123" xr3:uid="{F4D5F504-F2BD-4B2E-BB10-5CF6255130C3}" name="Column7118"/>
    <tableColumn id="7124" xr3:uid="{F2053498-75A1-48B9-9850-EF3190D4E21D}" name="Column7119"/>
    <tableColumn id="7125" xr3:uid="{882893E0-2BAB-4040-B2B2-72FB6574FB55}" name="Column7120"/>
    <tableColumn id="7126" xr3:uid="{D39EC8F9-2580-4D23-882C-713355F2BD3F}" name="Column7121"/>
    <tableColumn id="7127" xr3:uid="{F7E40A7C-7AC1-403B-B3F4-D2FE4072CE6D}" name="Column7122"/>
    <tableColumn id="7128" xr3:uid="{C4629257-3B20-4600-B86F-E16ABACCA668}" name="Column7123"/>
    <tableColumn id="7129" xr3:uid="{B409F956-29C9-4907-BFAE-81A4081B031F}" name="Column7124"/>
    <tableColumn id="7130" xr3:uid="{CED6999C-9AC7-4967-85FB-4D3730473DC8}" name="Column7125"/>
    <tableColumn id="7131" xr3:uid="{567ACF22-390C-492E-B02A-19C87D988711}" name="Column7126"/>
    <tableColumn id="7132" xr3:uid="{E893F8BB-57D1-422A-8E01-0B78879F65AD}" name="Column7127"/>
    <tableColumn id="7133" xr3:uid="{F4E255E5-C5AF-4388-82A4-D2AA6DBADF48}" name="Column7128"/>
    <tableColumn id="7134" xr3:uid="{3578FAA0-CAE4-4EA5-8594-B524B6476053}" name="Column7129"/>
    <tableColumn id="7135" xr3:uid="{0886C175-1F79-406B-AAFE-E2595B154339}" name="Column7130"/>
    <tableColumn id="7136" xr3:uid="{079A5F64-C7DA-4590-8CE3-80BF73E95370}" name="Column7131"/>
    <tableColumn id="7137" xr3:uid="{F0EA6E35-3C5A-4F1E-A468-8811CCD98E8B}" name="Column7132"/>
    <tableColumn id="7138" xr3:uid="{8FD3F210-DADF-4913-8B03-62979B2BB270}" name="Column7133"/>
    <tableColumn id="7139" xr3:uid="{A28AA60E-E7D7-4A70-9117-FAD1F3B28380}" name="Column7134"/>
    <tableColumn id="7140" xr3:uid="{7ABE003D-BEC9-4C95-9647-4A0ADDAF54A6}" name="Column7135"/>
    <tableColumn id="7141" xr3:uid="{A27429BA-FAF5-4FC6-B692-B3CD09EEBB51}" name="Column7136"/>
    <tableColumn id="7142" xr3:uid="{12E783AE-01A1-4A75-AA6E-E00E363F1E88}" name="Column7137"/>
    <tableColumn id="7143" xr3:uid="{986F5A77-2D19-414B-B12F-EAF10904D371}" name="Column7138"/>
    <tableColumn id="7144" xr3:uid="{A5DE7D2A-A03A-4717-82BD-65146A57112C}" name="Column7139"/>
    <tableColumn id="7145" xr3:uid="{36152E58-C36A-4B12-B7BF-6C31F79E7CF3}" name="Column7140"/>
    <tableColumn id="7146" xr3:uid="{9F2F3942-3E3C-47C9-888D-96AFE1A9C896}" name="Column7141"/>
    <tableColumn id="7147" xr3:uid="{4AF2B774-7463-4E95-9275-C7CC1C2BC030}" name="Column7142"/>
    <tableColumn id="7148" xr3:uid="{69171689-8794-433F-94B1-A9FE334FFF97}" name="Column7143"/>
    <tableColumn id="7149" xr3:uid="{D4493F5D-BD58-48A6-AD26-077070919081}" name="Column7144"/>
    <tableColumn id="7150" xr3:uid="{418DA13D-B03A-48C5-98B8-0349A625DF14}" name="Column7145"/>
    <tableColumn id="7151" xr3:uid="{D71CC269-08D6-435F-ACF0-32E1B5F28467}" name="Column7146"/>
    <tableColumn id="7152" xr3:uid="{CF0C522E-B70C-49A0-9A92-DC5AD48C8F74}" name="Column7147"/>
    <tableColumn id="7153" xr3:uid="{04772649-5BED-4DF3-B694-918A9D791348}" name="Column7148"/>
    <tableColumn id="7154" xr3:uid="{E0F67721-0525-4676-831E-663785AFD087}" name="Column7149"/>
    <tableColumn id="7155" xr3:uid="{311E0CFF-607E-4E5A-8D2B-B654EF273332}" name="Column7150"/>
    <tableColumn id="7156" xr3:uid="{F133BB1D-24AE-4B9E-883B-24932F2CFF37}" name="Column7151"/>
    <tableColumn id="7157" xr3:uid="{6863598B-3296-47CA-A4C5-80CCFB8BEBF3}" name="Column7152"/>
    <tableColumn id="7158" xr3:uid="{37995E8D-2D38-4D32-B11A-AB05DA9CD430}" name="Column7153"/>
    <tableColumn id="7159" xr3:uid="{6B7392D2-B542-4961-8678-D7398BC64744}" name="Column7154"/>
    <tableColumn id="7160" xr3:uid="{ED11139B-F182-4051-AB85-265B4DB1758D}" name="Column7155"/>
    <tableColumn id="7161" xr3:uid="{0BC3F176-43A3-41FE-BEB4-AE6D8E1D1A86}" name="Column7156"/>
    <tableColumn id="7162" xr3:uid="{782581DF-BFF6-4EFE-87B3-F86B7B7D7E6D}" name="Column7157"/>
    <tableColumn id="7163" xr3:uid="{33F4AE41-4A4A-4A02-BB0D-9F899DF8F515}" name="Column7158"/>
    <tableColumn id="7164" xr3:uid="{55A7E889-F909-4D68-85AE-972346BD9B62}" name="Column7159"/>
    <tableColumn id="7165" xr3:uid="{78D88C4F-1B0D-4CD0-AB70-489B1591B841}" name="Column7160"/>
    <tableColumn id="7166" xr3:uid="{93D65D89-EDBB-44EC-A21F-4C841CA7C04F}" name="Column7161"/>
    <tableColumn id="7167" xr3:uid="{6F025BDC-08CD-4C4A-B03F-7F4BBFEE810E}" name="Column7162"/>
    <tableColumn id="7168" xr3:uid="{BA01DF5D-0C74-46D1-99C4-7BBF924D07F7}" name="Column7163"/>
    <tableColumn id="7169" xr3:uid="{42F1536E-1D13-46AA-B8A6-C597B256A0AB}" name="Column7164"/>
    <tableColumn id="7170" xr3:uid="{4E0E904D-64DB-449E-A7AE-DD2322119EBC}" name="Column7165"/>
    <tableColumn id="7171" xr3:uid="{BC2A7DA0-FA70-4EEB-8974-091780DD51BC}" name="Column7166"/>
    <tableColumn id="7172" xr3:uid="{0C3DF8EF-20EA-4A33-A649-E5BABB784627}" name="Column7167"/>
    <tableColumn id="7173" xr3:uid="{AF76CEDA-43BE-4B70-A831-7F76C77531B5}" name="Column7168"/>
    <tableColumn id="7174" xr3:uid="{A70BAF54-91E6-41F5-8270-FFA692E086AA}" name="Column7169"/>
    <tableColumn id="7175" xr3:uid="{F0EAE8B4-EF0B-47AB-A945-C132C618CE82}" name="Column7170"/>
    <tableColumn id="7176" xr3:uid="{79A8F18E-4581-43FD-A9BB-FE1D6A2EBD76}" name="Column7171"/>
    <tableColumn id="7177" xr3:uid="{244CB6AB-3C7B-43B9-BE38-83EF8BA58B72}" name="Column7172"/>
    <tableColumn id="7178" xr3:uid="{E69D2F95-AF57-4BAC-8620-58657A0671D8}" name="Column7173"/>
    <tableColumn id="7179" xr3:uid="{3B3F6F69-88A1-4FD6-9D3A-DF2C8BD4CD4C}" name="Column7174"/>
    <tableColumn id="7180" xr3:uid="{A1381B30-D20C-4D00-9985-7B122494CA71}" name="Column7175"/>
    <tableColumn id="7181" xr3:uid="{9E17A4F6-A585-469E-BDC9-164224D368B7}" name="Column7176"/>
    <tableColumn id="7182" xr3:uid="{8917DAA2-0EC7-4B5B-811E-B31FB64D0BDE}" name="Column7177"/>
    <tableColumn id="7183" xr3:uid="{BCDBABAB-401A-4B5E-91F6-A0FF2D8AF114}" name="Column7178"/>
    <tableColumn id="7184" xr3:uid="{63836F16-F67F-4B88-A665-CE907CB18B2B}" name="Column7179"/>
    <tableColumn id="7185" xr3:uid="{E5E0E04A-93EA-4059-98D1-C23EA8FB1521}" name="Column7180"/>
    <tableColumn id="7186" xr3:uid="{F0729143-029A-47E2-8204-4CC14B8782D0}" name="Column7181"/>
    <tableColumn id="7187" xr3:uid="{8022EEC5-0BBA-4935-AE2F-23AFE90A8F23}" name="Column7182"/>
    <tableColumn id="7188" xr3:uid="{04F3CEEB-31A0-462A-A849-6E9D27F73288}" name="Column7183"/>
    <tableColumn id="7189" xr3:uid="{346D4B79-9C09-46CD-AE60-BE671360C92A}" name="Column7184"/>
    <tableColumn id="7190" xr3:uid="{6CE7A5C4-F319-4B6F-BA41-74D04E5EB113}" name="Column7185"/>
    <tableColumn id="7191" xr3:uid="{030C318E-8BF0-4C85-8BBE-8EA9F31460F2}" name="Column7186"/>
    <tableColumn id="7192" xr3:uid="{89A3A3AA-D00C-41EC-87D4-E2E2F20AEB4D}" name="Column7187"/>
    <tableColumn id="7193" xr3:uid="{ED3FD8D0-2FA9-4C43-BFB4-95CFA2CF1E7B}" name="Column7188"/>
    <tableColumn id="7194" xr3:uid="{2ED30E03-0184-4E7F-A535-A3EDC4485380}" name="Column7189"/>
    <tableColumn id="7195" xr3:uid="{2DC3C59E-24FA-4CE2-87BD-D0145938DE3E}" name="Column7190"/>
    <tableColumn id="7196" xr3:uid="{0CE71BEB-17EB-448E-8DC9-8461C72DD41E}" name="Column7191"/>
    <tableColumn id="7197" xr3:uid="{1DC0D8B6-4025-4C31-93B8-6B66037D7AE0}" name="Column7192"/>
    <tableColumn id="7198" xr3:uid="{A930A822-AA3F-4B16-A5D1-498CC7BA2B93}" name="Column7193"/>
    <tableColumn id="7199" xr3:uid="{F7910B36-241E-4D8D-BD3B-1DCF838DAA8E}" name="Column7194"/>
    <tableColumn id="7200" xr3:uid="{A96EC1F6-499C-4328-852A-9BD5AC02CCAE}" name="Column7195"/>
    <tableColumn id="7201" xr3:uid="{7C4F373C-15F8-4B39-87E0-7E0C7779E116}" name="Column7196"/>
    <tableColumn id="7202" xr3:uid="{C194FCB3-FCDC-4289-A553-5A1E495A4991}" name="Column7197"/>
    <tableColumn id="7203" xr3:uid="{CB4CEFBB-73C4-43F0-9FB9-8674F9A0EF3C}" name="Column7198"/>
    <tableColumn id="7204" xr3:uid="{04AD466E-D7D5-424E-A69F-A8B0AD933276}" name="Column7199"/>
    <tableColumn id="7205" xr3:uid="{FF4721CE-6D70-4BB2-B157-4AE07692EF3D}" name="Column7200"/>
    <tableColumn id="7206" xr3:uid="{941A9897-B8CA-42E8-A6D1-C4CC7B832234}" name="Column7201"/>
    <tableColumn id="7207" xr3:uid="{61671DA4-D8FC-44B0-A34C-D7BBBD765618}" name="Column7202"/>
    <tableColumn id="7208" xr3:uid="{851000ED-6F4B-46D4-B59C-EA8FF762FED8}" name="Column7203"/>
    <tableColumn id="7209" xr3:uid="{F076AA4C-97C2-4D4B-B1C4-F0EAA1669FB3}" name="Column7204"/>
    <tableColumn id="7210" xr3:uid="{00F5538F-961B-4268-BF82-748BBB1C967F}" name="Column7205"/>
    <tableColumn id="7211" xr3:uid="{0C7BFD18-067B-4A1E-A142-47218498A170}" name="Column7206"/>
    <tableColumn id="7212" xr3:uid="{2BFFCBD1-A27C-4C89-B916-BAC570376E62}" name="Column7207"/>
    <tableColumn id="7213" xr3:uid="{6DE481A6-5E12-434F-9390-E9BE0B14FCFF}" name="Column7208"/>
    <tableColumn id="7214" xr3:uid="{6628340A-9B65-4685-80C0-336FCD66F29B}" name="Column7209"/>
    <tableColumn id="7215" xr3:uid="{37C54B60-51FB-473E-837E-0E18613D947B}" name="Column7210"/>
    <tableColumn id="7216" xr3:uid="{07B41F3B-EF01-4E42-B001-3E34FC3F9797}" name="Column7211"/>
    <tableColumn id="7217" xr3:uid="{CE97DB24-423D-405D-A3E1-2B75DDC66FF0}" name="Column7212"/>
    <tableColumn id="7218" xr3:uid="{BADDC5B5-ACE8-46D8-9F21-DDDFA2BA5D28}" name="Column7213"/>
    <tableColumn id="7219" xr3:uid="{AA2240D4-D17A-476A-9A97-94A07D584CD9}" name="Column7214"/>
    <tableColumn id="7220" xr3:uid="{47998AE3-F32F-437A-A159-EEA246DFCD6C}" name="Column7215"/>
    <tableColumn id="7221" xr3:uid="{5BC07921-5AA3-4A93-BE87-D7B97EC10F19}" name="Column7216"/>
    <tableColumn id="7222" xr3:uid="{3706432B-0A9A-4731-8E11-D0F1B438286E}" name="Column7217"/>
    <tableColumn id="7223" xr3:uid="{88878A51-3F13-4124-A975-C233E190CA60}" name="Column7218"/>
    <tableColumn id="7224" xr3:uid="{5727A01B-AA8D-4535-B797-7E829DC59739}" name="Column7219"/>
    <tableColumn id="7225" xr3:uid="{5F29272E-A52C-4AA8-87EB-4934C3A1EEEA}" name="Column7220"/>
    <tableColumn id="7226" xr3:uid="{19ED6104-F959-4C9A-8FD9-FEB996D6BBB9}" name="Column7221"/>
    <tableColumn id="7227" xr3:uid="{6E8402F8-0C20-4BC9-BBC0-D478BCA06D2A}" name="Column7222"/>
    <tableColumn id="7228" xr3:uid="{5D8CB48F-DA59-466A-AB8E-925277BBCC31}" name="Column7223"/>
    <tableColumn id="7229" xr3:uid="{4F225371-AABC-4D88-A83D-988EA8D906F7}" name="Column7224"/>
    <tableColumn id="7230" xr3:uid="{5B5B4D26-1C13-464F-8B22-7AA53A7E7CD7}" name="Column7225"/>
    <tableColumn id="7231" xr3:uid="{F5D4507D-EF48-4D9B-A3B7-12CBFF6AA158}" name="Column7226"/>
    <tableColumn id="7232" xr3:uid="{AE3848DA-1087-41BD-937E-ADDB0FADDF3E}" name="Column7227"/>
    <tableColumn id="7233" xr3:uid="{63EA758F-CEB7-4926-B13D-DE59CD79231C}" name="Column7228"/>
    <tableColumn id="7234" xr3:uid="{EAB7F811-6DB2-4F83-AD3E-4C5DE2FEF9A1}" name="Column7229"/>
    <tableColumn id="7235" xr3:uid="{CEB9F00B-6BB9-4236-B60D-4C7E3931BF7C}" name="Column7230"/>
    <tableColumn id="7236" xr3:uid="{7A24627A-7801-473D-9DB7-9824D662B266}" name="Column7231"/>
    <tableColumn id="7237" xr3:uid="{026A4191-5BAD-4139-90B0-54B3A1C0DB33}" name="Column7232"/>
    <tableColumn id="7238" xr3:uid="{D3DD51C1-01C9-41C2-9F67-8B4829F52D12}" name="Column7233"/>
    <tableColumn id="7239" xr3:uid="{0BAEAB8D-2890-4149-B00B-E72FBE0815D6}" name="Column7234"/>
    <tableColumn id="7240" xr3:uid="{B7F51A65-F2D2-489D-9A71-52951A634FCB}" name="Column7235"/>
    <tableColumn id="7241" xr3:uid="{174FD886-D097-4750-BCBC-F6A1F881396B}" name="Column7236"/>
    <tableColumn id="7242" xr3:uid="{470F578D-2B15-4695-8C53-5540F9093C6A}" name="Column7237"/>
    <tableColumn id="7243" xr3:uid="{45D642D7-C3E2-4651-8603-29C328B9850A}" name="Column7238"/>
    <tableColumn id="7244" xr3:uid="{F6201388-8D8B-4F31-A0BE-FBD610D64BCE}" name="Column7239"/>
    <tableColumn id="7245" xr3:uid="{5FE35F41-959A-42E7-8DDB-F81D8359DD3E}" name="Column7240"/>
    <tableColumn id="7246" xr3:uid="{F7FA1D4C-FF8C-41F8-B1C9-C78FDAE6A9EA}" name="Column7241"/>
    <tableColumn id="7247" xr3:uid="{B07CCE5E-79FD-42F2-A8B1-CE4C78AFE490}" name="Column7242"/>
    <tableColumn id="7248" xr3:uid="{29E6F382-2400-4545-9C37-1E4CE0FACEFB}" name="Column7243"/>
    <tableColumn id="7249" xr3:uid="{C5516C17-5FEB-4F5B-B6AB-87421DE3A431}" name="Column7244"/>
    <tableColumn id="7250" xr3:uid="{B20D277E-6B46-45FC-8BBD-3DAE45C17CAC}" name="Column7245"/>
    <tableColumn id="7251" xr3:uid="{2644D0FB-065F-4E24-B845-706A4F567986}" name="Column7246"/>
    <tableColumn id="7252" xr3:uid="{A85834BB-8C68-457F-BDD8-4FDA762CD92D}" name="Column7247"/>
    <tableColumn id="7253" xr3:uid="{500F5254-D810-4C4A-8C9D-B95067F4CCD4}" name="Column7248"/>
    <tableColumn id="7254" xr3:uid="{B43A8D01-283E-437D-B3D7-A4738AC07AE7}" name="Column7249"/>
    <tableColumn id="7255" xr3:uid="{542A85D2-3FEA-4102-BC2B-2CEACD295D5F}" name="Column7250"/>
    <tableColumn id="7256" xr3:uid="{55200714-B79F-4A0B-8BD8-66E4DEB807FE}" name="Column7251"/>
    <tableColumn id="7257" xr3:uid="{B3057B4F-01B9-4E0B-8A4D-4EB0CCBF0CB1}" name="Column7252"/>
    <tableColumn id="7258" xr3:uid="{A34FCA90-441A-42C9-937D-4754BE6B70A5}" name="Column7253"/>
    <tableColumn id="7259" xr3:uid="{DC05D43B-AEC5-47EC-B772-D64D080D5CA8}" name="Column7254"/>
    <tableColumn id="7260" xr3:uid="{959B5B8A-8DE3-4E40-8551-49C59248A35F}" name="Column7255"/>
    <tableColumn id="7261" xr3:uid="{A6A1C223-6346-42B3-8ED1-963D9290D916}" name="Column7256"/>
    <tableColumn id="7262" xr3:uid="{1E249F70-D318-490B-AA5F-48D59E06ED6D}" name="Column7257"/>
    <tableColumn id="7263" xr3:uid="{68247456-FF22-43FE-94C6-FB9F5873A23D}" name="Column7258"/>
    <tableColumn id="7264" xr3:uid="{AC2F5552-C65D-4862-9C4D-836A1F1DE504}" name="Column7259"/>
    <tableColumn id="7265" xr3:uid="{2C428C3A-6659-4471-8AC9-C61F71466570}" name="Column7260"/>
    <tableColumn id="7266" xr3:uid="{F66E1957-5FB4-495A-8B75-30F4B91F9D52}" name="Column7261"/>
    <tableColumn id="7267" xr3:uid="{00295038-5ECC-4006-82B1-7E48B200B391}" name="Column7262"/>
    <tableColumn id="7268" xr3:uid="{FA193CBF-14C7-448C-BFF0-4C67C2EF4D1D}" name="Column7263"/>
    <tableColumn id="7269" xr3:uid="{8E5E1E26-FBE6-42BE-90B1-FC46F5806CDD}" name="Column7264"/>
    <tableColumn id="7270" xr3:uid="{54746827-9E54-48C6-9E5B-97ADC306D911}" name="Column7265"/>
    <tableColumn id="7271" xr3:uid="{8F2E7472-2D8D-4B12-AF57-BBE623F119C7}" name="Column7266"/>
    <tableColumn id="7272" xr3:uid="{FC4D5B9C-DC5E-4C99-AA7D-C1FA20FC447D}" name="Column7267"/>
    <tableColumn id="7273" xr3:uid="{F02FCA59-F088-45AB-85CB-BC12AD074FB1}" name="Column7268"/>
    <tableColumn id="7274" xr3:uid="{C6696CC5-BA85-4783-B5AC-9422A34230CF}" name="Column7269"/>
    <tableColumn id="7275" xr3:uid="{86ED7B3C-75F3-4086-A2EE-30CBEF0264F9}" name="Column7270"/>
    <tableColumn id="7276" xr3:uid="{F9DA4B4B-BE27-4645-86E0-76198B39BBA3}" name="Column7271"/>
    <tableColumn id="7277" xr3:uid="{5E47C3B6-32C8-4370-A930-1F4F6E09B106}" name="Column7272"/>
    <tableColumn id="7278" xr3:uid="{CD160281-E418-4CA5-AD0D-862FF24F8D2D}" name="Column7273"/>
    <tableColumn id="7279" xr3:uid="{DFE74675-8A18-467D-8A8A-C927E163A022}" name="Column7274"/>
    <tableColumn id="7280" xr3:uid="{0F973C67-D27E-4A98-9325-8FCE1BDA04A0}" name="Column7275"/>
    <tableColumn id="7281" xr3:uid="{16AFF5BB-8B8A-479D-B5DD-309617C9BDBB}" name="Column7276"/>
    <tableColumn id="7282" xr3:uid="{810802B7-6F2B-4FB5-A2BE-3F1FFCAA827F}" name="Column7277"/>
    <tableColumn id="7283" xr3:uid="{A5346791-6043-4867-B571-4D7F4601305B}" name="Column7278"/>
    <tableColumn id="7284" xr3:uid="{47AA939B-BC05-4C6F-8A5B-1FE42ECB3AF5}" name="Column7279"/>
    <tableColumn id="7285" xr3:uid="{7050EEAA-6C4C-4087-932A-3F62C3070248}" name="Column7280"/>
    <tableColumn id="7286" xr3:uid="{EE7BDDD8-6E79-4B96-B5BB-2D8644DCB389}" name="Column7281"/>
    <tableColumn id="7287" xr3:uid="{72F1B499-D197-4388-A077-E6D746EEA2AE}" name="Column7282"/>
    <tableColumn id="7288" xr3:uid="{CC29C91C-EE5F-4B56-849D-9A3DC6775E9B}" name="Column7283"/>
    <tableColumn id="7289" xr3:uid="{E357FCEE-546F-4462-A8D0-8E4FC2F0D4C2}" name="Column7284"/>
    <tableColumn id="7290" xr3:uid="{AB1D8BFF-2E7B-40F2-BCFD-124389A3F03B}" name="Column7285"/>
    <tableColumn id="7291" xr3:uid="{DB9B7753-6ADA-4CD7-B352-1EEF6FBF5A70}" name="Column7286"/>
    <tableColumn id="7292" xr3:uid="{474D1683-FB38-4FCD-95C0-18C76FCD8840}" name="Column7287"/>
    <tableColumn id="7293" xr3:uid="{4BD76BE1-9855-433F-910E-C380D48B6EED}" name="Column7288"/>
    <tableColumn id="7294" xr3:uid="{80258FC1-0480-425D-8938-57620232DD10}" name="Column7289"/>
    <tableColumn id="7295" xr3:uid="{1E9DBA30-D393-4259-B1C0-E28D6E3D8196}" name="Column7290"/>
    <tableColumn id="7296" xr3:uid="{0F3EBE48-C021-4151-9B25-EF69901FBB3E}" name="Column7291"/>
    <tableColumn id="7297" xr3:uid="{B6F9F7FC-425A-4D41-BFF3-703927421A36}" name="Column7292"/>
    <tableColumn id="7298" xr3:uid="{2F0DC092-E52D-4B2B-A3DB-1ED0064F4659}" name="Column7293"/>
    <tableColumn id="7299" xr3:uid="{14235800-7B93-48B8-93FF-7696E4A6A1FB}" name="Column7294"/>
    <tableColumn id="7300" xr3:uid="{EFD58624-9516-4CB1-95CE-3B275C12C2EA}" name="Column7295"/>
    <tableColumn id="7301" xr3:uid="{EE0745C3-CF9D-4525-9C36-E8719CE1F012}" name="Column7296"/>
    <tableColumn id="7302" xr3:uid="{963445B7-8A7A-468B-87A2-C266CD8B6E26}" name="Column7297"/>
    <tableColumn id="7303" xr3:uid="{C9F9CBE7-89DD-4A7A-891C-1ED4BAE8633C}" name="Column7298"/>
    <tableColumn id="7304" xr3:uid="{E8B754DB-76DA-4580-BBDC-6D0B3A087CC2}" name="Column7299"/>
    <tableColumn id="7305" xr3:uid="{21B069FE-D886-46A8-96D7-B88AD09916C7}" name="Column7300"/>
    <tableColumn id="7306" xr3:uid="{14E7CC83-ACE3-4D15-9932-19A3A757CECD}" name="Column7301"/>
    <tableColumn id="7307" xr3:uid="{BF853DD6-A189-4040-B0CF-C320ACAC7EF4}" name="Column7302"/>
    <tableColumn id="7308" xr3:uid="{F90C4952-2247-42C5-854F-687182E2FF88}" name="Column7303"/>
    <tableColumn id="7309" xr3:uid="{AB69D82A-D703-4642-8813-3AFF6A356936}" name="Column7304"/>
    <tableColumn id="7310" xr3:uid="{EB8FC2D7-E44B-481F-A9C1-5F3A9859723D}" name="Column7305"/>
    <tableColumn id="7311" xr3:uid="{BCAA32A3-F70D-4CC6-BF8D-285213538647}" name="Column7306"/>
    <tableColumn id="7312" xr3:uid="{981A589B-2697-416F-A683-AFA50FDBAB0C}" name="Column7307"/>
    <tableColumn id="7313" xr3:uid="{770D5AA5-037C-416A-B765-8B2258C039B6}" name="Column7308"/>
    <tableColumn id="7314" xr3:uid="{8F81F596-460D-40C1-B7DA-36CFC7E5290E}" name="Column7309"/>
    <tableColumn id="7315" xr3:uid="{5D57A246-E5C5-4003-A788-11DCEB245B13}" name="Column7310"/>
    <tableColumn id="7316" xr3:uid="{BCB82498-EC67-42A6-925E-F9F1D76B6BB0}" name="Column7311"/>
    <tableColumn id="7317" xr3:uid="{4570DFD5-0041-429D-A258-AE03AB839472}" name="Column7312"/>
    <tableColumn id="7318" xr3:uid="{AC24C091-FCC4-4C8B-81E0-B4CE2020C690}" name="Column7313"/>
    <tableColumn id="7319" xr3:uid="{480EB09A-8D98-4BD7-86E0-3FBD409D0DF7}" name="Column7314"/>
    <tableColumn id="7320" xr3:uid="{9079D552-014C-4F3A-88B4-6502079FC3FE}" name="Column7315"/>
    <tableColumn id="7321" xr3:uid="{7D19A52D-B35B-4776-BA4C-FCCE4C7717A4}" name="Column7316"/>
    <tableColumn id="7322" xr3:uid="{3C2A74D5-DFFA-436B-B797-45C37B17430F}" name="Column7317"/>
    <tableColumn id="7323" xr3:uid="{CA4C5D23-144F-4B59-BEAF-5A42E4E1D064}" name="Column7318"/>
    <tableColumn id="7324" xr3:uid="{BA526BEC-F6B4-4676-B927-C5162525E77D}" name="Column7319"/>
    <tableColumn id="7325" xr3:uid="{F4533D73-7D4F-427E-ADFB-AF05701DB8F8}" name="Column7320"/>
    <tableColumn id="7326" xr3:uid="{0F5FF53C-B1C8-4DEC-9D7C-19864A4DA466}" name="Column7321"/>
    <tableColumn id="7327" xr3:uid="{02EBF99F-4D0B-48D4-BF74-5D44F998D53C}" name="Column7322"/>
    <tableColumn id="7328" xr3:uid="{8DCECCD8-49C6-4808-895E-53DF4215DA63}" name="Column7323"/>
    <tableColumn id="7329" xr3:uid="{598D96EC-E61A-4F16-B47F-8B4CC950D66E}" name="Column7324"/>
    <tableColumn id="7330" xr3:uid="{D207C157-4FBB-42B3-B41D-4EC0FED0A6E1}" name="Column7325"/>
    <tableColumn id="7331" xr3:uid="{0C1F4E46-935D-4BCC-9AEE-4D580F856F4F}" name="Column7326"/>
    <tableColumn id="7332" xr3:uid="{FFA5399B-7D1A-40B8-A4B1-14EC3BBFAAE2}" name="Column7327"/>
    <tableColumn id="7333" xr3:uid="{760BD102-7D50-4B4B-B6AA-E113493371DA}" name="Column7328"/>
    <tableColumn id="7334" xr3:uid="{94FF498D-C8EB-4B1A-B27C-D7E029518F5F}" name="Column7329"/>
    <tableColumn id="7335" xr3:uid="{13318889-3D8A-43C9-8057-CD1F5DF01D41}" name="Column7330"/>
    <tableColumn id="7336" xr3:uid="{EB1DE9D3-4A30-4F43-8C81-E17E9F468318}" name="Column7331"/>
    <tableColumn id="7337" xr3:uid="{7BF4BF16-519C-4B41-B836-5F89CA9FFF9D}" name="Column7332"/>
    <tableColumn id="7338" xr3:uid="{B52B34F4-7128-4AEC-BB32-B26182F2B483}" name="Column7333"/>
    <tableColumn id="7339" xr3:uid="{37CBFB2D-6F65-4661-86D0-A64446906509}" name="Column7334"/>
    <tableColumn id="7340" xr3:uid="{BF1B8973-2946-4C5C-8962-740976E52E84}" name="Column7335"/>
    <tableColumn id="7341" xr3:uid="{E008B3F2-2250-47C2-81ED-A5D4254775D9}" name="Column7336"/>
    <tableColumn id="7342" xr3:uid="{3CA9F908-0CE4-45CB-A750-9B154F7CF06D}" name="Column7337"/>
    <tableColumn id="7343" xr3:uid="{D3265742-9EC4-47FA-810C-5E6D805FDF57}" name="Column7338"/>
    <tableColumn id="7344" xr3:uid="{0E0E6BA2-51A0-48E1-8EEF-F4EAEB5B240F}" name="Column7339"/>
    <tableColumn id="7345" xr3:uid="{A12B8A33-E9C5-48F9-991C-D1B0B95023B7}" name="Column7340"/>
    <tableColumn id="7346" xr3:uid="{6212435F-DC00-4ED1-911D-41D794050F56}" name="Column7341"/>
    <tableColumn id="7347" xr3:uid="{D6D62510-1F57-40CB-BB15-5BC31F47E2FE}" name="Column7342"/>
    <tableColumn id="7348" xr3:uid="{83241B0D-FD7D-4989-914A-1A62A6BA2A6B}" name="Column7343"/>
    <tableColumn id="7349" xr3:uid="{3ED506DD-888E-4BDC-8229-43E7C323A84A}" name="Column7344"/>
    <tableColumn id="7350" xr3:uid="{739458EF-4068-48F7-A154-81F603F95697}" name="Column7345"/>
    <tableColumn id="7351" xr3:uid="{BF0F445D-9223-493D-8961-FDF26B17A97B}" name="Column7346"/>
    <tableColumn id="7352" xr3:uid="{11164763-5DE9-4AA0-8FC9-CF03DBFE9CE6}" name="Column7347"/>
    <tableColumn id="7353" xr3:uid="{B8BF16F4-54B6-40D6-A9DA-C080F9ADBBAF}" name="Column7348"/>
    <tableColumn id="7354" xr3:uid="{610AE913-33E0-4980-A238-36C8F74672C2}" name="Column7349"/>
    <tableColumn id="7355" xr3:uid="{FBEA2B47-7717-45E8-99AF-79F512AE7500}" name="Column7350"/>
    <tableColumn id="7356" xr3:uid="{E9196ED5-DF70-4268-93C0-AAD64DB0126E}" name="Column7351"/>
    <tableColumn id="7357" xr3:uid="{6D78128F-2D23-4D97-A793-6E519527BCC4}" name="Column7352"/>
    <tableColumn id="7358" xr3:uid="{CD123EEE-16D9-4DAD-9140-329A2278A04C}" name="Column7353"/>
    <tableColumn id="7359" xr3:uid="{76D39972-EE44-4E07-B43A-0F6BE912531B}" name="Column7354"/>
    <tableColumn id="7360" xr3:uid="{A176EDCC-1AEA-44E1-AA1D-55AD8E95D9E9}" name="Column7355"/>
    <tableColumn id="7361" xr3:uid="{2CFEC92C-F249-42C3-AD4C-E27E461A6353}" name="Column7356"/>
    <tableColumn id="7362" xr3:uid="{A548E321-7AD1-47D9-8A10-3BEA4923A059}" name="Column7357"/>
    <tableColumn id="7363" xr3:uid="{1D24C13F-8E7A-48CE-A352-6E172CA0A540}" name="Column7358"/>
    <tableColumn id="7364" xr3:uid="{18890B2E-717F-424C-92FE-0F10A6D84810}" name="Column7359"/>
    <tableColumn id="7365" xr3:uid="{2B4E56A3-91B4-485A-A6A1-0C7FF3D22DB3}" name="Column7360"/>
    <tableColumn id="7366" xr3:uid="{753C4469-A220-45ED-991D-EBB665CA81A3}" name="Column7361"/>
    <tableColumn id="7367" xr3:uid="{B98F12D9-66B6-4E0C-8198-76151FDA72D2}" name="Column7362"/>
    <tableColumn id="7368" xr3:uid="{EC626D0A-3131-4D15-9AE1-27F6C0AF66A7}" name="Column7363"/>
    <tableColumn id="7369" xr3:uid="{3A406F17-44C0-45E2-BE9B-E060E90B34E4}" name="Column7364"/>
    <tableColumn id="7370" xr3:uid="{606735F1-B10C-460E-9A31-4FB2C4100809}" name="Column7365"/>
    <tableColumn id="7371" xr3:uid="{69408536-8C1B-49E5-B109-855818734579}" name="Column7366"/>
    <tableColumn id="7372" xr3:uid="{90339BFA-B85D-4907-A28F-83125FA87C34}" name="Column7367"/>
    <tableColumn id="7373" xr3:uid="{3C55291A-E264-42E7-AB22-6F5BB0108912}" name="Column7368"/>
    <tableColumn id="7374" xr3:uid="{47D155B2-A4D3-4811-80ED-36E2F1A79C8E}" name="Column7369"/>
    <tableColumn id="7375" xr3:uid="{6CEF0BBE-7960-4C25-81A5-3069600E2363}" name="Column7370"/>
    <tableColumn id="7376" xr3:uid="{E7E9EAFC-F09F-4D9D-B2D0-D079B2507BC3}" name="Column7371"/>
    <tableColumn id="7377" xr3:uid="{D57B19D0-155B-43EF-99CD-3CC9A2B02BA3}" name="Column7372"/>
    <tableColumn id="7378" xr3:uid="{D0312618-5712-4218-B6F9-61002FA869FB}" name="Column7373"/>
    <tableColumn id="7379" xr3:uid="{2ABC3D81-1124-49CF-9C01-5D0C05BA5620}" name="Column7374"/>
    <tableColumn id="7380" xr3:uid="{B80EA851-3910-4368-97FF-381A2FAABF51}" name="Column7375"/>
    <tableColumn id="7381" xr3:uid="{816F1F9A-4D1A-4DDA-B9F0-7DCF53CF9C0F}" name="Column7376"/>
    <tableColumn id="7382" xr3:uid="{8ABD82B0-D810-4BAD-97DF-16365A179F9B}" name="Column7377"/>
    <tableColumn id="7383" xr3:uid="{1A2E6C99-2CD7-464A-86E0-0212647F182B}" name="Column7378"/>
    <tableColumn id="7384" xr3:uid="{941AD93A-25BF-4AF6-B75D-6EAD297FAFEC}" name="Column7379"/>
    <tableColumn id="7385" xr3:uid="{6AAF4409-62F6-4B14-AC5F-3EC148AF2612}" name="Column7380"/>
    <tableColumn id="7386" xr3:uid="{BD1098A0-504B-4008-A9FF-356A1E20249F}" name="Column7381"/>
    <tableColumn id="7387" xr3:uid="{709BA7E8-6FD5-49DE-B88C-3CF4885ADC37}" name="Column7382"/>
    <tableColumn id="7388" xr3:uid="{D0A15A66-A3C3-4AF2-98B3-87E43A4C100D}" name="Column7383"/>
    <tableColumn id="7389" xr3:uid="{FC635D12-CA6C-43B7-97C6-E4622BD1FFA0}" name="Column7384"/>
    <tableColumn id="7390" xr3:uid="{F7100882-9908-4256-8527-B74AF2E1C037}" name="Column7385"/>
    <tableColumn id="7391" xr3:uid="{271E1F7F-449D-4B37-A153-F500ABAAEF3E}" name="Column7386"/>
    <tableColumn id="7392" xr3:uid="{CFB18414-2225-4FAF-8DFA-BD4A229BB516}" name="Column7387"/>
    <tableColumn id="7393" xr3:uid="{3807796C-7F21-42B4-B929-2526B0E2CCD2}" name="Column7388"/>
    <tableColumn id="7394" xr3:uid="{7DB4A99A-0C85-4DDA-84E2-09975E7222D3}" name="Column7389"/>
    <tableColumn id="7395" xr3:uid="{D7EB5F05-2D6C-4D36-8FBA-54EB42E74FDC}" name="Column7390"/>
    <tableColumn id="7396" xr3:uid="{C7D60995-ED37-4348-8F60-BB788FC2CFE0}" name="Column7391"/>
    <tableColumn id="7397" xr3:uid="{8BE8AE11-9F92-4BCC-B52A-B0CCC685DF88}" name="Column7392"/>
    <tableColumn id="7398" xr3:uid="{46B37670-98CC-44BF-B0ED-4FA41746FD17}" name="Column7393"/>
    <tableColumn id="7399" xr3:uid="{4F112905-191E-4615-9D20-02BF65B6DD09}" name="Column7394"/>
    <tableColumn id="7400" xr3:uid="{97999FA9-2F79-4453-866E-7EE61AD58E93}" name="Column7395"/>
    <tableColumn id="7401" xr3:uid="{9ABC0118-4B30-4A0A-872C-351A1F12A2F5}" name="Column7396"/>
    <tableColumn id="7402" xr3:uid="{93D8E910-FE93-49E1-968C-4B0504B664CF}" name="Column7397"/>
    <tableColumn id="7403" xr3:uid="{BCB26E8C-1237-4515-8383-803ED2F019C8}" name="Column7398"/>
    <tableColumn id="7404" xr3:uid="{F3D586B4-7FC6-4A26-B4F6-F8E4DDCBCA7C}" name="Column7399"/>
    <tableColumn id="7405" xr3:uid="{473217BA-FDFA-46F1-AF15-8F371EF2E083}" name="Column7400"/>
    <tableColumn id="7406" xr3:uid="{11E74947-07ED-40DB-B235-C012454BD712}" name="Column7401"/>
    <tableColumn id="7407" xr3:uid="{1D838A73-321B-4987-9583-47D370C70236}" name="Column7402"/>
    <tableColumn id="7408" xr3:uid="{101C2232-AEEE-47C9-9E96-F1E2A128DDFB}" name="Column7403"/>
    <tableColumn id="7409" xr3:uid="{8C54E2D7-17A0-4350-8C17-6A9266DEF25C}" name="Column7404"/>
    <tableColumn id="7410" xr3:uid="{B6F74142-C670-4DDF-B81C-9FA040B58DC6}" name="Column7405"/>
    <tableColumn id="7411" xr3:uid="{D4B68E13-6AEE-4568-8A22-059E10774CC0}" name="Column7406"/>
    <tableColumn id="7412" xr3:uid="{6F01D044-2E6F-4F20-A757-D68392B80425}" name="Column7407"/>
    <tableColumn id="7413" xr3:uid="{AB411D11-AF52-4068-8A10-EC1BFADBDC57}" name="Column7408"/>
    <tableColumn id="7414" xr3:uid="{F38F0907-A5A1-44EE-ABF7-09848F9FD48C}" name="Column7409"/>
    <tableColumn id="7415" xr3:uid="{44241CE6-FCDD-4565-BE4A-2BA93FEADA6A}" name="Column7410"/>
    <tableColumn id="7416" xr3:uid="{F71F3F04-4122-4726-B6DD-39E8E8483E7B}" name="Column7411"/>
    <tableColumn id="7417" xr3:uid="{4AECA5C2-D77F-418D-9589-76F64338E9F3}" name="Column7412"/>
    <tableColumn id="7418" xr3:uid="{CD589A7E-3172-45DF-8559-CF41D5451F30}" name="Column7413"/>
    <tableColumn id="7419" xr3:uid="{B4ECC1A3-17ED-49C7-901C-A2EADD47971A}" name="Column7414"/>
    <tableColumn id="7420" xr3:uid="{3EE1A1D8-AC74-40EA-9103-BF2A67368EED}" name="Column7415"/>
    <tableColumn id="7421" xr3:uid="{0065146F-53AF-4302-B9EF-8D8CB08B10B2}" name="Column7416"/>
    <tableColumn id="7422" xr3:uid="{649DF45B-C927-4910-949F-284DD148E823}" name="Column7417"/>
    <tableColumn id="7423" xr3:uid="{02BBE33B-C178-4019-8831-6565EFDC0AC3}" name="Column7418"/>
    <tableColumn id="7424" xr3:uid="{E19F55D3-F2D2-4FD6-9D3E-78EEA38E0C3C}" name="Column7419"/>
    <tableColumn id="7425" xr3:uid="{93A370B3-3B9E-40DE-A2A3-1B9EE71BBD81}" name="Column7420"/>
    <tableColumn id="7426" xr3:uid="{F84FE4E0-5595-46B5-A742-F0965642665D}" name="Column7421"/>
    <tableColumn id="7427" xr3:uid="{84644711-EB8F-444F-8662-66481A7CBAAF}" name="Column7422"/>
    <tableColumn id="7428" xr3:uid="{EA4CBA61-B03E-4212-8DBD-CB04FD956FF0}" name="Column7423"/>
    <tableColumn id="7429" xr3:uid="{495DE7E9-E1B5-4E2B-8BBC-CAE16E33C438}" name="Column7424"/>
    <tableColumn id="7430" xr3:uid="{89F16229-3E4D-4FF5-BA7C-AC9BFFA25EAA}" name="Column7425"/>
    <tableColumn id="7431" xr3:uid="{ECED5361-74A5-4DDD-A0B6-9A4874D9B4CA}" name="Column7426"/>
    <tableColumn id="7432" xr3:uid="{4557907A-33E6-4EE1-A25C-ADEDCA7A9139}" name="Column7427"/>
    <tableColumn id="7433" xr3:uid="{FB55B502-D7E4-4FF4-A3DC-97F4842A36AF}" name="Column7428"/>
    <tableColumn id="7434" xr3:uid="{F8256C2A-0F86-4BB4-A115-643947D25A92}" name="Column7429"/>
    <tableColumn id="7435" xr3:uid="{12DA506C-5C9D-410E-8F99-8E00C527C76F}" name="Column7430"/>
    <tableColumn id="7436" xr3:uid="{CC007DD2-4B7E-4B3A-8D1E-E92040D916FE}" name="Column7431"/>
    <tableColumn id="7437" xr3:uid="{0CE63D36-2F11-4EEC-87C7-55C6D96D89F9}" name="Column7432"/>
    <tableColumn id="7438" xr3:uid="{485DFDC8-480D-40CD-B1D1-81106D15D1DB}" name="Column7433"/>
    <tableColumn id="7439" xr3:uid="{8C972EAB-6B01-48DE-B525-343CC6396E02}" name="Column7434"/>
    <tableColumn id="7440" xr3:uid="{6C685876-E61D-4E63-A36E-3DA3B5A47C55}" name="Column7435"/>
    <tableColumn id="7441" xr3:uid="{7C533836-5517-4B7E-AB09-B8C6CDB6F194}" name="Column7436"/>
    <tableColumn id="7442" xr3:uid="{BC10A074-052F-48AA-AC58-2B2926187D38}" name="Column7437"/>
    <tableColumn id="7443" xr3:uid="{009A16AD-5915-4DD0-8BF8-34301965F1C3}" name="Column7438"/>
    <tableColumn id="7444" xr3:uid="{D42F9946-0DD9-48FC-A55B-E00061BC7796}" name="Column7439"/>
    <tableColumn id="7445" xr3:uid="{43E959D4-278E-41A4-8453-D7F272FC65F1}" name="Column7440"/>
    <tableColumn id="7446" xr3:uid="{E7BBCB17-F36E-4115-844C-2FFBBC1471AC}" name="Column7441"/>
    <tableColumn id="7447" xr3:uid="{14189077-E32D-4938-9A24-474C86C53C6E}" name="Column7442"/>
    <tableColumn id="7448" xr3:uid="{279658FD-8053-4CA5-ADFC-FCE87B1C854A}" name="Column7443"/>
    <tableColumn id="7449" xr3:uid="{303DCFF9-4C2D-4783-A5CA-C4A080A39651}" name="Column7444"/>
    <tableColumn id="7450" xr3:uid="{CB674687-6953-457D-B98F-418E943655FB}" name="Column7445"/>
    <tableColumn id="7451" xr3:uid="{9A7F968E-87EA-40F9-B87C-3CAFB92400AC}" name="Column7446"/>
    <tableColumn id="7452" xr3:uid="{201B0975-4E6D-4391-A6E1-1D1F516D3554}" name="Column7447"/>
    <tableColumn id="7453" xr3:uid="{E27E8ABE-FFB0-4098-B40B-FBC836FCDDB2}" name="Column7448"/>
    <tableColumn id="7454" xr3:uid="{6EB02591-9E74-4342-A77D-7ABCCA730125}" name="Column7449"/>
    <tableColumn id="7455" xr3:uid="{79DBB5E0-74C6-4787-9BFD-FBC41E583C61}" name="Column7450"/>
    <tableColumn id="7456" xr3:uid="{9024014D-7E9D-4BDC-BC68-242A24232FA2}" name="Column7451"/>
    <tableColumn id="7457" xr3:uid="{4CE4B5A7-3DEE-4FEC-9E2F-B5512ECDE43F}" name="Column7452"/>
    <tableColumn id="7458" xr3:uid="{E13EEF8D-79AC-40BD-AC12-7FA168D09419}" name="Column7453"/>
    <tableColumn id="7459" xr3:uid="{F7412F15-DB8E-47BA-8D26-E0EC4C9ED024}" name="Column7454"/>
    <tableColumn id="7460" xr3:uid="{856DBB63-20FE-4AF4-B0A6-782E9EA8E30B}" name="Column7455"/>
    <tableColumn id="7461" xr3:uid="{EDB4BDF6-938D-4B76-8777-EDF3D5B7811B}" name="Column7456"/>
    <tableColumn id="7462" xr3:uid="{2999A48E-BED6-46AB-BCCA-48BC5F0A00FB}" name="Column7457"/>
    <tableColumn id="7463" xr3:uid="{BD7BF5A0-DB2C-4C22-A40D-9E5FCF362354}" name="Column7458"/>
    <tableColumn id="7464" xr3:uid="{A101498A-E27E-4349-B485-AE8BBE304A8F}" name="Column7459"/>
    <tableColumn id="7465" xr3:uid="{B062DCE7-D5DE-4A61-BF5C-45984A7EE949}" name="Column7460"/>
    <tableColumn id="7466" xr3:uid="{1CB6EB83-2692-46ED-BAEE-E98E7D5BC78C}" name="Column7461"/>
    <tableColumn id="7467" xr3:uid="{98D5F3B0-1541-4E15-91AC-BEBE455746D7}" name="Column7462"/>
    <tableColumn id="7468" xr3:uid="{13F9D296-DCAE-4564-84B0-A905DD88107D}" name="Column7463"/>
    <tableColumn id="7469" xr3:uid="{E1B13CAE-9B20-49C8-B19B-22FC75057553}" name="Column7464"/>
    <tableColumn id="7470" xr3:uid="{8F87C9BD-FB89-4818-8C8E-4B9050E0A9BE}" name="Column7465"/>
    <tableColumn id="7471" xr3:uid="{7A9E550A-A66E-4054-AC9F-5A6B2C968E59}" name="Column7466"/>
    <tableColumn id="7472" xr3:uid="{7980F31B-A978-4723-A9C3-7A5C34526BB1}" name="Column7467"/>
    <tableColumn id="7473" xr3:uid="{7E84549D-CBA0-49C6-A82A-95E9B2C0236B}" name="Column7468"/>
    <tableColumn id="7474" xr3:uid="{67613B98-01A7-4FC7-AB51-18A4244D11F1}" name="Column7469"/>
    <tableColumn id="7475" xr3:uid="{1D76E1D7-A842-4857-97D5-B5BD0A1131FA}" name="Column7470"/>
    <tableColumn id="7476" xr3:uid="{2D8A93CA-15C0-46CA-8C82-DD353D2D3C15}" name="Column7471"/>
    <tableColumn id="7477" xr3:uid="{7DCC11A6-32D1-43F3-AFB7-835CB3492CAA}" name="Column7472"/>
    <tableColumn id="7478" xr3:uid="{D4F2DFEC-9E39-4C8A-95F2-79D297A8494A}" name="Column7473"/>
    <tableColumn id="7479" xr3:uid="{B26ED59F-5A17-412C-8784-B782EDC5E902}" name="Column7474"/>
    <tableColumn id="7480" xr3:uid="{1FE6BD06-88FB-4563-8F46-A8E7BEC32E2B}" name="Column7475"/>
    <tableColumn id="7481" xr3:uid="{8F071C7A-2B8B-4121-80F5-7DFE77E35C96}" name="Column7476"/>
    <tableColumn id="7482" xr3:uid="{42A6DE0D-363C-4116-B49A-C8AADCE694CF}" name="Column7477"/>
    <tableColumn id="7483" xr3:uid="{DCFEEF81-53A2-46CB-96AA-710882F0CEBB}" name="Column7478"/>
    <tableColumn id="7484" xr3:uid="{2F508DC8-C8E3-4CA4-B8D1-BBFA80BB409F}" name="Column7479"/>
    <tableColumn id="7485" xr3:uid="{6CF31844-93D8-43B3-A903-5418C5CBBF31}" name="Column7480"/>
    <tableColumn id="7486" xr3:uid="{BBD3FCEB-D9AD-4112-99BE-7B7E2B896B60}" name="Column7481"/>
    <tableColumn id="7487" xr3:uid="{0CF398AF-EB66-439A-ADAF-68E3D9261B8F}" name="Column7482"/>
    <tableColumn id="7488" xr3:uid="{AC2D1B9C-578D-4DE8-886B-AEA2B569F400}" name="Column7483"/>
    <tableColumn id="7489" xr3:uid="{C2AC3848-0DF7-4A67-9B2C-D9ACE4F2B905}" name="Column7484"/>
    <tableColumn id="7490" xr3:uid="{F4AB7FDB-1629-437E-A6E3-B47C1DBF54BA}" name="Column7485"/>
    <tableColumn id="7491" xr3:uid="{C27D52CA-0056-47E5-B37A-9A668C680B82}" name="Column7486"/>
    <tableColumn id="7492" xr3:uid="{EBFEBA0C-4D5F-4751-ABA0-C923D47358A6}" name="Column7487"/>
    <tableColumn id="7493" xr3:uid="{EDF4539C-4E07-4BCB-9B11-BDECABF1383F}" name="Column7488"/>
    <tableColumn id="7494" xr3:uid="{1FDD428D-89ED-4F02-B271-2FCA10056E50}" name="Column7489"/>
    <tableColumn id="7495" xr3:uid="{F697DBBB-A8D4-4816-8E1F-4390D0BA942F}" name="Column7490"/>
    <tableColumn id="7496" xr3:uid="{F8BACB14-3793-4EA2-998B-0A053ECE90DA}" name="Column7491"/>
    <tableColumn id="7497" xr3:uid="{E74F0CE4-DD01-4643-BAFD-2B78BF914265}" name="Column7492"/>
    <tableColumn id="7498" xr3:uid="{068709C0-C2DC-4A37-9EBB-A1964E59D4D4}" name="Column7493"/>
    <tableColumn id="7499" xr3:uid="{92DBA93B-42A6-453F-A435-305A267E15FF}" name="Column7494"/>
    <tableColumn id="7500" xr3:uid="{75D56561-BC75-4E83-ABAC-57AD316FDF7D}" name="Column7495"/>
    <tableColumn id="7501" xr3:uid="{C1C66A43-C0FC-44F0-AFFF-479C91D96039}" name="Column7496"/>
    <tableColumn id="7502" xr3:uid="{358B1C5E-8E76-4068-B5A2-1F7478004D49}" name="Column7497"/>
    <tableColumn id="7503" xr3:uid="{AFF890B9-2315-49DE-A18D-053D69BA5662}" name="Column7498"/>
    <tableColumn id="7504" xr3:uid="{E43B19B2-3F70-4BF4-BD86-C172517FFE43}" name="Column7499"/>
    <tableColumn id="7505" xr3:uid="{B43451B6-D374-4EA7-B7AE-A4F5DFFC7629}" name="Column7500"/>
    <tableColumn id="7506" xr3:uid="{968F951A-0FE4-4835-91C8-063F04E32532}" name="Column7501"/>
    <tableColumn id="7507" xr3:uid="{A42325DC-DEF2-4E47-9C24-213AA64A73D1}" name="Column7502"/>
    <tableColumn id="7508" xr3:uid="{1F9F191A-351E-4921-96E1-A640ED4BFC33}" name="Column7503"/>
    <tableColumn id="7509" xr3:uid="{C105FC6D-C316-47A3-9852-67DF4F7B39F8}" name="Column7504"/>
    <tableColumn id="7510" xr3:uid="{B3B0E34F-87C6-47C2-A691-DF6CAB20F3F3}" name="Column7505"/>
    <tableColumn id="7511" xr3:uid="{19A49826-BBC2-47C4-8D91-09290E4DF7B0}" name="Column7506"/>
    <tableColumn id="7512" xr3:uid="{5FD91A7F-B502-4AC4-AF7E-DA87560763AD}" name="Column7507"/>
    <tableColumn id="7513" xr3:uid="{2C6CE8D2-3D41-41F0-A0A7-B87720837666}" name="Column7508"/>
    <tableColumn id="7514" xr3:uid="{8607E95A-8C59-488D-933F-1F1C8A9BD135}" name="Column7509"/>
    <tableColumn id="7515" xr3:uid="{3C9FD0EF-F01F-4288-97A4-8316A7977481}" name="Column7510"/>
    <tableColumn id="7516" xr3:uid="{E73082F4-D7C6-41F2-87B2-B5A8D9DC33D7}" name="Column7511"/>
    <tableColumn id="7517" xr3:uid="{00263A8A-9FF3-47A8-A1C3-3A480019E80A}" name="Column7512"/>
    <tableColumn id="7518" xr3:uid="{A5161317-3523-40B0-A139-B7C980FD4200}" name="Column7513"/>
    <tableColumn id="7519" xr3:uid="{8F9739CE-2C78-41E8-A891-65B10AE7D1B1}" name="Column7514"/>
    <tableColumn id="7520" xr3:uid="{CADD6368-8EF0-4D66-9F06-5E392A618AD5}" name="Column7515"/>
    <tableColumn id="7521" xr3:uid="{3C655CBD-A38E-440F-AD73-64ADC3CDCB4D}" name="Column7516"/>
    <tableColumn id="7522" xr3:uid="{F3DA7E95-1134-40C5-A768-81B0BF0074DE}" name="Column7517"/>
    <tableColumn id="7523" xr3:uid="{C1D3EBFF-811B-436F-A2CB-98ECF839E01C}" name="Column7518"/>
    <tableColumn id="7524" xr3:uid="{0DC13065-E209-426D-BA43-FDC41E9E6F1B}" name="Column7519"/>
    <tableColumn id="7525" xr3:uid="{C99242AA-CB94-42D2-8663-7191E138A283}" name="Column7520"/>
    <tableColumn id="7526" xr3:uid="{585CB723-ED66-4D64-B2F9-CA11B013BE23}" name="Column7521"/>
    <tableColumn id="7527" xr3:uid="{A10B0F91-98C5-4A8E-B038-1DD49E93B375}" name="Column7522"/>
    <tableColumn id="7528" xr3:uid="{54FA90EB-F27B-4034-9717-36ED4DDBF3B1}" name="Column7523"/>
    <tableColumn id="7529" xr3:uid="{3C70D45A-1C0F-47AF-8EF1-2534BD30E187}" name="Column7524"/>
    <tableColumn id="7530" xr3:uid="{A42BF185-57CB-40B6-B32C-0F79932FACE4}" name="Column7525"/>
    <tableColumn id="7531" xr3:uid="{726826C8-FC6A-4464-A2FC-27FFF42554CA}" name="Column7526"/>
    <tableColumn id="7532" xr3:uid="{B8E4C5B9-78F5-402A-BE3A-80A27E2A462A}" name="Column7527"/>
    <tableColumn id="7533" xr3:uid="{E5C8EB1A-BAB1-46AD-8929-AE0557E9D2F4}" name="Column7528"/>
    <tableColumn id="7534" xr3:uid="{D7EE0178-AD4B-4915-BCFF-D8F490D9CAA0}" name="Column7529"/>
    <tableColumn id="7535" xr3:uid="{7AC13E22-61B6-460F-BE5A-5755C9438C89}" name="Column7530"/>
    <tableColumn id="7536" xr3:uid="{D2FE2047-5074-428D-A002-009A98A54B0F}" name="Column7531"/>
    <tableColumn id="7537" xr3:uid="{C914D33A-5591-4F8B-81BB-6A975EE731A2}" name="Column7532"/>
    <tableColumn id="7538" xr3:uid="{A5009AD1-E5F3-43D5-AF82-E4E48DB6EA08}" name="Column7533"/>
    <tableColumn id="7539" xr3:uid="{9CD409C3-4931-4D5F-BADF-FA2F0655EF5E}" name="Column7534"/>
    <tableColumn id="7540" xr3:uid="{454D7DA0-323E-45FF-991E-64AB9547E5DB}" name="Column7535"/>
    <tableColumn id="7541" xr3:uid="{B0FB357C-CC22-43BA-B728-1BB1AF2F78BC}" name="Column7536"/>
    <tableColumn id="7542" xr3:uid="{BEF5BA8D-4A42-437D-865C-35A99E810260}" name="Column7537"/>
    <tableColumn id="7543" xr3:uid="{9FE0F188-B7DA-4F3B-BA09-B1E348A5FA17}" name="Column7538"/>
    <tableColumn id="7544" xr3:uid="{D6296D59-1EF9-46D5-8035-96FDEEE6F641}" name="Column7539"/>
    <tableColumn id="7545" xr3:uid="{FC0CDF83-BE1B-49BC-B88E-C04CEF14151D}" name="Column7540"/>
    <tableColumn id="7546" xr3:uid="{AC063FE9-6223-46C7-B9C9-281944B17DC1}" name="Column7541"/>
    <tableColumn id="7547" xr3:uid="{4F599A5E-62C4-480E-AADA-39987E08EF70}" name="Column7542"/>
    <tableColumn id="7548" xr3:uid="{C5CAA41F-22E9-4C19-A48A-997DFD4431A4}" name="Column7543"/>
    <tableColumn id="7549" xr3:uid="{5331DE47-563D-4D6E-8A16-6AA3C98964C3}" name="Column7544"/>
    <tableColumn id="7550" xr3:uid="{05D5AD8B-9E89-47B2-A52A-AE5CEA23AD84}" name="Column7545"/>
    <tableColumn id="7551" xr3:uid="{4E983F75-A189-43BE-85EC-74EA837D5E5E}" name="Column7546"/>
    <tableColumn id="7552" xr3:uid="{BF1F3ED8-797F-48FE-B63C-C2AB9F18A233}" name="Column7547"/>
    <tableColumn id="7553" xr3:uid="{EAC900C9-AC04-47E6-A313-274C79DD9F4D}" name="Column7548"/>
    <tableColumn id="7554" xr3:uid="{B0B1D32E-BE1E-4F16-ABEF-BDFC77751CC6}" name="Column7549"/>
    <tableColumn id="7555" xr3:uid="{98D73D15-5F76-4727-8978-A2E201B33D79}" name="Column7550"/>
    <tableColumn id="7556" xr3:uid="{CFDF6103-D60F-4E6B-9B6E-EFFE4E8DD65F}" name="Column7551"/>
    <tableColumn id="7557" xr3:uid="{A37FB406-E78D-482F-8478-A9EB54BD0CFA}" name="Column7552"/>
    <tableColumn id="7558" xr3:uid="{C9C7A0DF-FD94-4FD4-8063-303337402BBA}" name="Column7553"/>
    <tableColumn id="7559" xr3:uid="{2C229CBC-046B-4008-89B2-11D66A432378}" name="Column7554"/>
    <tableColumn id="7560" xr3:uid="{1CE3C098-D4A2-4BB4-91A7-DB8485314C50}" name="Column7555"/>
    <tableColumn id="7561" xr3:uid="{55EC8F7C-9060-45D1-9D19-36029315B61A}" name="Column7556"/>
    <tableColumn id="7562" xr3:uid="{D24B3443-B80D-4542-AED7-E65EB3D25B68}" name="Column7557"/>
    <tableColumn id="7563" xr3:uid="{8CBF3989-B007-4DD0-93C1-8B46A45883BE}" name="Column7558"/>
    <tableColumn id="7564" xr3:uid="{CB0C3121-4069-4F81-BB18-B158F0938C46}" name="Column7559"/>
    <tableColumn id="7565" xr3:uid="{8E895EF0-E28C-4B45-8A8A-AA6B0ECE03FB}" name="Column7560"/>
    <tableColumn id="7566" xr3:uid="{A1A5D74B-4E38-4DC1-BE1C-98A1DA7BE541}" name="Column7561"/>
    <tableColumn id="7567" xr3:uid="{4E5A4B57-48E9-4A4A-8529-840ABAA5B000}" name="Column7562"/>
    <tableColumn id="7568" xr3:uid="{BA9CD1BE-7A6E-4E52-AD6B-AC018E502D5B}" name="Column7563"/>
    <tableColumn id="7569" xr3:uid="{1A4C003F-5C2B-491D-AE67-BD1FC59C00F0}" name="Column7564"/>
    <tableColumn id="7570" xr3:uid="{6282CB32-D165-42CA-B563-52546A85283D}" name="Column7565"/>
    <tableColumn id="7571" xr3:uid="{F302C9DA-D260-492A-A752-4A1F51CB16C4}" name="Column7566"/>
    <tableColumn id="7572" xr3:uid="{7A4F3AE5-1F14-4D2C-9451-63DC2174F0ED}" name="Column7567"/>
    <tableColumn id="7573" xr3:uid="{56059F77-2EF2-43F1-9643-174A388CC1D7}" name="Column7568"/>
    <tableColumn id="7574" xr3:uid="{0F7F7915-655D-4D7A-863A-324001C4BB08}" name="Column7569"/>
    <tableColumn id="7575" xr3:uid="{10007B0F-8A1B-430D-BB56-929AEE775730}" name="Column7570"/>
    <tableColumn id="7576" xr3:uid="{F4490385-9CCE-492E-92E4-C07C82FA4850}" name="Column7571"/>
    <tableColumn id="7577" xr3:uid="{B5A02ECE-0A32-459E-9818-4BC4C03FE069}" name="Column7572"/>
    <tableColumn id="7578" xr3:uid="{F28C9B82-6285-4B57-A2CE-FEF3B577C14A}" name="Column7573"/>
    <tableColumn id="7579" xr3:uid="{27F4EA30-1D50-49B4-B9F4-8BB201CFF716}" name="Column7574"/>
    <tableColumn id="7580" xr3:uid="{F6728DA4-B4C3-4FD5-9EF7-2CE13611A779}" name="Column7575"/>
    <tableColumn id="7581" xr3:uid="{E32DD74D-8FD1-4647-9FE9-2016973CFC7C}" name="Column7576"/>
    <tableColumn id="7582" xr3:uid="{16A0472D-0C11-4DA2-9D66-7D22AE880B56}" name="Column7577"/>
    <tableColumn id="7583" xr3:uid="{AF64C1D7-113E-47C8-805E-90809CC31939}" name="Column7578"/>
    <tableColumn id="7584" xr3:uid="{7B638B51-B8E8-4CDD-B76E-1E035E82C94D}" name="Column7579"/>
    <tableColumn id="7585" xr3:uid="{8FFAB77D-EB12-4C67-9F28-3FC134243615}" name="Column7580"/>
    <tableColumn id="7586" xr3:uid="{A64E8A56-97A7-41CF-A9CA-688680161342}" name="Column7581"/>
    <tableColumn id="7587" xr3:uid="{20F33676-F629-47D8-9061-1122494835EB}" name="Column7582"/>
    <tableColumn id="7588" xr3:uid="{E3F1F1BC-CE4D-4FBE-B288-14265B36BB4A}" name="Column7583"/>
    <tableColumn id="7589" xr3:uid="{64E4C354-5CB9-49F7-9963-18477A2A4E85}" name="Column7584"/>
    <tableColumn id="7590" xr3:uid="{29EAC9B2-E624-4FF9-B654-F6CC2BE2C499}" name="Column7585"/>
    <tableColumn id="7591" xr3:uid="{B7F282CF-4D59-40A4-8F70-822DC39E6319}" name="Column7586"/>
    <tableColumn id="7592" xr3:uid="{123AD78D-BCB8-47F1-B642-2FF7CAA11807}" name="Column7587"/>
    <tableColumn id="7593" xr3:uid="{680C716E-FED7-4649-884B-FA7096CAE8D2}" name="Column7588"/>
    <tableColumn id="7594" xr3:uid="{8DD28946-5F1F-4440-BC3D-C83602F0DC84}" name="Column7589"/>
    <tableColumn id="7595" xr3:uid="{51D9D655-7734-47D2-8E49-D162ED6EF18D}" name="Column7590"/>
    <tableColumn id="7596" xr3:uid="{3F4C540C-4525-4508-BD1F-1F7F97B6DFA6}" name="Column7591"/>
    <tableColumn id="7597" xr3:uid="{8B818B10-3E7F-4C81-8D24-CACFE125FBF0}" name="Column7592"/>
    <tableColumn id="7598" xr3:uid="{191D4242-B4D1-4465-BFD8-10F77CC11C1B}" name="Column7593"/>
    <tableColumn id="7599" xr3:uid="{7B6A294C-AC27-45AA-B324-625B239069E2}" name="Column7594"/>
    <tableColumn id="7600" xr3:uid="{EDA112A7-1E2D-4D70-B96E-76142897E10C}" name="Column7595"/>
    <tableColumn id="7601" xr3:uid="{B99F106E-21C6-4243-A8EE-B967A48D08F3}" name="Column7596"/>
    <tableColumn id="7602" xr3:uid="{D45AB106-EE3D-423E-A98B-467EEB51D7CE}" name="Column7597"/>
    <tableColumn id="7603" xr3:uid="{DD3DC846-4975-4A41-A985-4BEB27B602FF}" name="Column7598"/>
    <tableColumn id="7604" xr3:uid="{E0856E3C-1206-4EFD-AD88-7A6227152079}" name="Column7599"/>
    <tableColumn id="7605" xr3:uid="{802F3601-680C-4194-AC06-F632FD16E961}" name="Column7600"/>
    <tableColumn id="7606" xr3:uid="{1ABAA8DD-2FD5-470E-93B8-023DEAFC9CCA}" name="Column7601"/>
    <tableColumn id="7607" xr3:uid="{33E28923-6EA9-42EB-A8B0-45BA6362D9B2}" name="Column7602"/>
    <tableColumn id="7608" xr3:uid="{C1B2BB48-D6F9-46B8-B439-5D807CAC47E5}" name="Column7603"/>
    <tableColumn id="7609" xr3:uid="{D84FDE21-419A-4ECC-BF20-9A017DC3E40B}" name="Column7604"/>
    <tableColumn id="7610" xr3:uid="{745BFD62-8C7F-412E-B9E0-EDDA4CB2EC48}" name="Column7605"/>
    <tableColumn id="7611" xr3:uid="{DD3FE5E3-9E7A-4C73-9782-F1935BF4CA3D}" name="Column7606"/>
    <tableColumn id="7612" xr3:uid="{1A21BEA3-4643-4275-B474-71137D161ABA}" name="Column7607"/>
    <tableColumn id="7613" xr3:uid="{64F7E890-BAC3-45DF-A96C-20CB918561FA}" name="Column7608"/>
    <tableColumn id="7614" xr3:uid="{E8110400-5EB3-4947-AFC0-1CCF027B1CA9}" name="Column7609"/>
    <tableColumn id="7615" xr3:uid="{2C5EA18E-C716-429D-9468-54F818621715}" name="Column7610"/>
    <tableColumn id="7616" xr3:uid="{954B1690-BB12-470B-899D-A9780128A4BC}" name="Column7611"/>
    <tableColumn id="7617" xr3:uid="{5C7E5266-D0B5-411D-93A6-2E599477F510}" name="Column7612"/>
    <tableColumn id="7618" xr3:uid="{966DAF54-26A3-4914-A757-F7914FF2A006}" name="Column7613"/>
    <tableColumn id="7619" xr3:uid="{A5409966-71A9-42B2-A92F-2A52C327BC8A}" name="Column7614"/>
    <tableColumn id="7620" xr3:uid="{258AB396-806D-4D58-A971-471D31E1AC8C}" name="Column7615"/>
    <tableColumn id="7621" xr3:uid="{7710C798-DEDD-4186-B41C-7307332CFABE}" name="Column7616"/>
    <tableColumn id="7622" xr3:uid="{698B7E9A-2334-46E6-82C2-9DE6584ACD85}" name="Column7617"/>
    <tableColumn id="7623" xr3:uid="{18B56943-1EFF-4D17-8018-71A93C7D62B2}" name="Column7618"/>
    <tableColumn id="7624" xr3:uid="{E8BD4548-8EAF-4684-9AFF-5786D14BD170}" name="Column7619"/>
    <tableColumn id="7625" xr3:uid="{A1345B38-005D-4FE9-A00B-3A607D1589BC}" name="Column7620"/>
    <tableColumn id="7626" xr3:uid="{D70197D2-A409-4721-B4B8-EDFC4588DC7D}" name="Column7621"/>
    <tableColumn id="7627" xr3:uid="{545ACA04-D9AC-4F73-946C-060741E83FD7}" name="Column7622"/>
    <tableColumn id="7628" xr3:uid="{EE1B91CB-BDB5-41C1-9533-DACF8B17CCD3}" name="Column7623"/>
    <tableColumn id="7629" xr3:uid="{31981532-E544-44CC-9F21-7ED9C34070A1}" name="Column7624"/>
    <tableColumn id="7630" xr3:uid="{C611ACAB-92AD-4693-991C-C0F0ED177008}" name="Column7625"/>
    <tableColumn id="7631" xr3:uid="{27F411AF-CE0A-4861-9E7B-2FC1FCF9B518}" name="Column7626"/>
    <tableColumn id="7632" xr3:uid="{AA40E7E0-7BE3-404E-817B-C48EDEE22148}" name="Column7627"/>
    <tableColumn id="7633" xr3:uid="{ECB643FE-F238-498A-A045-0AFD90198C70}" name="Column7628"/>
    <tableColumn id="7634" xr3:uid="{52C934BC-E7E3-48C0-8AF8-CCE4433411B0}" name="Column7629"/>
    <tableColumn id="7635" xr3:uid="{A9F28C6D-2309-4D55-BF0D-69A9B773E35D}" name="Column7630"/>
    <tableColumn id="7636" xr3:uid="{5BA3B932-990C-4AB2-AE44-FA391B07447F}" name="Column7631"/>
    <tableColumn id="7637" xr3:uid="{6A650F8C-3F8E-4FB2-915A-7960BBC3B345}" name="Column7632"/>
    <tableColumn id="7638" xr3:uid="{305B4D67-99C1-47AC-BBE2-E731F1D32CF4}" name="Column7633"/>
    <tableColumn id="7639" xr3:uid="{5AEA7922-B7C2-40B9-B70D-72D76931AE4D}" name="Column7634"/>
    <tableColumn id="7640" xr3:uid="{5574983C-DA6C-4092-AA32-8FEE6E221426}" name="Column7635"/>
    <tableColumn id="7641" xr3:uid="{12DF6C75-3F73-4383-BCEE-4AE9B33487D7}" name="Column7636"/>
    <tableColumn id="7642" xr3:uid="{84C59BA3-9046-47C8-8E80-C970980B69B0}" name="Column7637"/>
    <tableColumn id="7643" xr3:uid="{311976CB-3488-40F7-A40B-5A8B37EDF6E4}" name="Column7638"/>
    <tableColumn id="7644" xr3:uid="{A43DEF42-0F2B-4FF2-920B-1C8338532EE8}" name="Column7639"/>
    <tableColumn id="7645" xr3:uid="{440366BD-59B3-4AE3-A652-3540F9630814}" name="Column7640"/>
    <tableColumn id="7646" xr3:uid="{60A563C5-B6CE-4E41-B7B3-1814D089170E}" name="Column7641"/>
    <tableColumn id="7647" xr3:uid="{EC1F9AC4-A540-4926-86D5-477314F237AE}" name="Column7642"/>
    <tableColumn id="7648" xr3:uid="{7C0D053E-D95F-4798-8A93-30923A9B9D3F}" name="Column7643"/>
    <tableColumn id="7649" xr3:uid="{D0FCBC69-D438-44B2-A700-5552DA9712EE}" name="Column7644"/>
    <tableColumn id="7650" xr3:uid="{B153B0D0-82D2-4694-8154-4B1C01713124}" name="Column7645"/>
    <tableColumn id="7651" xr3:uid="{6D84A74F-BE38-44FD-A34E-F52DF5E97787}" name="Column7646"/>
    <tableColumn id="7652" xr3:uid="{D2F9EAC1-0AAB-431B-B7B9-095A21B38FCF}" name="Column7647"/>
    <tableColumn id="7653" xr3:uid="{9FF2A73D-E5C2-4B93-84CE-3A6273CF82C0}" name="Column7648"/>
    <tableColumn id="7654" xr3:uid="{5EE63D92-6B31-415B-982A-641920C19EF3}" name="Column7649"/>
    <tableColumn id="7655" xr3:uid="{77F222DC-CC20-4D30-8619-3FA363ECA7D4}" name="Column7650"/>
    <tableColumn id="7656" xr3:uid="{8B226C25-CA51-49A8-AF52-658D11EAF017}" name="Column7651"/>
    <tableColumn id="7657" xr3:uid="{5E52F8C1-7EEE-4C70-9273-4FF2E10085A4}" name="Column7652"/>
    <tableColumn id="7658" xr3:uid="{2FFA9005-677A-408B-819E-526AAB115364}" name="Column7653"/>
    <tableColumn id="7659" xr3:uid="{2B583BF0-D0BA-4ADC-81AB-1113BC582DB7}" name="Column7654"/>
    <tableColumn id="7660" xr3:uid="{1772F546-B3B7-41D3-B619-6B38A58D5574}" name="Column7655"/>
    <tableColumn id="7661" xr3:uid="{8ECE92B4-D5A4-49B5-B4EA-54D95DE84423}" name="Column7656"/>
    <tableColumn id="7662" xr3:uid="{85D3B607-F70A-412C-8A0E-7FA56F7A3C8F}" name="Column7657"/>
    <tableColumn id="7663" xr3:uid="{CDCABD28-1252-4B20-A67F-8FA3CD0F814D}" name="Column7658"/>
    <tableColumn id="7664" xr3:uid="{F7F2AA42-5115-4B56-A8C1-68CF3EF7307C}" name="Column7659"/>
    <tableColumn id="7665" xr3:uid="{34DB6993-1604-40BA-9EAC-0635A18B9E85}" name="Column7660"/>
    <tableColumn id="7666" xr3:uid="{B3B8F06C-A4D8-4035-897B-C55F9D92335B}" name="Column7661"/>
    <tableColumn id="7667" xr3:uid="{4B1EB6C7-8853-4547-B36C-A2832B381592}" name="Column7662"/>
    <tableColumn id="7668" xr3:uid="{67513435-296C-4FC4-9F38-000DBC4BFE31}" name="Column7663"/>
    <tableColumn id="7669" xr3:uid="{61B322F6-2597-4E9A-AFA8-B557884EE09F}" name="Column7664"/>
    <tableColumn id="7670" xr3:uid="{E4300865-420B-4E99-931B-08ADC86D718E}" name="Column7665"/>
    <tableColumn id="7671" xr3:uid="{8BAE3025-A2C6-4D2E-AD52-75A7E11C8399}" name="Column7666"/>
    <tableColumn id="7672" xr3:uid="{B1B044F5-5BE3-462D-8A71-F451399F86AF}" name="Column7667"/>
    <tableColumn id="7673" xr3:uid="{A54D5EF9-A35A-4335-9E69-F63012F61985}" name="Column7668"/>
    <tableColumn id="7674" xr3:uid="{9276482A-954A-48E4-B89F-51D8C7FDDCFB}" name="Column7669"/>
    <tableColumn id="7675" xr3:uid="{B61AB5C9-B1F8-4C62-865A-9F09A8864730}" name="Column7670"/>
    <tableColumn id="7676" xr3:uid="{B2ACCA51-09FD-4A55-A3B7-99F67A672296}" name="Column7671"/>
    <tableColumn id="7677" xr3:uid="{1EE90687-9F4F-460D-B077-1E594F813F81}" name="Column7672"/>
    <tableColumn id="7678" xr3:uid="{A6427C12-6498-486A-81B5-9F9383DE1429}" name="Column7673"/>
    <tableColumn id="7679" xr3:uid="{A1B6552C-47DC-4106-9F31-AC1926C8E2E4}" name="Column7674"/>
    <tableColumn id="7680" xr3:uid="{C8B5A3B8-30EC-4C06-8CE5-846E714796A5}" name="Column7675"/>
    <tableColumn id="7681" xr3:uid="{20B51D5B-D705-4B60-917A-A791B3D25598}" name="Column7676"/>
    <tableColumn id="7682" xr3:uid="{3F422A22-5EB2-4229-BA78-23EDD7842EF1}" name="Column7677"/>
    <tableColumn id="7683" xr3:uid="{F561E1C8-ECFD-4D0F-B20C-127C7D8EE0D7}" name="Column7678"/>
    <tableColumn id="7684" xr3:uid="{300D3209-609E-4091-BEED-1DFC80136DA9}" name="Column7679"/>
    <tableColumn id="7685" xr3:uid="{287FAFD3-890C-4B7B-AED6-04D24B3D7152}" name="Column7680"/>
    <tableColumn id="7686" xr3:uid="{ABB7606A-A6CB-4940-9A07-08EB59A20746}" name="Column7681"/>
    <tableColumn id="7687" xr3:uid="{093E98EF-3A6D-4E72-AD63-2B16ABCF2505}" name="Column7682"/>
    <tableColumn id="7688" xr3:uid="{BA65D26D-50A8-411E-9647-92C62BC710A6}" name="Column7683"/>
    <tableColumn id="7689" xr3:uid="{A7575B82-A4D4-4446-B19F-086AB629F72A}" name="Column7684"/>
    <tableColumn id="7690" xr3:uid="{3953A080-A1BA-4772-92EC-F3366E26E204}" name="Column7685"/>
    <tableColumn id="7691" xr3:uid="{2F0441C8-2735-4125-B960-A1FF75F80320}" name="Column7686"/>
    <tableColumn id="7692" xr3:uid="{C97C9134-CAC2-432F-B763-9F4D5C9FAA97}" name="Column7687"/>
    <tableColumn id="7693" xr3:uid="{C72CC28C-1C67-47C6-8477-627418521BB9}" name="Column7688"/>
    <tableColumn id="7694" xr3:uid="{F16D46CA-4150-45CA-B953-438056F764C5}" name="Column7689"/>
    <tableColumn id="7695" xr3:uid="{E0555907-CE06-4D39-8861-23B18C7C69CF}" name="Column7690"/>
    <tableColumn id="7696" xr3:uid="{47DE3E6A-8E59-4358-947A-EB9FCACE3FA9}" name="Column7691"/>
    <tableColumn id="7697" xr3:uid="{89A39AF8-8C33-4C90-A5FA-53D5A2A12162}" name="Column7692"/>
    <tableColumn id="7698" xr3:uid="{2E1C63F2-87E7-4C7B-BE93-FA16ABE354E6}" name="Column7693"/>
    <tableColumn id="7699" xr3:uid="{3148B87E-DFF6-4B0B-A5A2-38A817BFD31C}" name="Column7694"/>
    <tableColumn id="7700" xr3:uid="{F525F4B6-266A-4343-9E78-B30D876ACA3E}" name="Column7695"/>
    <tableColumn id="7701" xr3:uid="{AEF0812B-773D-4ECD-B968-1D5E1F62812D}" name="Column7696"/>
    <tableColumn id="7702" xr3:uid="{C06E63CC-95F8-45C9-A90F-9855D7F059DB}" name="Column7697"/>
    <tableColumn id="7703" xr3:uid="{26369B2C-125B-4913-B541-38D344178F09}" name="Column7698"/>
    <tableColumn id="7704" xr3:uid="{C6C70FFE-448B-4F49-AC98-78296E1098D9}" name="Column7699"/>
    <tableColumn id="7705" xr3:uid="{C1865831-E4AD-4BC8-B093-897C8D66240B}" name="Column7700"/>
    <tableColumn id="7706" xr3:uid="{A4D9141C-0C43-4730-96F6-FC6669101B54}" name="Column7701"/>
    <tableColumn id="7707" xr3:uid="{0FF875F7-5A61-4365-B760-260A1132FB78}" name="Column7702"/>
    <tableColumn id="7708" xr3:uid="{2D1CB764-7F14-4AD4-86C0-9835ABD3BE3F}" name="Column7703"/>
    <tableColumn id="7709" xr3:uid="{EF68A9B5-E918-4CEB-ACB4-64052E38C7B7}" name="Column7704"/>
    <tableColumn id="7710" xr3:uid="{0ED445B7-BA80-4A34-B604-A9131114A259}" name="Column7705"/>
    <tableColumn id="7711" xr3:uid="{205D5F07-E27E-4B0D-854D-90DD38BB3589}" name="Column7706"/>
    <tableColumn id="7712" xr3:uid="{C3DDA468-4246-43BB-BA93-9486367242EB}" name="Column7707"/>
    <tableColumn id="7713" xr3:uid="{74E55101-D8EA-43E6-AEE7-B8D66E56C671}" name="Column7708"/>
    <tableColumn id="7714" xr3:uid="{F79E8469-3227-4486-9E12-AD33154906DA}" name="Column7709"/>
    <tableColumn id="7715" xr3:uid="{F8C90A0B-83FE-454D-98A3-0B2ED073C18F}" name="Column7710"/>
    <tableColumn id="7716" xr3:uid="{175A5F78-BB42-4683-A724-0D1F9763001A}" name="Column7711"/>
    <tableColumn id="7717" xr3:uid="{A6E39930-19D5-4CDC-A279-FBB3D53FFE25}" name="Column7712"/>
    <tableColumn id="7718" xr3:uid="{F2095239-01E1-4B56-961D-16820DA0C780}" name="Column7713"/>
    <tableColumn id="7719" xr3:uid="{C5029860-D266-4CE3-A31E-290078FB9680}" name="Column7714"/>
    <tableColumn id="7720" xr3:uid="{2C1044C5-58B0-4776-8F13-DA1B4D287636}" name="Column7715"/>
    <tableColumn id="7721" xr3:uid="{B5B6A376-9DD7-4FEC-A7B1-AF52A7A3C0EE}" name="Column7716"/>
    <tableColumn id="7722" xr3:uid="{B599B8E3-82D3-4F07-A60B-7B02B9AF2DA3}" name="Column7717"/>
    <tableColumn id="7723" xr3:uid="{68446E0A-FB47-4D54-A473-32AB6E47DC72}" name="Column7718"/>
    <tableColumn id="7724" xr3:uid="{8D3592BA-9626-41D2-9823-C581DB971333}" name="Column7719"/>
    <tableColumn id="7725" xr3:uid="{7CA33534-EBFC-4CB5-B800-AF0A53DBDFC9}" name="Column7720"/>
    <tableColumn id="7726" xr3:uid="{CCA33A5C-B7FC-4DA4-8EDF-ADE870C7434E}" name="Column7721"/>
    <tableColumn id="7727" xr3:uid="{0B8E343F-FC5D-474D-B644-E1A598BBDDC6}" name="Column7722"/>
    <tableColumn id="7728" xr3:uid="{524FBCFC-2E92-4486-899B-50C29DFA0518}" name="Column7723"/>
    <tableColumn id="7729" xr3:uid="{88B872C2-4E7E-4FF2-ACAC-0734CBB27D24}" name="Column7724"/>
    <tableColumn id="7730" xr3:uid="{852D9C2D-D223-4A3B-93EB-C5E4C79EC44F}" name="Column7725"/>
    <tableColumn id="7731" xr3:uid="{6A2A5726-DF53-48D2-8268-1FA8EC511593}" name="Column7726"/>
    <tableColumn id="7732" xr3:uid="{E7E53BC2-9F24-4A89-83E1-4C1C69E780D2}" name="Column7727"/>
    <tableColumn id="7733" xr3:uid="{D14EC9A3-EA17-4699-B5EA-3CF7BEDCE8E9}" name="Column7728"/>
    <tableColumn id="7734" xr3:uid="{3E0956AC-82E9-400F-BA1D-93E81EC8AAE8}" name="Column7729"/>
    <tableColumn id="7735" xr3:uid="{47FD6736-D69A-43E1-8DDF-A61DB060BB86}" name="Column7730"/>
    <tableColumn id="7736" xr3:uid="{389B4B94-D79C-49B2-86CF-36A8AC54E546}" name="Column7731"/>
    <tableColumn id="7737" xr3:uid="{1D3F2F80-1C89-497E-939F-532F7EEFE40A}" name="Column7732"/>
    <tableColumn id="7738" xr3:uid="{2ECE8B51-824E-4D30-A60A-3AD7413BB66D}" name="Column7733"/>
    <tableColumn id="7739" xr3:uid="{EA1CFC24-23EF-49DE-B6E4-04C144D5F694}" name="Column7734"/>
    <tableColumn id="7740" xr3:uid="{FE17B48B-7030-4BF8-AC90-AB789C61A7B8}" name="Column7735"/>
    <tableColumn id="7741" xr3:uid="{1FD6C6C0-0305-4160-964D-99A228E4D2DB}" name="Column7736"/>
    <tableColumn id="7742" xr3:uid="{A0154280-35C8-43FE-B83A-ADE1F7098E0E}" name="Column7737"/>
    <tableColumn id="7743" xr3:uid="{FB6C2D1B-089C-4864-B1E2-22DAF090014D}" name="Column7738"/>
    <tableColumn id="7744" xr3:uid="{CC6CE9EF-5EB5-4622-817E-FD7139F4CC3E}" name="Column7739"/>
    <tableColumn id="7745" xr3:uid="{43CA8165-E928-4AD6-BDE1-DDC3A54495E3}" name="Column7740"/>
    <tableColumn id="7746" xr3:uid="{4170A636-F9EA-498C-ADA9-B7C803CF8A8A}" name="Column7741"/>
    <tableColumn id="7747" xr3:uid="{94E75F67-971D-4698-84E8-3ACBF8CA3EB9}" name="Column7742"/>
    <tableColumn id="7748" xr3:uid="{7078F5E2-A629-4B3D-9B2A-620A6FF91C3D}" name="Column7743"/>
    <tableColumn id="7749" xr3:uid="{89379F5B-34FA-4199-B5F3-F1A3BDBA08C9}" name="Column7744"/>
    <tableColumn id="7750" xr3:uid="{B3162672-CFE2-4B41-99C3-B8C2A62B89C1}" name="Column7745"/>
    <tableColumn id="7751" xr3:uid="{2C8CE382-C17C-427B-9BA0-E22B8C6025B1}" name="Column7746"/>
    <tableColumn id="7752" xr3:uid="{727AB55D-645A-4B71-9893-66F2A25FEF3D}" name="Column7747"/>
    <tableColumn id="7753" xr3:uid="{E907BC34-95C2-4866-AEC8-6C9A3BE5D7C2}" name="Column7748"/>
    <tableColumn id="7754" xr3:uid="{6AE84F60-9023-432E-9D2A-6033EDEFC1D8}" name="Column7749"/>
    <tableColumn id="7755" xr3:uid="{60B7AE6F-97B2-4199-93DF-3C8084965B5F}" name="Column7750"/>
    <tableColumn id="7756" xr3:uid="{7C0D3A74-37FB-47B0-B969-6BEDF9F7A09D}" name="Column7751"/>
    <tableColumn id="7757" xr3:uid="{C9B56FC6-B55B-4E5B-99E2-5F970C791C60}" name="Column7752"/>
    <tableColumn id="7758" xr3:uid="{4A75F237-B631-4B4A-8DD9-DD4502A604F6}" name="Column7753"/>
    <tableColumn id="7759" xr3:uid="{B4EED34F-4E13-4049-AB77-13B84778E82A}" name="Column7754"/>
    <tableColumn id="7760" xr3:uid="{111008C4-9568-471E-B6D8-0AEBD48E1E29}" name="Column7755"/>
    <tableColumn id="7761" xr3:uid="{3D8252C6-2139-44DE-8262-C1521095365A}" name="Column7756"/>
    <tableColumn id="7762" xr3:uid="{D596BCE4-C59F-4488-9E4F-BBFBFE906A1A}" name="Column7757"/>
    <tableColumn id="7763" xr3:uid="{6E0E3400-6FA3-423C-B919-0AE9B925B558}" name="Column7758"/>
    <tableColumn id="7764" xr3:uid="{23FF60BE-0452-48FB-92E6-609FF498511D}" name="Column7759"/>
    <tableColumn id="7765" xr3:uid="{9BE64814-D8D3-48C1-8694-ADEF8116D041}" name="Column7760"/>
    <tableColumn id="7766" xr3:uid="{93EA1F48-190D-44DF-8BA5-26978C650B50}" name="Column7761"/>
    <tableColumn id="7767" xr3:uid="{14DE6471-628D-45A4-A0B8-B9D1E04CA67B}" name="Column7762"/>
    <tableColumn id="7768" xr3:uid="{1592E630-1FE4-40DD-8FAE-FF63397B1C3E}" name="Column7763"/>
    <tableColumn id="7769" xr3:uid="{9A8AA34D-5ECC-423D-96FA-F1D935A66EF2}" name="Column7764"/>
    <tableColumn id="7770" xr3:uid="{52B7DC92-34E2-499D-A6AC-A12FFCFF358A}" name="Column7765"/>
    <tableColumn id="7771" xr3:uid="{A0440D2D-D6AB-4B6E-9B47-01BBDABB2BBF}" name="Column7766"/>
    <tableColumn id="7772" xr3:uid="{059F0CB4-8B6A-4E55-A893-E9E133CC2250}" name="Column7767"/>
    <tableColumn id="7773" xr3:uid="{8332BF57-EF27-43BF-9C3C-FE295F256361}" name="Column7768"/>
    <tableColumn id="7774" xr3:uid="{DB0C7A37-F157-40D9-8A3B-E49D70A96917}" name="Column7769"/>
    <tableColumn id="7775" xr3:uid="{060849BE-5A79-40A5-A5D7-FA3AB04BF1BC}" name="Column7770"/>
    <tableColumn id="7776" xr3:uid="{0847B714-0529-4C3C-AED3-E5447C1047FB}" name="Column7771"/>
    <tableColumn id="7777" xr3:uid="{EB324C78-06C7-4CA1-9251-F22C62C70964}" name="Column7772"/>
    <tableColumn id="7778" xr3:uid="{013B2A6A-6558-4200-8150-4B03FF071DB0}" name="Column7773"/>
    <tableColumn id="7779" xr3:uid="{C9704209-7561-4915-B11B-6E7571600F1D}" name="Column7774"/>
    <tableColumn id="7780" xr3:uid="{AB1C37AB-9B87-426A-AE28-716E872AF6A6}" name="Column7775"/>
    <tableColumn id="7781" xr3:uid="{2C865309-0BE5-4BA1-AFD4-4B6275B45DCA}" name="Column7776"/>
    <tableColumn id="7782" xr3:uid="{F30A88B8-5D65-42A5-BE3F-D62C5FA7DD7E}" name="Column7777"/>
    <tableColumn id="7783" xr3:uid="{B7FC0AF7-65FD-4EAA-B665-8A80D82FD1D2}" name="Column7778"/>
    <tableColumn id="7784" xr3:uid="{7DEEFD08-953D-43EF-B8B5-C4FD041CC33C}" name="Column7779"/>
    <tableColumn id="7785" xr3:uid="{D88A59BB-439D-455F-990B-C59AC5E8449C}" name="Column7780"/>
    <tableColumn id="7786" xr3:uid="{2A002E4B-E800-4B1F-ABCF-B8F9F281A105}" name="Column7781"/>
    <tableColumn id="7787" xr3:uid="{49F27007-5219-4B51-B112-AB8E6814C980}" name="Column7782"/>
    <tableColumn id="7788" xr3:uid="{BE2A22F9-F119-4DEF-9B7F-9C6A9E8897A3}" name="Column7783"/>
    <tableColumn id="7789" xr3:uid="{536466F4-94AC-4535-9547-F54FCCD412C8}" name="Column7784"/>
    <tableColumn id="7790" xr3:uid="{24994BC2-4787-4CF6-9D70-34C9575DC910}" name="Column7785"/>
    <tableColumn id="7791" xr3:uid="{3FCF4E30-15F9-444F-B7A8-48D65E4E3AAC}" name="Column7786"/>
    <tableColumn id="7792" xr3:uid="{69F1247D-83BE-4891-A6A0-89D3845DDB9D}" name="Column7787"/>
    <tableColumn id="7793" xr3:uid="{2493EB09-D7C9-420C-B583-805A2C99476F}" name="Column7788"/>
    <tableColumn id="7794" xr3:uid="{B2CC218D-CFA4-4E83-88AB-C7B16ACB6504}" name="Column7789"/>
    <tableColumn id="7795" xr3:uid="{03128BEB-3231-44B1-9A33-4EDC7FB58BE1}" name="Column7790"/>
    <tableColumn id="7796" xr3:uid="{B665189B-0017-4EB4-AF7B-CBA9A384BECA}" name="Column7791"/>
    <tableColumn id="7797" xr3:uid="{613AF892-6221-4250-8F91-2C08253F629A}" name="Column7792"/>
    <tableColumn id="7798" xr3:uid="{8F69DDB3-A4F7-44C6-8771-1A2D7B3680C1}" name="Column7793"/>
    <tableColumn id="7799" xr3:uid="{56A54194-B69C-4A64-9746-31894A991CC9}" name="Column7794"/>
    <tableColumn id="7800" xr3:uid="{DDAFCF15-0C5D-4DF4-B8E0-1783327B5891}" name="Column7795"/>
    <tableColumn id="7801" xr3:uid="{7E107980-59C4-4A2F-AB33-8577D81D6CE0}" name="Column7796"/>
    <tableColumn id="7802" xr3:uid="{3CE1A868-F0FF-42C6-99EA-2BED2B19167D}" name="Column7797"/>
    <tableColumn id="7803" xr3:uid="{B7ABE7E6-6CB9-421B-A7B7-FD3CE4897C5C}" name="Column7798"/>
    <tableColumn id="7804" xr3:uid="{BD1610AF-C39D-4FD6-BC3F-FE4A313A7087}" name="Column7799"/>
    <tableColumn id="7805" xr3:uid="{9F20CF56-2DFB-468A-BE4A-DDE48BB7B6E3}" name="Column7800"/>
    <tableColumn id="7806" xr3:uid="{26A12996-275D-41A0-96EC-E8A4368053E3}" name="Column7801"/>
    <tableColumn id="7807" xr3:uid="{10EC9899-4A28-4056-BF30-AC00FDD2EE2A}" name="Column7802"/>
    <tableColumn id="7808" xr3:uid="{EF67AD40-0390-44AE-8256-A1C0B4B2271B}" name="Column7803"/>
    <tableColumn id="7809" xr3:uid="{53B801A6-75D0-471E-BB7D-FC9B319C1434}" name="Column7804"/>
    <tableColumn id="7810" xr3:uid="{72515567-A6C4-42C9-839D-E3E1244077BA}" name="Column7805"/>
    <tableColumn id="7811" xr3:uid="{03E52324-BED8-429E-862D-66BCE05E9CF6}" name="Column7806"/>
    <tableColumn id="7812" xr3:uid="{31A5519B-276B-4ED1-A34E-A918AA9D6D20}" name="Column7807"/>
    <tableColumn id="7813" xr3:uid="{3439D337-4A73-4755-991C-C0A906E169C9}" name="Column7808"/>
    <tableColumn id="7814" xr3:uid="{C3D92C9A-253A-486C-AA56-C80B99182369}" name="Column7809"/>
    <tableColumn id="7815" xr3:uid="{0F1721E1-8D78-49F0-B7F4-26D9EB1EB50B}" name="Column7810"/>
    <tableColumn id="7816" xr3:uid="{A4DA992A-C1B9-4C81-90B7-AF718299DCD8}" name="Column7811"/>
    <tableColumn id="7817" xr3:uid="{BC03421E-903D-4F6E-B8E4-EC867614AAAD}" name="Column7812"/>
    <tableColumn id="7818" xr3:uid="{FBC48AEF-95A0-44BE-92E3-D5BF341781E8}" name="Column7813"/>
    <tableColumn id="7819" xr3:uid="{1EBDA196-0484-453E-80E8-D5BAABA6BF1D}" name="Column7814"/>
    <tableColumn id="7820" xr3:uid="{2943FDBE-7BD7-42FC-8071-C559A9D2F4D8}" name="Column7815"/>
    <tableColumn id="7821" xr3:uid="{B7482FEC-5EBB-45C5-ABBD-A6C1E3E25121}" name="Column7816"/>
    <tableColumn id="7822" xr3:uid="{35A8F5FA-2591-4ABB-BAE6-91522029EC13}" name="Column7817"/>
    <tableColumn id="7823" xr3:uid="{72105D19-9CDD-41CB-BE34-6AC54BA86E14}" name="Column7818"/>
    <tableColumn id="7824" xr3:uid="{C81A7992-17CE-4751-A6BD-2C990EBF7FD2}" name="Column7819"/>
    <tableColumn id="7825" xr3:uid="{C312196D-2189-43A6-871F-080F37402A94}" name="Column7820"/>
    <tableColumn id="7826" xr3:uid="{632FD8BA-CCEA-45C3-AFFD-4E5B01158219}" name="Column7821"/>
    <tableColumn id="7827" xr3:uid="{3C3B4071-30D0-4541-B46A-08EAA9A08890}" name="Column7822"/>
    <tableColumn id="7828" xr3:uid="{392824C4-CCC9-4088-9228-4E2F22390745}" name="Column7823"/>
    <tableColumn id="7829" xr3:uid="{E208669D-7667-4DC1-B7A0-FAE8256B3CED}" name="Column7824"/>
    <tableColumn id="7830" xr3:uid="{97447031-C8FF-40E5-A719-D959E357D569}" name="Column7825"/>
    <tableColumn id="7831" xr3:uid="{69F51232-DA36-4D11-8DB7-984F3ABD4FA3}" name="Column7826"/>
    <tableColumn id="7832" xr3:uid="{F4211EC0-3FA7-4792-8681-00B7D08AAAF8}" name="Column7827"/>
    <tableColumn id="7833" xr3:uid="{39335640-49CB-4A84-8E99-D8E153D22F03}" name="Column7828"/>
    <tableColumn id="7834" xr3:uid="{B055C719-AF2F-4789-BB05-FDD85D2655FD}" name="Column7829"/>
    <tableColumn id="7835" xr3:uid="{35DDD8AF-678C-4204-B68C-A80B29243423}" name="Column7830"/>
    <tableColumn id="7836" xr3:uid="{8897F770-C6DA-4066-BE21-8A1AEBFDFECF}" name="Column7831"/>
    <tableColumn id="7837" xr3:uid="{50D55540-8D5B-4D40-8D6D-83548DE3191A}" name="Column7832"/>
    <tableColumn id="7838" xr3:uid="{F5BAA934-D337-4FE3-A675-674C4F5593AC}" name="Column7833"/>
    <tableColumn id="7839" xr3:uid="{E579727A-BFCC-4DDC-9B21-1FD10699B416}" name="Column7834"/>
    <tableColumn id="7840" xr3:uid="{5D5D5804-F589-4911-88F7-4CD307046B43}" name="Column7835"/>
    <tableColumn id="7841" xr3:uid="{F71FBA3F-934C-4B8C-845E-C69B285F5812}" name="Column7836"/>
    <tableColumn id="7842" xr3:uid="{38B6C6C4-D154-4547-815F-37DD829EC581}" name="Column7837"/>
    <tableColumn id="7843" xr3:uid="{FD585870-7A21-4414-82B9-2968CA4CB9C0}" name="Column7838"/>
    <tableColumn id="7844" xr3:uid="{78BEDCD6-0066-4C16-A1EB-3CF19F767640}" name="Column7839"/>
    <tableColumn id="7845" xr3:uid="{882476C0-B76F-4640-8C90-3AEA2B9D30CE}" name="Column7840"/>
    <tableColumn id="7846" xr3:uid="{9F2B28AC-D6E3-44B4-9A16-F3C2046E56FB}" name="Column7841"/>
    <tableColumn id="7847" xr3:uid="{A8344FB8-61CB-41B5-AACA-A0D11802A126}" name="Column7842"/>
    <tableColumn id="7848" xr3:uid="{6D59E402-31DA-423C-94E3-6CB9AC444ABB}" name="Column7843"/>
    <tableColumn id="7849" xr3:uid="{E5E4C24B-0D99-4442-8BE0-92E59C6E2E49}" name="Column7844"/>
    <tableColumn id="7850" xr3:uid="{4FB71E97-65E8-4A10-B338-A585C42D17D4}" name="Column7845"/>
    <tableColumn id="7851" xr3:uid="{F5342EF0-1506-49E9-B5B5-A9334312393B}" name="Column7846"/>
    <tableColumn id="7852" xr3:uid="{93A80A98-EE74-4BD9-B5E0-CB2A561C89DE}" name="Column7847"/>
    <tableColumn id="7853" xr3:uid="{82FFFF0A-C043-499D-B430-241A7D899D99}" name="Column7848"/>
    <tableColumn id="7854" xr3:uid="{BE2E7F44-CC30-4043-8DC1-4BA316848C42}" name="Column7849"/>
    <tableColumn id="7855" xr3:uid="{C9D15503-6248-4A09-9F9C-6F4114843F8F}" name="Column7850"/>
    <tableColumn id="7856" xr3:uid="{6C6224E8-6889-46B6-BE3E-4DEB80691AE0}" name="Column7851"/>
    <tableColumn id="7857" xr3:uid="{DCC4FFE4-2BD6-499D-94B6-51FF07883D82}" name="Column7852"/>
    <tableColumn id="7858" xr3:uid="{22B0504E-0190-49D0-8D9F-6AC7283A1F2F}" name="Column7853"/>
    <tableColumn id="7859" xr3:uid="{C104415A-5481-4E0D-9623-1DB4ED90FB81}" name="Column7854"/>
    <tableColumn id="7860" xr3:uid="{3B088508-448E-4D94-9CE9-7BBF7FBAF20A}" name="Column7855"/>
    <tableColumn id="7861" xr3:uid="{F8C37D59-2CFF-4062-B422-123FBDC58B0F}" name="Column7856"/>
    <tableColumn id="7862" xr3:uid="{89F288A7-0F6C-49E1-A833-20278532266C}" name="Column7857"/>
    <tableColumn id="7863" xr3:uid="{9473472C-BEAE-4488-AB6D-F383A658BBD0}" name="Column7858"/>
    <tableColumn id="7864" xr3:uid="{D08F95F5-93BF-4E82-91C9-CB90CE0163D8}" name="Column7859"/>
    <tableColumn id="7865" xr3:uid="{DD1EBC83-78D5-443F-BEE4-3E78CDF6358A}" name="Column7860"/>
    <tableColumn id="7866" xr3:uid="{98843612-49C9-4DE2-AF45-29F47A53FF3F}" name="Column7861"/>
    <tableColumn id="7867" xr3:uid="{69E25056-8CF0-4788-BE7A-47EA89FDF792}" name="Column7862"/>
    <tableColumn id="7868" xr3:uid="{D3A3986F-531D-4AD4-9125-BEEE4FE9854A}" name="Column7863"/>
    <tableColumn id="7869" xr3:uid="{5C4E1638-09C4-48A5-8EB0-9ED2E7414675}" name="Column7864"/>
    <tableColumn id="7870" xr3:uid="{DD74B418-C272-4E88-AE81-49020436ECB8}" name="Column7865"/>
    <tableColumn id="7871" xr3:uid="{98B0B4C8-1E49-40D6-A294-238AABFE5C1A}" name="Column7866"/>
    <tableColumn id="7872" xr3:uid="{41596A13-1857-42DA-92A7-FF8238D2C78A}" name="Column7867"/>
    <tableColumn id="7873" xr3:uid="{5266F842-4147-45A0-A296-081BFDE8A59E}" name="Column7868"/>
    <tableColumn id="7874" xr3:uid="{374B8D68-E410-4805-B9D4-E7AD6DAB2BF1}" name="Column7869"/>
    <tableColumn id="7875" xr3:uid="{79B18917-F65F-42C7-A558-214F01E4A030}" name="Column7870"/>
    <tableColumn id="7876" xr3:uid="{16103CF4-EF4E-46C5-BF62-94B68378B29F}" name="Column7871"/>
    <tableColumn id="7877" xr3:uid="{BDEF52CC-2275-4FE2-8885-1A17BFC1FE73}" name="Column7872"/>
    <tableColumn id="7878" xr3:uid="{7B3EA4F3-FDAE-4A87-B333-CDFBD6E8C5AB}" name="Column7873"/>
    <tableColumn id="7879" xr3:uid="{AEF081BB-8812-41D6-9F0E-C097A3202860}" name="Column7874"/>
    <tableColumn id="7880" xr3:uid="{28463095-2CEE-4EE1-AC71-F77B86FC92E5}" name="Column7875"/>
    <tableColumn id="7881" xr3:uid="{70BD268F-CF94-44A2-8126-1C37F78F8D73}" name="Column7876"/>
    <tableColumn id="7882" xr3:uid="{A8187AA1-8069-4E6F-B7B2-31CC7BA75F90}" name="Column7877"/>
    <tableColumn id="7883" xr3:uid="{FE8B0750-7E2D-44E1-9C4C-9EDCD2FEE222}" name="Column7878"/>
    <tableColumn id="7884" xr3:uid="{F895BFEF-C668-4D2F-A84D-D0FF65EF691D}" name="Column7879"/>
    <tableColumn id="7885" xr3:uid="{946F5121-D1A5-4C9F-A8B3-B4F103112AAC}" name="Column7880"/>
    <tableColumn id="7886" xr3:uid="{48FABE3D-EA1F-4833-AC63-000F74CE10D4}" name="Column7881"/>
    <tableColumn id="7887" xr3:uid="{8C4D4829-4F3D-4255-A4E1-90692DCC5395}" name="Column7882"/>
    <tableColumn id="7888" xr3:uid="{67B02EE6-CFFF-4408-9C3B-43828ECAA880}" name="Column7883"/>
    <tableColumn id="7889" xr3:uid="{FC06E1A5-1122-4066-80F3-2C958FD29798}" name="Column7884"/>
    <tableColumn id="7890" xr3:uid="{AF2AFED5-06FD-4E5F-AF31-8499F4A06533}" name="Column7885"/>
    <tableColumn id="7891" xr3:uid="{2449888A-E669-4BC5-8AB9-A869C32AD26F}" name="Column7886"/>
    <tableColumn id="7892" xr3:uid="{44CE3E2D-F0BC-4910-AED8-B410DD182BE5}" name="Column7887"/>
    <tableColumn id="7893" xr3:uid="{4BE8C73B-0621-4494-9FB1-3980CAD39641}" name="Column7888"/>
    <tableColumn id="7894" xr3:uid="{C5444559-F39B-4527-A0B2-DA46DF6072BE}" name="Column7889"/>
    <tableColumn id="7895" xr3:uid="{7A54FF9A-A360-4202-A222-F251DEBE89E8}" name="Column7890"/>
    <tableColumn id="7896" xr3:uid="{1CC7DE4E-0393-436F-A29E-5DB2AFDD5143}" name="Column7891"/>
    <tableColumn id="7897" xr3:uid="{5A0FA6C8-758B-449C-B793-1C5D5BF6F13B}" name="Column7892"/>
    <tableColumn id="7898" xr3:uid="{046A5089-53A7-4292-9E78-4F74AC873655}" name="Column7893"/>
    <tableColumn id="7899" xr3:uid="{74FE6BFF-D859-45C6-8800-47F21B37A2AB}" name="Column7894"/>
    <tableColumn id="7900" xr3:uid="{2BAE6179-CBCF-4CD0-BDCE-5D8B5D927241}" name="Column7895"/>
    <tableColumn id="7901" xr3:uid="{6AA0D171-F76C-490B-B2D4-A1A555095FDD}" name="Column7896"/>
    <tableColumn id="7902" xr3:uid="{3E704A72-44B3-4B5A-BFA1-D47537E3ADBC}" name="Column7897"/>
    <tableColumn id="7903" xr3:uid="{14365C3F-FC00-4026-A7D7-6750B306F833}" name="Column7898"/>
    <tableColumn id="7904" xr3:uid="{E561A050-5DAD-405E-859F-24E5DE946A1D}" name="Column7899"/>
    <tableColumn id="7905" xr3:uid="{ECAFF0EE-6A1D-44E0-9B4F-0A2B9FD003B6}" name="Column7900"/>
    <tableColumn id="7906" xr3:uid="{9B05D2DA-BC1E-48E5-A44E-4C37B844C170}" name="Column7901"/>
    <tableColumn id="7907" xr3:uid="{15878FC5-4F8B-4C17-9B79-6F138139E363}" name="Column7902"/>
    <tableColumn id="7908" xr3:uid="{176D7DE0-0DA1-4BD7-9607-A8094EF288C7}" name="Column7903"/>
    <tableColumn id="7909" xr3:uid="{BDF60059-47EC-4B37-8A20-B0CFFB76A76F}" name="Column7904"/>
    <tableColumn id="7910" xr3:uid="{3C4D9760-7BA2-4E50-90AD-46C2E403A55B}" name="Column7905"/>
    <tableColumn id="7911" xr3:uid="{CAF14770-024C-4555-91A7-08027045A372}" name="Column7906"/>
    <tableColumn id="7912" xr3:uid="{57E85447-24B6-4130-9220-63448FC8C7F3}" name="Column7907"/>
    <tableColumn id="7913" xr3:uid="{86547605-43F9-44AF-8813-46158EAD9C2D}" name="Column7908"/>
    <tableColumn id="7914" xr3:uid="{2B59329C-70E8-4BD0-948B-FC60FA2067A7}" name="Column7909"/>
    <tableColumn id="7915" xr3:uid="{164D311C-C941-4C3C-8C11-1F82CEBEDAD9}" name="Column7910"/>
    <tableColumn id="7916" xr3:uid="{0AF172B1-F9B4-49BE-9A00-3B8DA4FB1A09}" name="Column7911"/>
    <tableColumn id="7917" xr3:uid="{313886DF-6B7B-4044-B417-A57F287C10B0}" name="Column7912"/>
    <tableColumn id="7918" xr3:uid="{C9C53C4F-EB22-4027-BF3A-5505CDE7695D}" name="Column7913"/>
    <tableColumn id="7919" xr3:uid="{0807BF68-744B-45CA-A50D-C03E22E8DE70}" name="Column7914"/>
    <tableColumn id="7920" xr3:uid="{59AD5533-ED12-4FAA-9469-6B617E5EA903}" name="Column7915"/>
    <tableColumn id="7921" xr3:uid="{7D3DA44D-FEA1-416E-BE5B-5496C07957DD}" name="Column7916"/>
    <tableColumn id="7922" xr3:uid="{22D6D752-B3A9-4891-8339-018BDB8EAA1E}" name="Column7917"/>
    <tableColumn id="7923" xr3:uid="{24668D37-C318-4292-AF84-18E1E4C10FAB}" name="Column7918"/>
    <tableColumn id="7924" xr3:uid="{0242A211-CF8B-4770-A5AA-495100C2A264}" name="Column7919"/>
    <tableColumn id="7925" xr3:uid="{F94F5C34-6509-430E-8D61-AC77B2596BFC}" name="Column7920"/>
    <tableColumn id="7926" xr3:uid="{DAF2298E-3E9A-4BB1-A08F-CA129C840F9D}" name="Column7921"/>
    <tableColumn id="7927" xr3:uid="{569E8059-2ACC-48F9-B6C7-79CE8AC3EFDC}" name="Column7922"/>
    <tableColumn id="7928" xr3:uid="{B51B8D9D-B295-4CC5-9FFB-C180815EAD1A}" name="Column7923"/>
    <tableColumn id="7929" xr3:uid="{9D724E4B-B17C-4F3A-9471-89EF862BDDE8}" name="Column7924"/>
    <tableColumn id="7930" xr3:uid="{AC74BCE9-9051-47E7-AA40-949F1C23F8FC}" name="Column7925"/>
    <tableColumn id="7931" xr3:uid="{61FDBA02-C18A-4346-B761-7610A127F995}" name="Column7926"/>
    <tableColumn id="7932" xr3:uid="{697D08AA-262A-4F90-99D4-4894330BFB88}" name="Column7927"/>
    <tableColumn id="7933" xr3:uid="{AE25CB8A-2034-4D3A-B0FE-C007A75E921B}" name="Column7928"/>
    <tableColumn id="7934" xr3:uid="{DED7C8F7-A3A0-4F40-BDD7-C5ECDE252FB1}" name="Column7929"/>
    <tableColumn id="7935" xr3:uid="{31B8125F-856A-49A8-BF8C-150CD4D63429}" name="Column7930"/>
    <tableColumn id="7936" xr3:uid="{FF28F1B1-04BC-4B28-ACFD-0F17533BCAE8}" name="Column7931"/>
    <tableColumn id="7937" xr3:uid="{4E6B558B-7A30-43AE-9585-B76ADE77810D}" name="Column7932"/>
    <tableColumn id="7938" xr3:uid="{B5CE644E-6BF8-43B0-97F7-086237A812DE}" name="Column7933"/>
    <tableColumn id="7939" xr3:uid="{793E7F33-F5C7-4031-8EBA-5F10C9686088}" name="Column7934"/>
    <tableColumn id="7940" xr3:uid="{0BB90E04-D70B-4B9F-AE9F-BE6D8FAFB2AA}" name="Column7935"/>
    <tableColumn id="7941" xr3:uid="{B49F957B-58F5-432B-9BCE-D2F3E21D71BD}" name="Column7936"/>
    <tableColumn id="7942" xr3:uid="{2B57B91B-688F-47D6-B39E-5F1748F7AA19}" name="Column7937"/>
    <tableColumn id="7943" xr3:uid="{9FFBB502-4E31-4933-8719-C73259072427}" name="Column7938"/>
    <tableColumn id="7944" xr3:uid="{89696CCB-87C2-44E5-A774-6602BCED53EA}" name="Column7939"/>
    <tableColumn id="7945" xr3:uid="{7BB4278B-EE5D-4A0B-A4BA-139105E85C66}" name="Column7940"/>
    <tableColumn id="7946" xr3:uid="{14E720B9-C5B9-4150-89DD-C08BA6C901C1}" name="Column7941"/>
    <tableColumn id="7947" xr3:uid="{85D9D94E-848C-4CA3-8EDA-649C3D7E1888}" name="Column7942"/>
    <tableColumn id="7948" xr3:uid="{60A88BDF-A721-4B5F-AACE-2137CE8A32B2}" name="Column7943"/>
    <tableColumn id="7949" xr3:uid="{BBA24406-0FEB-4C52-9C5C-7097A9688578}" name="Column7944"/>
    <tableColumn id="7950" xr3:uid="{D5F893A5-E17E-4FBB-B1C9-233CF4535220}" name="Column7945"/>
    <tableColumn id="7951" xr3:uid="{EA071F01-9A21-4037-8A95-F5A2D6F363B4}" name="Column7946"/>
    <tableColumn id="7952" xr3:uid="{69717735-8B53-4BCA-B030-E11DFEB73121}" name="Column7947"/>
    <tableColumn id="7953" xr3:uid="{38680EA6-8A89-4D4D-9383-102467F7FCA3}" name="Column7948"/>
    <tableColumn id="7954" xr3:uid="{F9C56FC4-E591-4482-B525-A2FF3910D68B}" name="Column7949"/>
    <tableColumn id="7955" xr3:uid="{D467811B-3858-4B17-98E3-C1D1FDF6924A}" name="Column7950"/>
    <tableColumn id="7956" xr3:uid="{D13CBBD0-58EA-4DBA-B1AC-BA74C3472999}" name="Column7951"/>
    <tableColumn id="7957" xr3:uid="{C8EE24F6-ADAC-48E1-A83A-0534B398F8C1}" name="Column7952"/>
    <tableColumn id="7958" xr3:uid="{350B1853-5816-42B2-88A2-A627DD482E78}" name="Column7953"/>
    <tableColumn id="7959" xr3:uid="{FB24D02F-395A-4B05-8764-B70E936F15DD}" name="Column7954"/>
    <tableColumn id="7960" xr3:uid="{423D7397-B503-461A-889A-FDF13A5EF8C5}" name="Column7955"/>
    <tableColumn id="7961" xr3:uid="{E2B33231-CDF2-4E3E-B5F5-7BAEE4232A71}" name="Column7956"/>
    <tableColumn id="7962" xr3:uid="{9853074D-2333-4678-A82E-E07452EF79A5}" name="Column7957"/>
    <tableColumn id="7963" xr3:uid="{B0EF599E-5E03-410A-9102-B9080C270EB8}" name="Column7958"/>
    <tableColumn id="7964" xr3:uid="{1E590D6C-FA5B-4C7C-BC07-40BA87090E8D}" name="Column7959"/>
    <tableColumn id="7965" xr3:uid="{1C2B79DE-5D83-4247-8F18-839F2FB93C86}" name="Column7960"/>
    <tableColumn id="7966" xr3:uid="{F140F00B-54D9-47FA-8999-26B06EE5A07F}" name="Column7961"/>
    <tableColumn id="7967" xr3:uid="{973B6EC0-3307-42A8-ADAE-39E10BE7B1C3}" name="Column7962"/>
    <tableColumn id="7968" xr3:uid="{8928F980-40DB-4288-BE3A-FCA38FFCCFA6}" name="Column7963"/>
    <tableColumn id="7969" xr3:uid="{1825FF2E-E778-4A20-9222-99584E61BF70}" name="Column7964"/>
    <tableColumn id="7970" xr3:uid="{94BADC7A-AE32-4F9A-84F1-4301F160688D}" name="Column7965"/>
    <tableColumn id="7971" xr3:uid="{4E2D48C7-1B9D-42E9-89E2-DCACF08B8735}" name="Column7966"/>
    <tableColumn id="7972" xr3:uid="{3946E9AD-0C4B-4ACA-8817-B9CA1FB30CE2}" name="Column7967"/>
    <tableColumn id="7973" xr3:uid="{E43C6014-98D1-435C-B369-3C8A3911F710}" name="Column7968"/>
    <tableColumn id="7974" xr3:uid="{AA6DB136-77F2-4E4D-83B6-A3FDA5A03C73}" name="Column7969"/>
    <tableColumn id="7975" xr3:uid="{2128E2E5-49FF-447B-B3EA-18CF76EFBA8F}" name="Column7970"/>
    <tableColumn id="7976" xr3:uid="{D1BFB976-F383-4292-A719-A73B5E764BE2}" name="Column7971"/>
    <tableColumn id="7977" xr3:uid="{FBB9C43C-EC65-4B22-A381-0E4CD0494417}" name="Column7972"/>
    <tableColumn id="7978" xr3:uid="{0E1A8882-46DC-4C54-B2FC-0B81307AAACD}" name="Column7973"/>
    <tableColumn id="7979" xr3:uid="{AAC337E4-70B3-46E2-B7C4-4AB33D3203FF}" name="Column7974"/>
    <tableColumn id="7980" xr3:uid="{5D8E317F-FF2A-4D74-B855-12FE7D2B2C5E}" name="Column7975"/>
    <tableColumn id="7981" xr3:uid="{6C932815-EBDF-4A20-BC9A-9F7AF5578C6C}" name="Column7976"/>
    <tableColumn id="7982" xr3:uid="{8734CB8A-2466-471D-8A63-3023F29AEBFE}" name="Column7977"/>
    <tableColumn id="7983" xr3:uid="{16B124A1-8A8C-4ADF-AA9A-0243DB07957E}" name="Column7978"/>
    <tableColumn id="7984" xr3:uid="{A48E671F-411C-44B3-8F07-097D2C373020}" name="Column7979"/>
    <tableColumn id="7985" xr3:uid="{319D2B3C-D079-4AB9-8FE6-38BFB9E77615}" name="Column7980"/>
    <tableColumn id="7986" xr3:uid="{A4A384FF-8FF0-489B-BD2B-2CF0F0FB85D0}" name="Column7981"/>
    <tableColumn id="7987" xr3:uid="{D1EB926A-EDB3-445C-920E-88E0E4C745ED}" name="Column7982"/>
    <tableColumn id="7988" xr3:uid="{FC67D9C1-3533-49FE-A519-9F9A909398C6}" name="Column7983"/>
    <tableColumn id="7989" xr3:uid="{A9A18ECD-A272-4781-8E19-8E0BDDA83612}" name="Column7984"/>
    <tableColumn id="7990" xr3:uid="{ABA5F320-065F-4E17-9B8B-31338E635AE0}" name="Column7985"/>
    <tableColumn id="7991" xr3:uid="{8B3F0F4C-29E1-4872-9FAE-011F21D835E4}" name="Column7986"/>
    <tableColumn id="7992" xr3:uid="{EB5B047E-7E18-43B3-9AE5-B0A0751BCA93}" name="Column7987"/>
    <tableColumn id="7993" xr3:uid="{EA7732FC-2795-4075-BE70-B2D89B8EA2A6}" name="Column7988"/>
    <tableColumn id="7994" xr3:uid="{91094C38-AA91-4AB7-AA6D-82CB0394F939}" name="Column7989"/>
    <tableColumn id="7995" xr3:uid="{2E198082-8541-40B1-B6EB-3A57023D74CD}" name="Column7990"/>
    <tableColumn id="7996" xr3:uid="{D789E7E9-C69C-46BF-A6CE-4AE82AC34C59}" name="Column7991"/>
    <tableColumn id="7997" xr3:uid="{217F89A1-1A05-436E-A1DB-E53D366B680D}" name="Column7992"/>
    <tableColumn id="7998" xr3:uid="{B662E02F-A6C8-4132-91CE-02FFEC3D4103}" name="Column7993"/>
    <tableColumn id="7999" xr3:uid="{C341CD8C-AE7D-413C-B4E6-4ECCD6C29F0B}" name="Column7994"/>
    <tableColumn id="8000" xr3:uid="{77F78C75-462A-4446-B76B-908E82372733}" name="Column7995"/>
    <tableColumn id="8001" xr3:uid="{4BCE8BDD-DAAE-450B-95DA-5085ADD70FC2}" name="Column7996"/>
    <tableColumn id="8002" xr3:uid="{54481F80-38C5-4E13-9A3A-EDDBEEDE098F}" name="Column7997"/>
    <tableColumn id="8003" xr3:uid="{33299EA5-2047-4848-959B-7167406C092C}" name="Column7998"/>
    <tableColumn id="8004" xr3:uid="{CA08811A-5E79-4E01-8739-2FD7A95ACCA4}" name="Column7999"/>
    <tableColumn id="8005" xr3:uid="{38827663-4970-4BE5-B53F-198F57FD2CB6}" name="Column8000"/>
    <tableColumn id="8006" xr3:uid="{135DD4FD-5D89-4913-8EC9-FD37B38B9429}" name="Column8001"/>
    <tableColumn id="8007" xr3:uid="{151BB924-9BDE-4205-8C5A-784E50B84A7D}" name="Column8002"/>
    <tableColumn id="8008" xr3:uid="{74FACCCC-DD48-4D67-A3B0-B04E77688393}" name="Column8003"/>
    <tableColumn id="8009" xr3:uid="{4BC4D6E8-F6B4-4174-9ECA-40E206B2F0C7}" name="Column8004"/>
    <tableColumn id="8010" xr3:uid="{F544940B-B130-4AEF-9F4F-D243F87A4B44}" name="Column8005"/>
    <tableColumn id="8011" xr3:uid="{138EEAE0-7927-428B-B2F2-47AB6B18C1A7}" name="Column8006"/>
    <tableColumn id="8012" xr3:uid="{4D0D0A7A-B762-4F97-8489-BBA18CCDDC07}" name="Column8007"/>
    <tableColumn id="8013" xr3:uid="{C138298F-A83B-44D5-9411-0ECCF7C85620}" name="Column8008"/>
    <tableColumn id="8014" xr3:uid="{261BDAE6-579D-4C06-BF04-27BCCF800F27}" name="Column8009"/>
    <tableColumn id="8015" xr3:uid="{67356D7C-8A6F-4118-802B-14DB02C69674}" name="Column8010"/>
    <tableColumn id="8016" xr3:uid="{BC360B4B-73B5-4F3E-A88B-C3F2E59C86D3}" name="Column8011"/>
    <tableColumn id="8017" xr3:uid="{9D4961E3-A93B-49FD-9A87-380E8221F219}" name="Column8012"/>
    <tableColumn id="8018" xr3:uid="{D887213A-F3DC-4668-A5F7-2D662DD3B5FB}" name="Column8013"/>
    <tableColumn id="8019" xr3:uid="{530D52CD-01F8-4717-8CEA-870CC8414257}" name="Column8014"/>
    <tableColumn id="8020" xr3:uid="{EDB61322-B648-4B92-BBED-80DB4026A67E}" name="Column8015"/>
    <tableColumn id="8021" xr3:uid="{AEC94E49-BD62-44C9-8286-C5FF81255B5C}" name="Column8016"/>
    <tableColumn id="8022" xr3:uid="{EE5199E2-D9C2-43A6-A68D-FD15DFC05810}" name="Column8017"/>
    <tableColumn id="8023" xr3:uid="{34E075BD-AD2F-4EA8-90B3-D8FC443207A1}" name="Column8018"/>
    <tableColumn id="8024" xr3:uid="{896C7DD8-25A3-4E1C-B91E-AED0B2D24905}" name="Column8019"/>
    <tableColumn id="8025" xr3:uid="{30279C99-43B9-4F5B-BC33-08A0E7E89F7C}" name="Column8020"/>
    <tableColumn id="8026" xr3:uid="{5E5CE8BE-39A8-4A76-882A-DC3DA363903F}" name="Column8021"/>
    <tableColumn id="8027" xr3:uid="{5F5243D9-6E87-4012-843B-93BDD2C3DA33}" name="Column8022"/>
    <tableColumn id="8028" xr3:uid="{E0A2C261-FB89-4C78-B027-08FF5A7DCB73}" name="Column8023"/>
    <tableColumn id="8029" xr3:uid="{411AA6F1-519A-447B-A5F3-C596B80102E2}" name="Column8024"/>
    <tableColumn id="8030" xr3:uid="{083DD062-50F9-4801-AF4B-4ADD3BD92D2A}" name="Column8025"/>
    <tableColumn id="8031" xr3:uid="{39D6C827-BADA-4278-8A03-B80CE9264AE7}" name="Column8026"/>
    <tableColumn id="8032" xr3:uid="{7841E8C1-64D2-4460-882B-1D10E0499476}" name="Column8027"/>
    <tableColumn id="8033" xr3:uid="{44F695A8-A0F9-4A9D-A385-CE405DCD0B62}" name="Column8028"/>
    <tableColumn id="8034" xr3:uid="{C173F760-F639-4FBF-9496-28A5D7EDC2A5}" name="Column8029"/>
    <tableColumn id="8035" xr3:uid="{FFEA315B-7ECD-4003-8B12-17255D751DA2}" name="Column8030"/>
    <tableColumn id="8036" xr3:uid="{A76393B3-0DBA-4175-91F8-5F2AD7DF70BC}" name="Column8031"/>
    <tableColumn id="8037" xr3:uid="{B43357E8-EAEC-42D0-88CD-665AF7E8BF2E}" name="Column8032"/>
    <tableColumn id="8038" xr3:uid="{FC377CA2-64DD-494C-95FF-847A68B7C509}" name="Column8033"/>
    <tableColumn id="8039" xr3:uid="{E9F7D8CD-4E2B-48F2-9DCE-FD084ECA944F}" name="Column8034"/>
    <tableColumn id="8040" xr3:uid="{DC5CA5A2-22E9-4D68-9261-C7AF7C6FDF00}" name="Column8035"/>
    <tableColumn id="8041" xr3:uid="{F8403A8C-CF77-4A87-8085-9F3C80C9CF44}" name="Column8036"/>
    <tableColumn id="8042" xr3:uid="{43718608-AD53-474A-B15C-479C73D80F5C}" name="Column8037"/>
    <tableColumn id="8043" xr3:uid="{D1B6F246-23A0-4880-A408-605ADA29C42A}" name="Column8038"/>
    <tableColumn id="8044" xr3:uid="{95B227F0-B3D9-4473-BA10-BEB434AE18A9}" name="Column8039"/>
    <tableColumn id="8045" xr3:uid="{600B6C31-869D-4B22-8702-FEF952A0906B}" name="Column8040"/>
    <tableColumn id="8046" xr3:uid="{7FFF6D3D-7C65-4458-AF22-7BA2F108274E}" name="Column8041"/>
    <tableColumn id="8047" xr3:uid="{0F773332-9C18-4E2A-8621-CC316F3FB4C6}" name="Column8042"/>
    <tableColumn id="8048" xr3:uid="{A41E80F5-ABD0-4F39-AFCA-08557553F940}" name="Column8043"/>
    <tableColumn id="8049" xr3:uid="{71A1BC87-4691-4CD6-9727-0C5D30F04AC5}" name="Column8044"/>
    <tableColumn id="8050" xr3:uid="{8FABB245-0A34-42AC-964F-0F906029D821}" name="Column8045"/>
    <tableColumn id="8051" xr3:uid="{0C4686B9-7570-4D03-9763-F58942866E15}" name="Column8046"/>
    <tableColumn id="8052" xr3:uid="{1677271C-92C8-4407-BCF2-45D8761F0CA5}" name="Column8047"/>
    <tableColumn id="8053" xr3:uid="{DCFB557B-1D9D-45CE-A51A-2C03B7281A49}" name="Column8048"/>
    <tableColumn id="8054" xr3:uid="{D5FEE4C4-9812-476B-99FD-97B8955F8EDD}" name="Column8049"/>
    <tableColumn id="8055" xr3:uid="{988ABC13-EA54-4257-89E7-E821B0E52A86}" name="Column8050"/>
    <tableColumn id="8056" xr3:uid="{1785B34D-0368-4507-B877-C7894A0E6FCD}" name="Column8051"/>
    <tableColumn id="8057" xr3:uid="{66F285EB-0B8F-4301-B5D2-4DB31F0E9160}" name="Column8052"/>
    <tableColumn id="8058" xr3:uid="{E77F3C98-E3DF-4678-A077-5DCCFBBA6FBC}" name="Column8053"/>
    <tableColumn id="8059" xr3:uid="{36446827-3846-4D2B-824C-A3C55603AE26}" name="Column8054"/>
    <tableColumn id="8060" xr3:uid="{F0C99415-0890-4AC1-845D-4C31059D77AB}" name="Column8055"/>
    <tableColumn id="8061" xr3:uid="{0636FDDB-05C6-468C-AD85-A811E2D8ABDA}" name="Column8056"/>
    <tableColumn id="8062" xr3:uid="{49602B6E-36F0-415C-829D-175526431B44}" name="Column8057"/>
    <tableColumn id="8063" xr3:uid="{BDEDB1BB-622F-4813-9947-00F8CC8BA643}" name="Column8058"/>
    <tableColumn id="8064" xr3:uid="{333CFDEC-E831-4B59-A0F3-3D05E653B324}" name="Column8059"/>
    <tableColumn id="8065" xr3:uid="{D806DA78-BCFB-4385-8A03-9ED49ED259F6}" name="Column8060"/>
    <tableColumn id="8066" xr3:uid="{5508D6B6-461C-40B2-A44A-9E64CFF1385E}" name="Column8061"/>
    <tableColumn id="8067" xr3:uid="{C7F0469F-2CB1-48D0-94BB-2FD24A82B508}" name="Column8062"/>
    <tableColumn id="8068" xr3:uid="{337BBBBA-085F-44D7-8909-453E9F7A8ED1}" name="Column8063"/>
    <tableColumn id="8069" xr3:uid="{FD165CBD-2ACF-434C-ADA7-05AF91837AFE}" name="Column8064"/>
    <tableColumn id="8070" xr3:uid="{3C058AA7-1FD4-4135-BC0F-5BFA71736BE1}" name="Column8065"/>
    <tableColumn id="8071" xr3:uid="{6A003C2C-B77D-46C8-80EA-8A7E027F28AE}" name="Column8066"/>
    <tableColumn id="8072" xr3:uid="{12C3C060-37A5-4A7F-8DA2-74477D4F05E1}" name="Column8067"/>
    <tableColumn id="8073" xr3:uid="{5C62D496-E75F-4502-93F3-6FCD38CD354E}" name="Column8068"/>
    <tableColumn id="8074" xr3:uid="{98927F62-2D5D-4B0C-8CEF-230ED858E2E8}" name="Column8069"/>
    <tableColumn id="8075" xr3:uid="{C49B8955-875F-4DD8-B45E-2D761B39CECA}" name="Column8070"/>
    <tableColumn id="8076" xr3:uid="{92E3CC27-BFC5-426F-9AB7-53A2266E2AC1}" name="Column8071"/>
    <tableColumn id="8077" xr3:uid="{2D5E4909-2F8C-4227-918F-9B59E02E1096}" name="Column8072"/>
    <tableColumn id="8078" xr3:uid="{D3E49D98-2C43-451E-9E52-4D4295A3FD98}" name="Column8073"/>
    <tableColumn id="8079" xr3:uid="{6BC1D092-B226-48BF-BEB7-F85570A8F5F7}" name="Column8074"/>
    <tableColumn id="8080" xr3:uid="{9973A4EC-B3D3-491F-8368-636C7CE6C8B4}" name="Column8075"/>
    <tableColumn id="8081" xr3:uid="{3226737A-2F2A-4EFA-8164-21B2B323E19E}" name="Column8076"/>
    <tableColumn id="8082" xr3:uid="{8293BA35-92FB-437E-BFF8-3234F5E91BBA}" name="Column8077"/>
    <tableColumn id="8083" xr3:uid="{7D7A710E-DC08-4877-AF46-210B86513FCB}" name="Column8078"/>
    <tableColumn id="8084" xr3:uid="{3EE242A9-AC71-44A2-B8E2-8B805463E2B0}" name="Column8079"/>
    <tableColumn id="8085" xr3:uid="{DB822F0B-F806-4A0B-BA73-B37419154183}" name="Column8080"/>
    <tableColumn id="8086" xr3:uid="{CD79F1CE-0A4A-4ECB-B4C7-83D5849FCCA7}" name="Column8081"/>
    <tableColumn id="8087" xr3:uid="{951F26D6-FAFC-4AA9-BAD1-77F92BB6BEF2}" name="Column8082"/>
    <tableColumn id="8088" xr3:uid="{5361FF44-B143-44D1-9A5C-1BAB4721FEBF}" name="Column8083"/>
    <tableColumn id="8089" xr3:uid="{2A486019-871F-4787-A9FD-4E79B76DD64F}" name="Column8084"/>
    <tableColumn id="8090" xr3:uid="{DC67882A-079A-4090-8228-516B63933010}" name="Column8085"/>
    <tableColumn id="8091" xr3:uid="{1D909A47-098A-446E-9DD1-52271972ACE6}" name="Column8086"/>
    <tableColumn id="8092" xr3:uid="{6762FEA0-8FD1-47E3-91F1-F4A938C78F59}" name="Column8087"/>
    <tableColumn id="8093" xr3:uid="{C7D09495-E85B-401D-9C37-E7305214F754}" name="Column8088"/>
    <tableColumn id="8094" xr3:uid="{73F1E03B-1A63-4F2B-AEBB-0E52B15D9BB7}" name="Column8089"/>
    <tableColumn id="8095" xr3:uid="{4C5CEAB3-CAA9-4677-BAB4-F264B780A18F}" name="Column8090"/>
    <tableColumn id="8096" xr3:uid="{820E4E43-9DDF-46FC-B6B5-3130BAE11EBA}" name="Column8091"/>
    <tableColumn id="8097" xr3:uid="{2D1E446F-1CCE-42D2-B15B-A43FD9504C91}" name="Column8092"/>
    <tableColumn id="8098" xr3:uid="{C65DE391-5BA1-48BA-8F9B-8397ACFD1905}" name="Column8093"/>
    <tableColumn id="8099" xr3:uid="{665F8953-8D94-430F-A5D4-41F0A46EEFB7}" name="Column8094"/>
    <tableColumn id="8100" xr3:uid="{F905AF6D-46FA-4297-A311-E9BAC6A67C57}" name="Column8095"/>
    <tableColumn id="8101" xr3:uid="{F8D52B42-A25F-47A5-B2F2-57497BE234B3}" name="Column8096"/>
    <tableColumn id="8102" xr3:uid="{00CDFA41-FE39-4650-9E71-0C1CCB1F814D}" name="Column8097"/>
    <tableColumn id="8103" xr3:uid="{598BCDEA-F338-41B6-BCDB-65BA0264F88A}" name="Column8098"/>
    <tableColumn id="8104" xr3:uid="{DED55B87-657B-4886-B324-D8EFFA1C5499}" name="Column8099"/>
    <tableColumn id="8105" xr3:uid="{431E2B7B-5778-4560-AF32-76A6DCA8FB2E}" name="Column8100"/>
    <tableColumn id="8106" xr3:uid="{F1F422CA-8EFD-4B4F-9404-AAD92FE99DF3}" name="Column8101"/>
    <tableColumn id="8107" xr3:uid="{D06010CE-D886-4C17-BD15-7EE6DC9732D3}" name="Column8102"/>
    <tableColumn id="8108" xr3:uid="{92FF7374-FCC9-4808-A776-EECB0F833BAC}" name="Column8103"/>
    <tableColumn id="8109" xr3:uid="{127D03D1-13E5-4AC6-897C-628093B1E556}" name="Column8104"/>
    <tableColumn id="8110" xr3:uid="{5298B8EA-9809-4FD4-A8C2-AFFFB38F1986}" name="Column8105"/>
    <tableColumn id="8111" xr3:uid="{19905638-8939-4152-BEE2-CBFE44318184}" name="Column8106"/>
    <tableColumn id="8112" xr3:uid="{FD104C3C-C071-476C-A445-9084E55D2642}" name="Column8107"/>
    <tableColumn id="8113" xr3:uid="{9F1AF831-F67A-48A3-A60E-513C48230346}" name="Column8108"/>
    <tableColumn id="8114" xr3:uid="{7FA389A3-719C-4101-9918-612FC6745E51}" name="Column8109"/>
    <tableColumn id="8115" xr3:uid="{BE58D2CF-5C2C-4AFA-8CD4-F04B17715D94}" name="Column8110"/>
    <tableColumn id="8116" xr3:uid="{52E08CE1-924E-45D4-A076-1DDEDC6E098A}" name="Column8111"/>
    <tableColumn id="8117" xr3:uid="{5C5D09C6-4A83-4BB7-93F8-CC2A19666578}" name="Column8112"/>
    <tableColumn id="8118" xr3:uid="{257B4969-1DCD-4409-8A93-643C186288D0}" name="Column8113"/>
    <tableColumn id="8119" xr3:uid="{2EA9CDA2-1328-4430-A611-48616791DB6D}" name="Column8114"/>
    <tableColumn id="8120" xr3:uid="{265EEE6D-43A3-444A-A0DE-9CFEC1BFCFC1}" name="Column8115"/>
    <tableColumn id="8121" xr3:uid="{13F16D2E-7AE1-4C72-93E4-07B21F422B54}" name="Column8116"/>
    <tableColumn id="8122" xr3:uid="{50458A57-DE34-4C24-9B2D-994A17DF02E4}" name="Column8117"/>
    <tableColumn id="8123" xr3:uid="{0665EFB0-0282-4BEB-89A5-64A198200B2D}" name="Column8118"/>
    <tableColumn id="8124" xr3:uid="{0CEF018A-240F-4920-B373-CCC4C0122939}" name="Column8119"/>
    <tableColumn id="8125" xr3:uid="{D8BCB096-5AF0-41C1-9405-5360C7F6A24E}" name="Column8120"/>
    <tableColumn id="8126" xr3:uid="{52B280EE-7783-4A19-9ABC-132187737E06}" name="Column8121"/>
    <tableColumn id="8127" xr3:uid="{686D8149-7487-41A2-B2E0-21C44E95EC85}" name="Column8122"/>
    <tableColumn id="8128" xr3:uid="{8C5BF6A9-25F2-48B6-A306-9B0D9A3107C2}" name="Column8123"/>
    <tableColumn id="8129" xr3:uid="{B5AD9ACE-9B63-4FBE-821F-35B183FD053E}" name="Column8124"/>
    <tableColumn id="8130" xr3:uid="{804E88BA-5135-451C-81C1-CA5B4DFBB909}" name="Column8125"/>
    <tableColumn id="8131" xr3:uid="{99ABE139-6D2E-47F7-92F9-8C90570B996E}" name="Column8126"/>
    <tableColumn id="8132" xr3:uid="{9A4D231E-01F9-43A4-AC22-269A576668DF}" name="Column8127"/>
    <tableColumn id="8133" xr3:uid="{D74EF8DD-CB83-4393-9546-B678A029510D}" name="Column8128"/>
    <tableColumn id="8134" xr3:uid="{EB6A1F83-A455-4989-8C46-B85AC0FFA63E}" name="Column8129"/>
    <tableColumn id="8135" xr3:uid="{E0EA3059-ADD6-44BA-9171-42C82538FBEE}" name="Column8130"/>
    <tableColumn id="8136" xr3:uid="{645EF8D9-604E-4933-96B3-8CF4BA519AD3}" name="Column8131"/>
    <tableColumn id="8137" xr3:uid="{0A9D1230-1160-4E70-9E25-418DB9A90897}" name="Column8132"/>
    <tableColumn id="8138" xr3:uid="{01C41D1C-994F-4A45-8E8F-B7603DC4BD78}" name="Column8133"/>
    <tableColumn id="8139" xr3:uid="{A50A1DEB-860D-4CB4-ACE2-A85D234CABFE}" name="Column8134"/>
    <tableColumn id="8140" xr3:uid="{593A8F66-9583-41A6-BF43-A2B58ADBFF86}" name="Column8135"/>
    <tableColumn id="8141" xr3:uid="{39306686-233C-432B-AC2F-EFA9B35818D3}" name="Column8136"/>
    <tableColumn id="8142" xr3:uid="{E06D1217-BA00-48F2-9715-3FC24A4586FF}" name="Column8137"/>
    <tableColumn id="8143" xr3:uid="{760F8D7D-38EB-4640-A5D5-2F42D9BFB78A}" name="Column8138"/>
    <tableColumn id="8144" xr3:uid="{6BBB7DC0-392F-42DF-8B80-FC228D979085}" name="Column8139"/>
    <tableColumn id="8145" xr3:uid="{87259C23-C547-41EF-813F-517E494A2A63}" name="Column8140"/>
    <tableColumn id="8146" xr3:uid="{E5E2E121-1710-4BBE-81F7-57A4F7EBA561}" name="Column8141"/>
    <tableColumn id="8147" xr3:uid="{62A2DEE7-AA90-4F82-AE89-D8A073F1B0EF}" name="Column8142"/>
    <tableColumn id="8148" xr3:uid="{6C0ED504-A82F-46F1-8310-D697470CEA59}" name="Column8143"/>
    <tableColumn id="8149" xr3:uid="{2AA56EE9-B56B-4EB2-89B8-A79D58A19037}" name="Column8144"/>
    <tableColumn id="8150" xr3:uid="{723BB81F-CD1E-494D-8066-4F7C0B24AC5C}" name="Column8145"/>
    <tableColumn id="8151" xr3:uid="{C79B58A6-954C-4735-93AA-A204F06DFB8E}" name="Column8146"/>
    <tableColumn id="8152" xr3:uid="{A2754923-A611-4E1B-A856-3A4A08BA5BCD}" name="Column8147"/>
    <tableColumn id="8153" xr3:uid="{F6E3CD4A-8346-45B6-986C-58AE24CAE2BC}" name="Column8148"/>
    <tableColumn id="8154" xr3:uid="{C7A32BC3-2C06-49B7-B974-6C91BFA4FDE8}" name="Column8149"/>
    <tableColumn id="8155" xr3:uid="{F09B35FF-1415-49F5-8C0D-87526C0DE260}" name="Column8150"/>
    <tableColumn id="8156" xr3:uid="{215EE0AB-B5E8-4102-82BD-66AE267DB84B}" name="Column8151"/>
    <tableColumn id="8157" xr3:uid="{E05C9E07-6238-44A4-AF73-53AF7A6126CA}" name="Column8152"/>
    <tableColumn id="8158" xr3:uid="{0187BDB1-EF8F-4F32-B3EE-67F9F3359EA2}" name="Column8153"/>
    <tableColumn id="8159" xr3:uid="{AEF299B0-21B8-49C8-81AD-652133A62FC8}" name="Column8154"/>
    <tableColumn id="8160" xr3:uid="{867BAC24-116B-401F-B99E-5827CECC9FFD}" name="Column8155"/>
    <tableColumn id="8161" xr3:uid="{2931353E-C27D-4FE9-96A5-1C104BEADFFF}" name="Column8156"/>
    <tableColumn id="8162" xr3:uid="{7A9D8506-F4AF-4640-8C1C-A64D5B112D07}" name="Column8157"/>
    <tableColumn id="8163" xr3:uid="{61DB001F-BE74-44A2-9274-FE6C2399082F}" name="Column8158"/>
    <tableColumn id="8164" xr3:uid="{2DD2C916-3640-45A3-9461-E11CBD018389}" name="Column8159"/>
    <tableColumn id="8165" xr3:uid="{1C6000D6-58D1-47F3-B184-3BDD9B43A1E2}" name="Column8160"/>
    <tableColumn id="8166" xr3:uid="{C481E606-45DE-4E2D-B775-0B3D1DDDBE7A}" name="Column8161"/>
    <tableColumn id="8167" xr3:uid="{5C37677D-DD6F-4F09-84E6-A2A250E1F7C8}" name="Column8162"/>
    <tableColumn id="8168" xr3:uid="{1D3A36C9-EECD-4A01-8459-FA11094736E3}" name="Column8163"/>
    <tableColumn id="8169" xr3:uid="{B2116A33-AD6D-4EDC-AE3F-66EC1AD368AB}" name="Column8164"/>
    <tableColumn id="8170" xr3:uid="{207A4218-4F0B-4889-8A39-7F566C0D7885}" name="Column8165"/>
    <tableColumn id="8171" xr3:uid="{E1273FDD-C928-430C-A54C-0B8D8CFC6F52}" name="Column8166"/>
    <tableColumn id="8172" xr3:uid="{B94716B4-3516-4D2B-A5E2-0FD34663A635}" name="Column8167"/>
    <tableColumn id="8173" xr3:uid="{B223219C-9914-4ACE-A066-884F54E9D77F}" name="Column8168"/>
    <tableColumn id="8174" xr3:uid="{F148D737-EB47-4978-83D9-41643075735B}" name="Column8169"/>
    <tableColumn id="8175" xr3:uid="{C589A4E0-79C6-454B-A40F-EA4AAD8D8639}" name="Column8170"/>
    <tableColumn id="8176" xr3:uid="{39A03C33-8FD0-48EC-88A1-62A9DE4B5C2A}" name="Column8171"/>
    <tableColumn id="8177" xr3:uid="{86718213-59D4-42B0-B38F-874D0BD37A04}" name="Column8172"/>
    <tableColumn id="8178" xr3:uid="{62C1AB5C-A56E-496F-9B33-60A508747555}" name="Column8173"/>
    <tableColumn id="8179" xr3:uid="{3E56CA61-0B40-45C4-AD9E-5C3422FA9084}" name="Column8174"/>
    <tableColumn id="8180" xr3:uid="{E4176E0A-743E-461E-A352-9BBFB90987C6}" name="Column8175"/>
    <tableColumn id="8181" xr3:uid="{77395002-B4A0-4C95-8B53-7CF4A403C70F}" name="Column8176"/>
    <tableColumn id="8182" xr3:uid="{BFEB6022-644C-4967-AB26-2B80CEBD6FB1}" name="Column8177"/>
    <tableColumn id="8183" xr3:uid="{6FE552EB-7D08-45AE-8F08-0A7FEACF1A0A}" name="Column8178"/>
    <tableColumn id="8184" xr3:uid="{66E51C10-7BE4-4A50-8C81-EA41F35E5E2E}" name="Column8179"/>
    <tableColumn id="8185" xr3:uid="{180F0E58-BB55-40FC-8162-C68C4B686794}" name="Column8180"/>
    <tableColumn id="8186" xr3:uid="{508ABD6E-C431-4977-8C12-C545F7F6EF67}" name="Column8181"/>
    <tableColumn id="8187" xr3:uid="{9AE29917-012B-4E62-89A5-9C95E4FE962F}" name="Column8182"/>
    <tableColumn id="8188" xr3:uid="{36E3CE1E-17E8-4BD4-894C-E032163B284B}" name="Column8183"/>
    <tableColumn id="8189" xr3:uid="{9C769AFF-1145-4E2F-A091-8D95B99C152D}" name="Column8184"/>
    <tableColumn id="8190" xr3:uid="{2D48DDE3-D12A-4503-8B93-880B7956EF39}" name="Column8185"/>
    <tableColumn id="8191" xr3:uid="{7A64D757-7D0F-4F3F-9053-771824D27E40}" name="Column8186"/>
    <tableColumn id="8192" xr3:uid="{48BA839F-809A-482C-95E5-DA6768BD2187}" name="Column8187"/>
    <tableColumn id="8193" xr3:uid="{B17A0821-9939-4D80-AA7B-991358EB196B}" name="Column8188"/>
    <tableColumn id="8194" xr3:uid="{5228B1F4-9379-40D2-9101-BCBE242E4570}" name="Column8189"/>
    <tableColumn id="8195" xr3:uid="{62E91D63-577B-4E98-A1AC-4FDFC2B6CC3B}" name="Column8190"/>
    <tableColumn id="8196" xr3:uid="{63767047-8194-44E3-BACD-DACA155548E4}" name="Column8191"/>
    <tableColumn id="8197" xr3:uid="{63D67211-753D-4BAA-82EA-019657FC915D}" name="Column8192"/>
    <tableColumn id="8198" xr3:uid="{1D3DFBCD-283F-4637-A528-7DBFD4AD47B5}" name="Column8193"/>
    <tableColumn id="8199" xr3:uid="{BB27D614-9354-4272-A52C-F3FAFC9A2748}" name="Column8194"/>
    <tableColumn id="8200" xr3:uid="{7FE84A15-335C-4A12-A3C7-0688AD9B5FAD}" name="Column8195"/>
    <tableColumn id="8201" xr3:uid="{19798913-732F-4366-89EF-7812D810359E}" name="Column8196"/>
    <tableColumn id="8202" xr3:uid="{97F67C9E-4B34-4327-958C-3D0121CAC39F}" name="Column8197"/>
    <tableColumn id="8203" xr3:uid="{5C9523C7-7CBB-45FD-8436-CFE99A4D61C0}" name="Column8198"/>
    <tableColumn id="8204" xr3:uid="{C6A44BF7-00D5-4238-9AFF-4442247D5E31}" name="Column8199"/>
    <tableColumn id="8205" xr3:uid="{44316A19-4BE0-4877-8960-108C2FC0F719}" name="Column8200"/>
    <tableColumn id="8206" xr3:uid="{E9B5B432-BB80-43F9-8B97-59B1AD302714}" name="Column8201"/>
    <tableColumn id="8207" xr3:uid="{9DD7A76B-205D-442E-B56A-64A7D8D46F87}" name="Column8202"/>
    <tableColumn id="8208" xr3:uid="{C2316FC6-25E6-45E9-8117-DCFA42F08FC3}" name="Column8203"/>
    <tableColumn id="8209" xr3:uid="{3CCDB1BE-3AC3-4D79-9333-E45AC2AB07D8}" name="Column8204"/>
    <tableColumn id="8210" xr3:uid="{3F082050-F67E-4B56-A423-C1354BF94E78}" name="Column8205"/>
    <tableColumn id="8211" xr3:uid="{F0231044-2908-475E-A74D-FFA032D2D9F1}" name="Column8206"/>
    <tableColumn id="8212" xr3:uid="{40E61A8D-36C4-4D95-8356-1C236A75F740}" name="Column8207"/>
    <tableColumn id="8213" xr3:uid="{0500EC1B-A622-43E3-A6FB-608E54F126CC}" name="Column8208"/>
    <tableColumn id="8214" xr3:uid="{338CD6DC-3ADD-44E9-9E3E-D560EE2B44BD}" name="Column8209"/>
    <tableColumn id="8215" xr3:uid="{146CA400-0708-424C-B138-0ADAC9507057}" name="Column8210"/>
    <tableColumn id="8216" xr3:uid="{AC4DEA7B-E591-403D-A0DE-1C4C13861A1C}" name="Column8211"/>
    <tableColumn id="8217" xr3:uid="{A4A3B04F-C1CA-4EBD-9A9F-A092F8885A41}" name="Column8212"/>
    <tableColumn id="8218" xr3:uid="{AA403658-120E-41D5-9F3B-0FA6E5C76D06}" name="Column8213"/>
    <tableColumn id="8219" xr3:uid="{A81D7321-8677-4765-B08C-8206C7F866BA}" name="Column8214"/>
    <tableColumn id="8220" xr3:uid="{42A67F40-A0A2-42FC-A086-5150431FF690}" name="Column8215"/>
    <tableColumn id="8221" xr3:uid="{2AA7AD05-71C9-4FEC-B2F7-00343EC166F0}" name="Column8216"/>
    <tableColumn id="8222" xr3:uid="{99ED7011-164B-4E24-87B7-54F05E3676C2}" name="Column8217"/>
    <tableColumn id="8223" xr3:uid="{C7B9F001-BACA-497A-B350-4F2DA62C637F}" name="Column8218"/>
    <tableColumn id="8224" xr3:uid="{68407A9F-E76C-4236-9E53-6C0EDAA91D5D}" name="Column8219"/>
    <tableColumn id="8225" xr3:uid="{766B95D5-A02B-45FD-B0FE-E1D7D276A609}" name="Column8220"/>
    <tableColumn id="8226" xr3:uid="{0D3C613B-75C7-4623-951D-ED872F00884F}" name="Column8221"/>
    <tableColumn id="8227" xr3:uid="{78D99442-F07D-42C7-990C-C896CCC5B201}" name="Column8222"/>
    <tableColumn id="8228" xr3:uid="{FFEE6C70-989B-4582-B389-B1F796BD19F7}" name="Column8223"/>
    <tableColumn id="8229" xr3:uid="{63FC1A69-AEB3-4063-A12D-3359ED139781}" name="Column8224"/>
    <tableColumn id="8230" xr3:uid="{C5644C64-87B6-4DBB-8490-743675B5E03B}" name="Column8225"/>
    <tableColumn id="8231" xr3:uid="{8D9E4639-170F-4EEF-83AC-3DCC7F24A12F}" name="Column8226"/>
    <tableColumn id="8232" xr3:uid="{58865C1E-CA3F-4CC3-BD4F-B394A8D07599}" name="Column8227"/>
    <tableColumn id="8233" xr3:uid="{616364E1-1168-4005-9F5D-B644D814DA17}" name="Column8228"/>
    <tableColumn id="8234" xr3:uid="{7F9855EB-CB2D-4E4D-92B7-98201BB0307F}" name="Column8229"/>
    <tableColumn id="8235" xr3:uid="{FA76D6AC-E50C-4FD1-AF51-CFEB4D8CB1B8}" name="Column8230"/>
    <tableColumn id="8236" xr3:uid="{98D33AB3-D13D-419C-BA88-FCC4343A21B8}" name="Column8231"/>
    <tableColumn id="8237" xr3:uid="{5BA17B9F-E67F-4B7F-A603-F23125583B16}" name="Column8232"/>
    <tableColumn id="8238" xr3:uid="{3228B5C8-ED55-40CF-991E-08A131AB57F1}" name="Column8233"/>
    <tableColumn id="8239" xr3:uid="{305BB9FC-CC9D-4228-8230-3219BFB25B74}" name="Column8234"/>
    <tableColumn id="8240" xr3:uid="{DE97BFB7-7BD9-4D10-8E41-F9E1369C61F9}" name="Column8235"/>
    <tableColumn id="8241" xr3:uid="{1CDB69F4-4794-4DE3-A783-95214CFF874D}" name="Column8236"/>
    <tableColumn id="8242" xr3:uid="{B0601319-5EFB-4E94-8971-528DB2C7A747}" name="Column8237"/>
    <tableColumn id="8243" xr3:uid="{6C5CE113-B8CC-415F-A7F2-82A07E318BC5}" name="Column8238"/>
    <tableColumn id="8244" xr3:uid="{01A2D1A2-1277-453B-873A-DE194EAD57A8}" name="Column8239"/>
    <tableColumn id="8245" xr3:uid="{C6833C62-DADB-4A27-8713-6415A2768F49}" name="Column8240"/>
    <tableColumn id="8246" xr3:uid="{7EBBD28F-0D12-4713-81E9-AB4DF6326744}" name="Column8241"/>
    <tableColumn id="8247" xr3:uid="{636FB9A2-2F4C-4EBA-8A40-080CF7458D67}" name="Column8242"/>
    <tableColumn id="8248" xr3:uid="{EC9B8597-8B50-43DC-989F-39E536C8B970}" name="Column8243"/>
    <tableColumn id="8249" xr3:uid="{C0F5CB4C-BA0B-450B-9EC2-4BCE63EC03CC}" name="Column8244"/>
    <tableColumn id="8250" xr3:uid="{969263E8-7219-4A7C-AB78-3B51AC9F4123}" name="Column8245"/>
    <tableColumn id="8251" xr3:uid="{4E70CA14-AB49-488B-BDA9-3544222B7577}" name="Column8246"/>
    <tableColumn id="8252" xr3:uid="{B838917F-8BEB-4EC0-99EC-0F7FCEA87296}" name="Column8247"/>
    <tableColumn id="8253" xr3:uid="{1239BE9E-B9DC-48C6-806E-58B85FCB77DB}" name="Column8248"/>
    <tableColumn id="8254" xr3:uid="{6C14693F-5823-4071-8FC0-1573D59DB9E5}" name="Column8249"/>
    <tableColumn id="8255" xr3:uid="{377CC174-743E-45EF-8FCA-9E7988CBE8F3}" name="Column8250"/>
    <tableColumn id="8256" xr3:uid="{000A4734-06AF-4286-9506-E48C0ADF550A}" name="Column8251"/>
    <tableColumn id="8257" xr3:uid="{7DA9789C-93A5-4FFE-B37D-63FCE12ADD54}" name="Column8252"/>
    <tableColumn id="8258" xr3:uid="{01BBD369-AFD3-4205-B983-9959BDEA58AD}" name="Column8253"/>
    <tableColumn id="8259" xr3:uid="{AA71EBD3-BAB1-44F9-918B-1D52E1B3E236}" name="Column8254"/>
    <tableColumn id="8260" xr3:uid="{78404EB7-A405-4B85-AF4D-86FA5F2C5EC8}" name="Column8255"/>
    <tableColumn id="8261" xr3:uid="{3543F9DC-B50B-4B4E-BE66-EE502BE51B53}" name="Column8256"/>
    <tableColumn id="8262" xr3:uid="{6FEDFB58-1E93-40A7-8A77-B137115D71E1}" name="Column8257"/>
    <tableColumn id="8263" xr3:uid="{CBB62F34-4A4E-47A8-995C-14257407F21B}" name="Column8258"/>
    <tableColumn id="8264" xr3:uid="{A3D0D699-D701-4486-B380-1179BA0526F7}" name="Column8259"/>
    <tableColumn id="8265" xr3:uid="{75A687CD-8E54-4C01-B8CC-DE06A0F39314}" name="Column8260"/>
    <tableColumn id="8266" xr3:uid="{0159A9A1-EBB0-4E8E-8BBE-D67B332661CD}" name="Column8261"/>
    <tableColumn id="8267" xr3:uid="{1FD6BB96-5A10-4B46-B020-9790CCF7FF36}" name="Column8262"/>
    <tableColumn id="8268" xr3:uid="{F046E7B3-30F2-4C84-87A0-5AD32B8F7286}" name="Column8263"/>
    <tableColumn id="8269" xr3:uid="{5394F40B-3E51-4291-9B2B-DA444F7A36FC}" name="Column8264"/>
    <tableColumn id="8270" xr3:uid="{7660DAAC-C1D7-48CE-8260-99D5AAB1BF25}" name="Column8265"/>
    <tableColumn id="8271" xr3:uid="{6DC89FD7-E42D-404A-B09F-5BAB2C2B9ECC}" name="Column8266"/>
    <tableColumn id="8272" xr3:uid="{70238DA6-5AD7-4ED7-AB7B-503260FA9F73}" name="Column8267"/>
    <tableColumn id="8273" xr3:uid="{318DC31B-B30E-4DE8-9E6B-B0FB5C1AAEDC}" name="Column8268"/>
    <tableColumn id="8274" xr3:uid="{D8FE3E72-EFB0-466C-A0A9-969634E26B66}" name="Column8269"/>
    <tableColumn id="8275" xr3:uid="{EE33A45E-6F81-4864-B625-DFA1BD25D010}" name="Column8270"/>
    <tableColumn id="8276" xr3:uid="{3B094E0B-1018-4B53-B215-B0343DBF2451}" name="Column8271"/>
    <tableColumn id="8277" xr3:uid="{E93FCB65-5648-473F-A7FB-A97768173411}" name="Column8272"/>
    <tableColumn id="8278" xr3:uid="{653189CE-B83B-41CA-A59C-3C28C4284FB7}" name="Column8273"/>
    <tableColumn id="8279" xr3:uid="{F46E64E7-BA4C-4B4A-A65D-E0D0EDBA3390}" name="Column8274"/>
    <tableColumn id="8280" xr3:uid="{35239BC7-ABF9-4A06-8583-110C761B61C5}" name="Column8275"/>
    <tableColumn id="8281" xr3:uid="{8402D723-F81D-4B07-AB2C-7B281670FCCE}" name="Column8276"/>
    <tableColumn id="8282" xr3:uid="{65442DD0-1CEF-4626-9520-B5FB8ADA991D}" name="Column8277"/>
    <tableColumn id="8283" xr3:uid="{1A06ABA9-6AA8-4EB7-AF8D-D9DEAD3E0EED}" name="Column8278"/>
    <tableColumn id="8284" xr3:uid="{DB96F48A-93E3-4122-8EDB-586DED429FFD}" name="Column8279"/>
    <tableColumn id="8285" xr3:uid="{0861ACA0-B816-4B9E-A97D-CAF39043CC86}" name="Column8280"/>
    <tableColumn id="8286" xr3:uid="{0AD754C6-B562-4810-BD3B-21958AB4EB00}" name="Column8281"/>
    <tableColumn id="8287" xr3:uid="{8D7267D0-6DE7-4D98-8EFB-C9F247F7B4DD}" name="Column8282"/>
    <tableColumn id="8288" xr3:uid="{CE0EB8B4-B1CC-40D4-BCE2-5BF25CC2FD9C}" name="Column8283"/>
    <tableColumn id="8289" xr3:uid="{8B2A1334-56E5-4777-8D91-76A22D92801A}" name="Column8284"/>
    <tableColumn id="8290" xr3:uid="{4DF38082-E6E2-4CED-87EF-1E23A62D03CA}" name="Column8285"/>
    <tableColumn id="8291" xr3:uid="{83199030-8D03-4014-AD96-1827AA9A381C}" name="Column8286"/>
    <tableColumn id="8292" xr3:uid="{A6600957-F5CE-4419-9A4F-03CA01265453}" name="Column8287"/>
    <tableColumn id="8293" xr3:uid="{27F7E71C-1E9D-45D7-A375-764B84FC3752}" name="Column8288"/>
    <tableColumn id="8294" xr3:uid="{2D59D016-5A38-4046-98F1-A3D165748EBD}" name="Column8289"/>
    <tableColumn id="8295" xr3:uid="{81755D9F-F850-4140-AAE3-33908A9AB87B}" name="Column8290"/>
    <tableColumn id="8296" xr3:uid="{1267CCE4-3E3D-455A-B825-903CBCEF145E}" name="Column8291"/>
    <tableColumn id="8297" xr3:uid="{BDFE7C36-246D-4224-8A81-D29DFA8F444E}" name="Column8292"/>
    <tableColumn id="8298" xr3:uid="{B48BAD38-DBAD-4C9C-B385-BF67F1F610F5}" name="Column8293"/>
    <tableColumn id="8299" xr3:uid="{4975F340-9B2F-4008-9DA8-6959FB223D77}" name="Column8294"/>
    <tableColumn id="8300" xr3:uid="{D0657859-B556-4D88-96F1-91C01FFBBA41}" name="Column8295"/>
    <tableColumn id="8301" xr3:uid="{E8A1FED0-D5FC-42AD-ADC4-34299AB93182}" name="Column8296"/>
    <tableColumn id="8302" xr3:uid="{15378EF4-3632-45C6-A0D7-D1021FB91999}" name="Column8297"/>
    <tableColumn id="8303" xr3:uid="{AFD7F71E-411E-49BD-AF1E-755B3E826BD9}" name="Column8298"/>
    <tableColumn id="8304" xr3:uid="{DC1837B3-1018-414A-A455-8B57098CB4B2}" name="Column8299"/>
    <tableColumn id="8305" xr3:uid="{63CC4617-6A81-433B-B163-8454A8B330AE}" name="Column8300"/>
    <tableColumn id="8306" xr3:uid="{C6FF3E15-6E0C-4924-B799-E5A2FB4F3D7C}" name="Column8301"/>
    <tableColumn id="8307" xr3:uid="{C2B36A90-3B89-4DC0-8768-55F4E82DF945}" name="Column8302"/>
    <tableColumn id="8308" xr3:uid="{66EEB302-B1DD-43C5-9430-FE77402D5DBD}" name="Column8303"/>
    <tableColumn id="8309" xr3:uid="{329E0408-4CAA-43AB-BB2F-AC6B0FCAEA34}" name="Column8304"/>
    <tableColumn id="8310" xr3:uid="{AECE253F-26D7-484B-9F3F-B07FD4644752}" name="Column8305"/>
    <tableColumn id="8311" xr3:uid="{ACD4DDF7-36AB-449C-ADE5-E8133593DFF3}" name="Column8306"/>
    <tableColumn id="8312" xr3:uid="{D4368D37-BC51-459A-8725-BEBDF6C9A243}" name="Column8307"/>
    <tableColumn id="8313" xr3:uid="{0C0482A1-D19E-40CA-9FDD-B27A0F888953}" name="Column8308"/>
    <tableColumn id="8314" xr3:uid="{0744BE56-3078-4295-97AB-D7ED554049E4}" name="Column8309"/>
    <tableColumn id="8315" xr3:uid="{A39D9B18-D049-497F-A33B-F8E63FBC179F}" name="Column8310"/>
    <tableColumn id="8316" xr3:uid="{3F5D481A-6D2D-40CF-8F1B-6E99BC9C71B5}" name="Column8311"/>
    <tableColumn id="8317" xr3:uid="{450AB63A-23ED-45A2-8DB3-158F28B5BBAD}" name="Column8312"/>
    <tableColumn id="8318" xr3:uid="{1A12AEE3-6E9D-471B-876F-D1DE549BFE09}" name="Column8313"/>
    <tableColumn id="8319" xr3:uid="{25511940-9928-4DE5-84E0-D42BBA64E8DD}" name="Column8314"/>
    <tableColumn id="8320" xr3:uid="{FE731B05-54F4-497B-8569-4E28D149389A}" name="Column8315"/>
    <tableColumn id="8321" xr3:uid="{9C778875-C7A0-4582-9E85-8765A93F4077}" name="Column8316"/>
    <tableColumn id="8322" xr3:uid="{E117EFF9-B00C-409C-BE40-C687C8141CED}" name="Column8317"/>
    <tableColumn id="8323" xr3:uid="{4CCCE2FF-99A5-4FF5-A2DB-B06221AD0610}" name="Column8318"/>
    <tableColumn id="8324" xr3:uid="{0D92EFF4-F91B-4724-89FB-BE2E4480D69B}" name="Column8319"/>
    <tableColumn id="8325" xr3:uid="{E7C6125B-B037-47A7-9548-DF77146F3F61}" name="Column8320"/>
    <tableColumn id="8326" xr3:uid="{4F9E3D7C-064D-44FF-9EC4-4EC0AA360A07}" name="Column8321"/>
    <tableColumn id="8327" xr3:uid="{22096484-3873-42DE-9112-017AD6FFB7FB}" name="Column8322"/>
    <tableColumn id="8328" xr3:uid="{A0BB7893-9271-41FA-A4DD-8A4B253BADEF}" name="Column8323"/>
    <tableColumn id="8329" xr3:uid="{D29D5390-20AC-4DC5-9D12-D391A0E48E07}" name="Column8324"/>
    <tableColumn id="8330" xr3:uid="{E5F2E87F-5944-403E-86A8-8AF40BB153A5}" name="Column8325"/>
    <tableColumn id="8331" xr3:uid="{02642C56-6E2B-45D3-AE04-CA51A7B7F5CF}" name="Column8326"/>
    <tableColumn id="8332" xr3:uid="{ABEAA669-0D76-46D8-AACE-4794DC68F3D0}" name="Column8327"/>
    <tableColumn id="8333" xr3:uid="{92F98DAE-97BA-4AF9-9CC9-0C53A8EEC2F3}" name="Column8328"/>
    <tableColumn id="8334" xr3:uid="{95D570A5-416E-4F10-8C3D-98ECF0185C60}" name="Column8329"/>
    <tableColumn id="8335" xr3:uid="{F7F6F973-2306-4774-A19F-C0F02F2C6BDD}" name="Column8330"/>
    <tableColumn id="8336" xr3:uid="{C76AC431-0CC2-4B5D-8A81-F3D5C486CB4C}" name="Column8331"/>
    <tableColumn id="8337" xr3:uid="{079EE69A-DE2D-4AAE-8940-FCBB00680BFF}" name="Column8332"/>
    <tableColumn id="8338" xr3:uid="{E2B008F9-D5C4-4F63-9D41-C5736E1C352A}" name="Column8333"/>
    <tableColumn id="8339" xr3:uid="{CACAB1BA-23C5-4B4B-BA47-98F5289885B2}" name="Column8334"/>
    <tableColumn id="8340" xr3:uid="{8B3E85E1-D374-46C5-A4B7-BD983A1726A8}" name="Column8335"/>
    <tableColumn id="8341" xr3:uid="{540528C0-3D1D-49DF-A77D-AAA75A31EFF5}" name="Column8336"/>
    <tableColumn id="8342" xr3:uid="{C58494E6-8685-49EE-8323-875E76453967}" name="Column8337"/>
    <tableColumn id="8343" xr3:uid="{418CC447-6FE1-4F3A-86EB-44B4CD9F5217}" name="Column8338"/>
    <tableColumn id="8344" xr3:uid="{B8536414-7B2D-4448-9AD4-C87D60467CD1}" name="Column8339"/>
    <tableColumn id="8345" xr3:uid="{4E1385BA-7C73-42EC-8781-84284B3A6D55}" name="Column8340"/>
    <tableColumn id="8346" xr3:uid="{D9C957D3-3F2C-4045-8710-D496196D4D75}" name="Column8341"/>
    <tableColumn id="8347" xr3:uid="{6D2DECBE-2908-4395-B71C-66F78CB80D5B}" name="Column8342"/>
    <tableColumn id="8348" xr3:uid="{9CD9EB9F-8E1A-4C40-A016-9AA77F37F25C}" name="Column8343"/>
    <tableColumn id="8349" xr3:uid="{E71915DC-CD54-4337-90FE-3EDF6895FBB6}" name="Column8344"/>
    <tableColumn id="8350" xr3:uid="{4C462E54-37CB-4DC2-B82C-2FA08FF3229C}" name="Column8345"/>
    <tableColumn id="8351" xr3:uid="{F60F4F29-7A4A-40FC-BA00-3F443F0DD96E}" name="Column8346"/>
    <tableColumn id="8352" xr3:uid="{167BDF11-CF15-4704-AD84-902073EA1ED0}" name="Column8347"/>
    <tableColumn id="8353" xr3:uid="{8CBA58B5-64D9-4DDA-BBCB-32D226C48C6C}" name="Column8348"/>
    <tableColumn id="8354" xr3:uid="{1F0EB452-0BFB-4713-9202-2BD3C87360FB}" name="Column8349"/>
    <tableColumn id="8355" xr3:uid="{1B20D812-F791-4E46-80A8-2440C39A77F4}" name="Column8350"/>
    <tableColumn id="8356" xr3:uid="{BEE19F53-C43F-41FA-A662-F13141886C61}" name="Column8351"/>
    <tableColumn id="8357" xr3:uid="{29E6D6B0-0B8C-4A37-9AAB-0BF98C1B5F7D}" name="Column8352"/>
    <tableColumn id="8358" xr3:uid="{9844A9D2-C404-47A2-AF4E-18E4C46065BB}" name="Column8353"/>
    <tableColumn id="8359" xr3:uid="{8C7141C6-4637-44EE-A1F3-6C81052FDC15}" name="Column8354"/>
    <tableColumn id="8360" xr3:uid="{10DD3C5F-33DA-45CA-88D2-DDF25CF2B3A7}" name="Column8355"/>
    <tableColumn id="8361" xr3:uid="{B57F317F-4CF0-482D-8445-E0923BCC9889}" name="Column8356"/>
    <tableColumn id="8362" xr3:uid="{A32BAC89-22A8-4EA1-8262-C0B312F5DC3B}" name="Column8357"/>
    <tableColumn id="8363" xr3:uid="{5C78408E-6554-4A58-84B1-EE9B4FD1F996}" name="Column8358"/>
    <tableColumn id="8364" xr3:uid="{3CBF15D3-D7A2-4B03-B37C-79DB46CAC180}" name="Column8359"/>
    <tableColumn id="8365" xr3:uid="{CA5154C1-AC5F-40E9-BBEA-77EE59306C82}" name="Column8360"/>
    <tableColumn id="8366" xr3:uid="{5139CB4A-6389-45C4-8F97-07397E38C0BF}" name="Column8361"/>
    <tableColumn id="8367" xr3:uid="{465D505C-5CC1-41E1-821A-46BD4F4CF9F4}" name="Column8362"/>
    <tableColumn id="8368" xr3:uid="{E9A8EBA0-019F-4C42-A4D8-16B18F32C27C}" name="Column8363"/>
    <tableColumn id="8369" xr3:uid="{FA88FB27-0DAC-4568-8539-B27D5819AB3A}" name="Column8364"/>
    <tableColumn id="8370" xr3:uid="{D913C5CF-91F0-411C-A093-92717498B6B1}" name="Column8365"/>
    <tableColumn id="8371" xr3:uid="{E99C7425-FF90-4387-A5CF-4EFDC5DA0D4F}" name="Column8366"/>
    <tableColumn id="8372" xr3:uid="{FB9A95ED-3DB0-4D01-A4C3-7A2BC30DC594}" name="Column8367"/>
    <tableColumn id="8373" xr3:uid="{8DEF3998-4AF2-45F8-8FD7-5E780A889CF5}" name="Column8368"/>
    <tableColumn id="8374" xr3:uid="{5D1799BB-6EB1-44A2-B970-EC4D0EBFCE5B}" name="Column8369"/>
    <tableColumn id="8375" xr3:uid="{813959C7-8F82-4EA8-8342-E5CAFD9040EE}" name="Column8370"/>
    <tableColumn id="8376" xr3:uid="{BD436096-06D4-4206-BF7D-E9C994B12A1C}" name="Column8371"/>
    <tableColumn id="8377" xr3:uid="{9EF74ACB-5AA2-48B6-BFD9-AB85B011127E}" name="Column8372"/>
    <tableColumn id="8378" xr3:uid="{17EB06B3-666D-4AB2-82C5-5181CE371492}" name="Column8373"/>
    <tableColumn id="8379" xr3:uid="{B3DF8E27-CFD7-4C76-92D1-21E93DEECFFB}" name="Column8374"/>
    <tableColumn id="8380" xr3:uid="{18AD83C6-8EDE-465D-A046-0CA4186FA53C}" name="Column8375"/>
    <tableColumn id="8381" xr3:uid="{3E480776-B836-493F-944B-1426C8403E22}" name="Column8376"/>
    <tableColumn id="8382" xr3:uid="{A49DD7C8-E8FC-44A1-8051-637809B4F94F}" name="Column8377"/>
    <tableColumn id="8383" xr3:uid="{494E06B4-F2B8-4418-919A-765B79205309}" name="Column8378"/>
    <tableColumn id="8384" xr3:uid="{944F4161-293D-4366-B63D-7D463C26E2F3}" name="Column8379"/>
    <tableColumn id="8385" xr3:uid="{C65D7E11-7729-494B-A1A6-00150046C968}" name="Column8380"/>
    <tableColumn id="8386" xr3:uid="{AC9E0199-DD7A-42BE-82AD-9037CCD2CE6E}" name="Column8381"/>
    <tableColumn id="8387" xr3:uid="{E7DBE4A3-F36E-4CAB-9ABE-4C999CCBADBC}" name="Column8382"/>
    <tableColumn id="8388" xr3:uid="{AFCB9941-CB64-4D87-A843-7F2D7E105DFA}" name="Column8383"/>
    <tableColumn id="8389" xr3:uid="{0007E535-B726-47A3-AB86-BA15E4A8358E}" name="Column8384"/>
    <tableColumn id="8390" xr3:uid="{8CD194E6-3E8F-4475-8B5A-3AD15AD10A9B}" name="Column8385"/>
    <tableColumn id="8391" xr3:uid="{2AEB7BE3-F7FA-47F7-AC85-B5AF4573D8F3}" name="Column8386"/>
    <tableColumn id="8392" xr3:uid="{4857683D-3495-4CC7-96EA-857233015009}" name="Column8387"/>
    <tableColumn id="8393" xr3:uid="{53E227E9-20EB-4908-8019-CBF03C628875}" name="Column8388"/>
    <tableColumn id="8394" xr3:uid="{20D8DC1B-B055-49A0-9A0F-DA2D6F7637EC}" name="Column8389"/>
    <tableColumn id="8395" xr3:uid="{972E9EA4-A43C-4234-A7E8-BA921960DB75}" name="Column8390"/>
    <tableColumn id="8396" xr3:uid="{B8931D0D-649E-45AC-A9BA-8911E38DF7B8}" name="Column8391"/>
    <tableColumn id="8397" xr3:uid="{4D1ECD40-1007-43A7-9AD0-1F47004C92D9}" name="Column8392"/>
    <tableColumn id="8398" xr3:uid="{5764D29C-B2FE-4F1E-8102-134E5F910D36}" name="Column8393"/>
    <tableColumn id="8399" xr3:uid="{34F1E419-0048-4480-A618-8840FBF43C42}" name="Column8394"/>
    <tableColumn id="8400" xr3:uid="{11053E9F-DC96-487A-ABA0-C2B95B165CF9}" name="Column8395"/>
    <tableColumn id="8401" xr3:uid="{630CB205-B023-4781-A269-CC4BB421519F}" name="Column8396"/>
    <tableColumn id="8402" xr3:uid="{3B6BE210-4A2C-4EE2-9ECD-AEDDEEA15C20}" name="Column8397"/>
    <tableColumn id="8403" xr3:uid="{F43B30E7-0012-4C7D-96C6-F517A34A8386}" name="Column8398"/>
    <tableColumn id="8404" xr3:uid="{8083E053-7685-40E0-9809-E9982B97EBC9}" name="Column8399"/>
    <tableColumn id="8405" xr3:uid="{8E74E1B9-3FE8-44ED-A3AE-2767C8BA9DE4}" name="Column8400"/>
    <tableColumn id="8406" xr3:uid="{46E83233-7726-496B-8243-E134CBDD0523}" name="Column8401"/>
    <tableColumn id="8407" xr3:uid="{5BE99881-A759-4A42-977B-775C8676C0BC}" name="Column8402"/>
    <tableColumn id="8408" xr3:uid="{0CC01A5C-337E-403F-97D9-EA3043590F03}" name="Column8403"/>
    <tableColumn id="8409" xr3:uid="{D3E7CD0D-8FAD-45EE-A44E-0C780CD600BE}" name="Column8404"/>
    <tableColumn id="8410" xr3:uid="{1A99EF56-4230-49AD-9132-36E5AB170FDE}" name="Column8405"/>
    <tableColumn id="8411" xr3:uid="{0BD0F115-0C3A-42F0-89F4-B7D0E95F6077}" name="Column8406"/>
    <tableColumn id="8412" xr3:uid="{5E92A79C-0E7B-4038-BE55-062F2604694D}" name="Column8407"/>
    <tableColumn id="8413" xr3:uid="{69D6349B-FB6C-48C0-8649-651F4F96453E}" name="Column8408"/>
    <tableColumn id="8414" xr3:uid="{E8E88362-8B72-4A85-B711-BE129410A992}" name="Column8409"/>
    <tableColumn id="8415" xr3:uid="{EB855F6D-B5D3-4516-912C-F79187444EEF}" name="Column8410"/>
    <tableColumn id="8416" xr3:uid="{FDD29D1E-1DB9-47AF-BCE4-963EB4C518E7}" name="Column8411"/>
    <tableColumn id="8417" xr3:uid="{7A8590E6-F100-4303-A382-087476DD44AB}" name="Column8412"/>
    <tableColumn id="8418" xr3:uid="{BB5FA26A-A416-400A-9EA6-B19077552AEE}" name="Column8413"/>
    <tableColumn id="8419" xr3:uid="{5CA2E6D1-E0EB-40B4-80DE-F69C77E8D590}" name="Column8414"/>
    <tableColumn id="8420" xr3:uid="{DC0B8432-5321-4DBC-83AD-0424346C3665}" name="Column8415"/>
    <tableColumn id="8421" xr3:uid="{30079F6C-00C6-42D4-B3E8-F3807628EAA8}" name="Column8416"/>
    <tableColumn id="8422" xr3:uid="{29BA7667-075F-4038-B76C-06CAC0237F1E}" name="Column8417"/>
    <tableColumn id="8423" xr3:uid="{70B79B2E-E55E-489A-8587-E78B623BC787}" name="Column8418"/>
    <tableColumn id="8424" xr3:uid="{38B4259B-CCEF-405B-84C5-3E11A1CD7900}" name="Column8419"/>
    <tableColumn id="8425" xr3:uid="{1250F422-84A5-4D6C-9E63-BB517C66CE68}" name="Column8420"/>
    <tableColumn id="8426" xr3:uid="{FD61D1F1-4E54-4A69-8332-7F1B60A61BEB}" name="Column8421"/>
    <tableColumn id="8427" xr3:uid="{A1444BB9-5663-4291-BB2D-405FBDABAD88}" name="Column8422"/>
    <tableColumn id="8428" xr3:uid="{3C656784-505A-432E-B58B-74766A7B0F4A}" name="Column8423"/>
    <tableColumn id="8429" xr3:uid="{4201B0AC-46D7-4D92-B652-DEC2157BBA95}" name="Column8424"/>
    <tableColumn id="8430" xr3:uid="{BE83817D-E00C-4D88-9CF3-63B0B8EE95EE}" name="Column8425"/>
    <tableColumn id="8431" xr3:uid="{E63DFFD1-C621-426F-B1B7-39D607CC7783}" name="Column8426"/>
    <tableColumn id="8432" xr3:uid="{43966003-5A53-4A84-ACF9-061E596C357F}" name="Column8427"/>
    <tableColumn id="8433" xr3:uid="{196EEA64-FE61-4A00-9559-AC4702456658}" name="Column8428"/>
    <tableColumn id="8434" xr3:uid="{134AD47B-B183-403B-BFAB-CDA7344124D0}" name="Column8429"/>
    <tableColumn id="8435" xr3:uid="{A37FB30D-611F-412F-BFC8-A07A1F9DCB56}" name="Column8430"/>
    <tableColumn id="8436" xr3:uid="{6504D98E-320E-4C1A-9E02-5EEF3CC8C206}" name="Column8431"/>
    <tableColumn id="8437" xr3:uid="{093DE175-6F68-4B17-A249-E1336FB2BE38}" name="Column8432"/>
    <tableColumn id="8438" xr3:uid="{2DE7E261-6C5A-48D8-924F-781266562D61}" name="Column8433"/>
    <tableColumn id="8439" xr3:uid="{AD88688F-6CEE-4133-94BB-898FAD5E2591}" name="Column8434"/>
    <tableColumn id="8440" xr3:uid="{99B62AAF-AD89-4FE4-905A-32FA8781704A}" name="Column8435"/>
    <tableColumn id="8441" xr3:uid="{43AFC183-B650-4871-966E-EDC55E162B87}" name="Column8436"/>
    <tableColumn id="8442" xr3:uid="{A54B0006-F0E1-4679-BCA6-2CCACB8BB722}" name="Column8437"/>
    <tableColumn id="8443" xr3:uid="{D9C46684-F259-485E-96A9-1CFAA6A827BB}" name="Column8438"/>
    <tableColumn id="8444" xr3:uid="{1D217981-C356-433E-9FF4-2CF51B848154}" name="Column8439"/>
    <tableColumn id="8445" xr3:uid="{02B84F8E-A552-4AEE-A431-FFFEE191B0CE}" name="Column8440"/>
    <tableColumn id="8446" xr3:uid="{AC16FC33-527C-4F4F-81E3-5C956B6852A1}" name="Column8441"/>
    <tableColumn id="8447" xr3:uid="{804702D7-22FF-4321-90CF-1F8B5E2EC1D4}" name="Column8442"/>
    <tableColumn id="8448" xr3:uid="{F5519619-0F4F-4C91-8BB4-0F858ACD0CC7}" name="Column8443"/>
    <tableColumn id="8449" xr3:uid="{34923848-B0CC-4D45-9EC3-15763A9D5D5B}" name="Column8444"/>
    <tableColumn id="8450" xr3:uid="{DFC89FAF-B298-46C8-A0AD-0C173E49E2ED}" name="Column8445"/>
    <tableColumn id="8451" xr3:uid="{7B197207-BE0F-4EEC-B6F9-7DC11085A200}" name="Column8446"/>
    <tableColumn id="8452" xr3:uid="{1066A0A3-FD44-4A83-8B9E-945FA9DC3C69}" name="Column8447"/>
    <tableColumn id="8453" xr3:uid="{5DF619E8-3E0E-436B-B819-20BA311F7A20}" name="Column8448"/>
    <tableColumn id="8454" xr3:uid="{8917BBD4-D350-4D62-ADA5-D0E858200BB4}" name="Column8449"/>
    <tableColumn id="8455" xr3:uid="{63CB5C47-ED7A-41A0-8762-00122D938C04}" name="Column8450"/>
    <tableColumn id="8456" xr3:uid="{B2928E28-AAC3-44BD-8304-3E88ACACB460}" name="Column8451"/>
    <tableColumn id="8457" xr3:uid="{5D70DD27-2960-44B3-8E35-29C929AB8336}" name="Column8452"/>
    <tableColumn id="8458" xr3:uid="{62F36C9E-C75D-4000-B221-BEB7B8B4A7AD}" name="Column8453"/>
    <tableColumn id="8459" xr3:uid="{D7DC421F-7023-46F2-BFE0-63D2DF935ACC}" name="Column8454"/>
    <tableColumn id="8460" xr3:uid="{5930BE72-6257-4C55-88A7-1679D261E267}" name="Column8455"/>
    <tableColumn id="8461" xr3:uid="{58124035-A4DF-4D44-B6F9-5261A341DF6A}" name="Column8456"/>
    <tableColumn id="8462" xr3:uid="{FE577F6B-D2C6-4CEF-B8F9-BAAD71C4BF17}" name="Column8457"/>
    <tableColumn id="8463" xr3:uid="{397A24E1-9429-4417-A19C-33BAD71AF51D}" name="Column8458"/>
    <tableColumn id="8464" xr3:uid="{C6EE1EA0-F84D-4B33-8A76-AAA0DD0D8796}" name="Column8459"/>
    <tableColumn id="8465" xr3:uid="{A2D6CB62-5457-480B-A3A0-7377752B9C3F}" name="Column8460"/>
    <tableColumn id="8466" xr3:uid="{BCCD5DBC-4A50-488F-98D6-703AE5D2C04A}" name="Column8461"/>
    <tableColumn id="8467" xr3:uid="{B80ADABC-C2FA-486E-9291-594C9ABB3821}" name="Column8462"/>
    <tableColumn id="8468" xr3:uid="{E003333B-7EA6-4AD0-BA71-4A5F077150F4}" name="Column8463"/>
    <tableColumn id="8469" xr3:uid="{AEA6DECE-96AD-4256-83E8-E57D1E0942C7}" name="Column8464"/>
    <tableColumn id="8470" xr3:uid="{F7EA4C14-3852-4899-A2F8-68CDB5F7623E}" name="Column8465"/>
    <tableColumn id="8471" xr3:uid="{AB9CA75D-6FA1-437E-8DF2-5FBAC1FEC231}" name="Column8466"/>
    <tableColumn id="8472" xr3:uid="{220D88F1-219B-48AD-9991-13DD282F55E9}" name="Column8467"/>
    <tableColumn id="8473" xr3:uid="{B781B6C5-84FE-4E79-AEDA-348160BDEAFA}" name="Column8468"/>
    <tableColumn id="8474" xr3:uid="{9D1A6E5D-BE7C-4151-84DE-9093BA667B7F}" name="Column8469"/>
    <tableColumn id="8475" xr3:uid="{F785CD50-8AC0-4E98-9922-515E8D29E83C}" name="Column8470"/>
    <tableColumn id="8476" xr3:uid="{41D15606-F2EC-4DEA-86A0-6AEE15704A17}" name="Column8471"/>
    <tableColumn id="8477" xr3:uid="{9DEE1872-342C-401F-AC23-5514F8AE0DB2}" name="Column8472"/>
    <tableColumn id="8478" xr3:uid="{5F6F1F82-4D11-4078-93D1-9B060931F706}" name="Column8473"/>
    <tableColumn id="8479" xr3:uid="{8FA54CC2-F856-4704-81DD-A08DDC5240E3}" name="Column8474"/>
    <tableColumn id="8480" xr3:uid="{05B925E6-9C78-4E64-84D9-B61AC2B2C493}" name="Column8475"/>
    <tableColumn id="8481" xr3:uid="{37F078A0-F43E-4D0C-B0F2-5248B991EC48}" name="Column8476"/>
    <tableColumn id="8482" xr3:uid="{DD7328E8-BC15-47FE-A41D-479E344015BC}" name="Column8477"/>
    <tableColumn id="8483" xr3:uid="{61AC7C3D-2CD6-4177-A69A-B93C75EA310D}" name="Column8478"/>
    <tableColumn id="8484" xr3:uid="{D0C4B4D4-15FA-460D-9C7B-32E191D66E40}" name="Column8479"/>
    <tableColumn id="8485" xr3:uid="{A48F14E7-F3C5-4B73-A0BB-66645DB1FA0D}" name="Column8480"/>
    <tableColumn id="8486" xr3:uid="{D3AA7E48-4828-40E1-B2EF-B16D54311546}" name="Column8481"/>
    <tableColumn id="8487" xr3:uid="{DA409309-0F3B-418E-B717-2D472DD16394}" name="Column8482"/>
    <tableColumn id="8488" xr3:uid="{B44BDDB7-25EA-4553-A2D0-BE9797D7778C}" name="Column8483"/>
    <tableColumn id="8489" xr3:uid="{623DC242-8AFA-4979-85BA-B0760EE0C0BF}" name="Column8484"/>
    <tableColumn id="8490" xr3:uid="{C5B33CE3-39B1-4D59-A653-FE6214ED4508}" name="Column8485"/>
    <tableColumn id="8491" xr3:uid="{7BA5D0A4-8D27-4A54-AEA9-C5BD6B00D52E}" name="Column8486"/>
    <tableColumn id="8492" xr3:uid="{2B0E47AE-839E-42E9-AF92-F59E523A01B5}" name="Column8487"/>
    <tableColumn id="8493" xr3:uid="{F0937D01-2D96-48EC-A054-440ED7B058BB}" name="Column8488"/>
    <tableColumn id="8494" xr3:uid="{5B775329-D530-4FDE-BAED-3058EDD213CF}" name="Column8489"/>
    <tableColumn id="8495" xr3:uid="{23063ED0-50CC-4B01-879B-AB67B41E59C6}" name="Column8490"/>
    <tableColumn id="8496" xr3:uid="{BD8B6DF8-6DFF-4BD9-85F6-A2E82BF4397F}" name="Column8491"/>
    <tableColumn id="8497" xr3:uid="{B1384453-6D38-42F0-92FF-95790CFC7334}" name="Column8492"/>
    <tableColumn id="8498" xr3:uid="{3CAB4C6B-2BBF-40D7-85E4-39D8083F70A3}" name="Column8493"/>
    <tableColumn id="8499" xr3:uid="{203BD562-4293-4B35-AF76-CEEB44A32214}" name="Column8494"/>
    <tableColumn id="8500" xr3:uid="{22F92042-BF0C-427D-8160-4DC82E1F4CB7}" name="Column8495"/>
    <tableColumn id="8501" xr3:uid="{51A0269A-7561-4FC2-8289-FF73B66DCB90}" name="Column8496"/>
    <tableColumn id="8502" xr3:uid="{C4BC8596-9C4F-4CE0-BE9B-FEDF481F7C31}" name="Column8497"/>
    <tableColumn id="8503" xr3:uid="{A5AC57DA-FC1A-4073-B281-A0C672675D91}" name="Column8498"/>
    <tableColumn id="8504" xr3:uid="{D355DF1E-0775-49FC-A34B-6E09F21F5A71}" name="Column8499"/>
    <tableColumn id="8505" xr3:uid="{6318C637-C15D-4372-BE69-8BF642021D68}" name="Column8500"/>
    <tableColumn id="8506" xr3:uid="{F35B413F-377B-4B13-82BE-C0D59957D9E5}" name="Column8501"/>
    <tableColumn id="8507" xr3:uid="{7D0BDC8B-8E47-4C0A-9240-189531844BFD}" name="Column8502"/>
    <tableColumn id="8508" xr3:uid="{8FCD043F-A9D4-4B89-BFEA-EFDB902BD2A6}" name="Column8503"/>
    <tableColumn id="8509" xr3:uid="{B61F74E9-D1D9-4840-BD59-2440DD5B8146}" name="Column8504"/>
    <tableColumn id="8510" xr3:uid="{D2ACB1A7-520C-49F4-806E-1819BD0267D9}" name="Column8505"/>
    <tableColumn id="8511" xr3:uid="{0DBEA8D3-E4FB-4AB9-B04D-F9DF2D518FF3}" name="Column8506"/>
    <tableColumn id="8512" xr3:uid="{EE7F8832-9BE4-4BA9-89BF-BDA25CD80E7D}" name="Column8507"/>
    <tableColumn id="8513" xr3:uid="{EB77F2CF-DDAA-4801-A5AB-9EC56F68202A}" name="Column8508"/>
    <tableColumn id="8514" xr3:uid="{A61C9DCA-BB03-4E47-9947-089CDE72D915}" name="Column8509"/>
    <tableColumn id="8515" xr3:uid="{979D7BE3-C344-4B4F-AFA4-B57E88248684}" name="Column8510"/>
    <tableColumn id="8516" xr3:uid="{072AF0C8-0526-4E3E-A856-891683A65A45}" name="Column8511"/>
    <tableColumn id="8517" xr3:uid="{171B5985-64C1-46CA-85D3-FDEE063252D7}" name="Column8512"/>
    <tableColumn id="8518" xr3:uid="{13865264-AD6C-4246-B0AA-FC3F011B7785}" name="Column8513"/>
    <tableColumn id="8519" xr3:uid="{56CB9D04-0345-4738-AAEC-68FBB3DB261F}" name="Column8514"/>
    <tableColumn id="8520" xr3:uid="{72B83BC0-146F-469B-A9D9-BA9B16D4BF47}" name="Column8515"/>
    <tableColumn id="8521" xr3:uid="{6946D103-EF78-4FD2-B4BF-D1A0B1E9E6AC}" name="Column8516"/>
    <tableColumn id="8522" xr3:uid="{5DDA08C0-D636-4191-AAA3-53A76AB98341}" name="Column8517"/>
    <tableColumn id="8523" xr3:uid="{8A5A396F-B22D-4E7D-96BD-1392318C3703}" name="Column8518"/>
    <tableColumn id="8524" xr3:uid="{93340897-45A3-4689-815D-10B679291B10}" name="Column8519"/>
    <tableColumn id="8525" xr3:uid="{D4270CA5-6724-4570-9A35-A6751D341C33}" name="Column8520"/>
    <tableColumn id="8526" xr3:uid="{B0586F98-0037-4796-B776-68D77277E174}" name="Column8521"/>
    <tableColumn id="8527" xr3:uid="{7CBAE76D-F587-4336-967F-4701653D43C4}" name="Column8522"/>
    <tableColumn id="8528" xr3:uid="{CA1B2879-8E23-4A7D-A36D-FD723E39D058}" name="Column8523"/>
    <tableColumn id="8529" xr3:uid="{B1F5A87B-C59E-404B-A689-B73F10D0272D}" name="Column8524"/>
    <tableColumn id="8530" xr3:uid="{38A92D60-4F95-4CC0-9CC0-74AE5779C7B7}" name="Column8525"/>
    <tableColumn id="8531" xr3:uid="{120BCE88-C109-4978-9FC6-C1BAAFEBABC7}" name="Column8526"/>
    <tableColumn id="8532" xr3:uid="{6287815C-2B1D-4A9D-98F5-53A420DDDC4C}" name="Column8527"/>
    <tableColumn id="8533" xr3:uid="{5AB3B17B-4215-43B0-B0F3-B389C1658795}" name="Column8528"/>
    <tableColumn id="8534" xr3:uid="{0366BF13-F4B0-4467-A1F0-B08A1391C0A7}" name="Column8529"/>
    <tableColumn id="8535" xr3:uid="{8E90C30C-0287-4067-A085-E3B52D98C8BD}" name="Column8530"/>
    <tableColumn id="8536" xr3:uid="{E7765F9C-1001-4243-8911-DEDE88AFC4F5}" name="Column8531"/>
    <tableColumn id="8537" xr3:uid="{9AE20F73-701D-43BD-87A8-028D468291AD}" name="Column8532"/>
    <tableColumn id="8538" xr3:uid="{9A25E46E-A258-4B49-A3B9-00AF80098DAA}" name="Column8533"/>
    <tableColumn id="8539" xr3:uid="{B44BBDE7-2F8B-4305-9F70-BCD6A058C495}" name="Column8534"/>
    <tableColumn id="8540" xr3:uid="{BABE69F0-DCCF-42C3-8A52-F7273C5D48F4}" name="Column8535"/>
    <tableColumn id="8541" xr3:uid="{B1F77BDA-0FED-4B23-AED6-94484F31E28E}" name="Column8536"/>
    <tableColumn id="8542" xr3:uid="{B2FC6FC2-D503-417E-8368-E89E2DB87A98}" name="Column8537"/>
    <tableColumn id="8543" xr3:uid="{E2C048CB-5855-4FEF-B3E8-A016E4EE8099}" name="Column8538"/>
    <tableColumn id="8544" xr3:uid="{F482F3F8-27F9-4BC7-9711-15C8CBE88166}" name="Column8539"/>
    <tableColumn id="8545" xr3:uid="{62A4D1D8-1974-4B0E-80DB-704A32E2EF41}" name="Column8540"/>
    <tableColumn id="8546" xr3:uid="{42079E98-4041-4EC7-993E-1624E1BC5E9E}" name="Column8541"/>
    <tableColumn id="8547" xr3:uid="{352F8B2F-B2F8-4FB8-81FA-A9F6165CF4F9}" name="Column8542"/>
    <tableColumn id="8548" xr3:uid="{F724BE7B-9BF9-4210-8D40-20A65CAC4F21}" name="Column8543"/>
    <tableColumn id="8549" xr3:uid="{D81E5F1B-2570-4C85-82D5-EAD21AE9723F}" name="Column8544"/>
    <tableColumn id="8550" xr3:uid="{31D49CAA-BF28-493F-AC4B-08610DF01327}" name="Column8545"/>
    <tableColumn id="8551" xr3:uid="{7833B4B9-A034-4B18-B775-05C3B47CCCA0}" name="Column8546"/>
    <tableColumn id="8552" xr3:uid="{9BE0C540-CFBE-4EE0-B252-7E4C8E519BD8}" name="Column8547"/>
    <tableColumn id="8553" xr3:uid="{996C1A88-3642-4061-824E-DD1CA0A01E56}" name="Column8548"/>
    <tableColumn id="8554" xr3:uid="{55CDD626-8250-44D4-ACAF-C0532029CA3A}" name="Column8549"/>
    <tableColumn id="8555" xr3:uid="{8464620E-EE6B-4075-B066-766600D49024}" name="Column8550"/>
    <tableColumn id="8556" xr3:uid="{EB0452F1-A5B4-40E7-B227-DBC6317DC577}" name="Column8551"/>
    <tableColumn id="8557" xr3:uid="{951CA2C9-D08D-44B2-959E-AB47564A0C7D}" name="Column8552"/>
    <tableColumn id="8558" xr3:uid="{09DA2B94-F98F-4B51-887B-51AB8F6F6A18}" name="Column8553"/>
    <tableColumn id="8559" xr3:uid="{645B70F3-1D15-4CC5-BCB2-239617D908B9}" name="Column8554"/>
    <tableColumn id="8560" xr3:uid="{D657789E-9D2A-4521-93EA-BFA50FB08739}" name="Column8555"/>
    <tableColumn id="8561" xr3:uid="{AC3DF224-61FD-483C-B9F5-473C892CC5C3}" name="Column8556"/>
    <tableColumn id="8562" xr3:uid="{C642BE35-D56D-484E-89B1-1392DB5D9463}" name="Column8557"/>
    <tableColumn id="8563" xr3:uid="{A0B3DCC1-6C90-4EED-9967-3564E62C5C51}" name="Column8558"/>
    <tableColumn id="8564" xr3:uid="{1F5D24CA-E4AB-4126-9DFA-296DE5FEB077}" name="Column8559"/>
    <tableColumn id="8565" xr3:uid="{586931B0-6CCF-47DD-9B7E-882B82633C4B}" name="Column8560"/>
    <tableColumn id="8566" xr3:uid="{C6324A3F-A0E1-49FE-922F-2EDC542811C5}" name="Column8561"/>
    <tableColumn id="8567" xr3:uid="{FF7706FF-2C48-4A26-876E-13BE29ACE2C9}" name="Column8562"/>
    <tableColumn id="8568" xr3:uid="{3AF18972-3499-4A8B-ADDC-F64BEF4710B0}" name="Column8563"/>
    <tableColumn id="8569" xr3:uid="{F1E3FF7D-2580-4DBC-A552-C59627DCD0BF}" name="Column8564"/>
    <tableColumn id="8570" xr3:uid="{2DA94EF4-7DD3-42A1-B73F-835AD316144F}" name="Column8565"/>
    <tableColumn id="8571" xr3:uid="{ADB42707-3EB5-4233-946B-9992BF24A34E}" name="Column8566"/>
    <tableColumn id="8572" xr3:uid="{88CD0332-828D-4A9B-ACC8-1152547C7D87}" name="Column8567"/>
    <tableColumn id="8573" xr3:uid="{E3870B8B-E4AB-4AE2-8B43-ED6D258F58E5}" name="Column8568"/>
    <tableColumn id="8574" xr3:uid="{1D9AE52E-3FDB-4BC1-AE7F-83AD5ADEF193}" name="Column8569"/>
    <tableColumn id="8575" xr3:uid="{65A9D021-D4E5-435A-976F-C1AEA6637DDA}" name="Column8570"/>
    <tableColumn id="8576" xr3:uid="{7C6E1911-4920-4B1A-9932-A8D529C00728}" name="Column8571"/>
    <tableColumn id="8577" xr3:uid="{55125F86-411B-471C-B090-4B70EC68E38B}" name="Column8572"/>
    <tableColumn id="8578" xr3:uid="{001D92AF-F173-4686-A7E0-8A99EF83CABF}" name="Column8573"/>
    <tableColumn id="8579" xr3:uid="{21649378-3657-4872-9A49-FB1D87447112}" name="Column8574"/>
    <tableColumn id="8580" xr3:uid="{7D2830BF-DF91-45AB-B168-DC65DFABFEB9}" name="Column8575"/>
    <tableColumn id="8581" xr3:uid="{EC392AD3-48F2-4BEA-984D-986F7B62132F}" name="Column8576"/>
    <tableColumn id="8582" xr3:uid="{11AA4F53-512A-4CA6-937C-98B0AA602798}" name="Column8577"/>
    <tableColumn id="8583" xr3:uid="{93EEAE2A-2E44-4FF4-84AB-C178BC747ED1}" name="Column8578"/>
    <tableColumn id="8584" xr3:uid="{45EDB058-CC2D-47A5-B62F-5D1CFB58B60B}" name="Column8579"/>
    <tableColumn id="8585" xr3:uid="{76616195-338B-42CC-859D-4BDFA4A44830}" name="Column8580"/>
    <tableColumn id="8586" xr3:uid="{F21D2F34-53CA-4C48-96E8-EB998458A62A}" name="Column8581"/>
    <tableColumn id="8587" xr3:uid="{426CB448-BC66-44D6-9C8B-28D51183A098}" name="Column8582"/>
    <tableColumn id="8588" xr3:uid="{5C478607-B852-411A-8FED-DF887039207C}" name="Column8583"/>
    <tableColumn id="8589" xr3:uid="{67EAEDDF-AB28-4BC6-86C7-501DF7D683A8}" name="Column8584"/>
    <tableColumn id="8590" xr3:uid="{F3E3E215-5678-4B79-B3F0-7BDCD112DA6C}" name="Column8585"/>
    <tableColumn id="8591" xr3:uid="{13C2A124-2FB8-45ED-B0B1-10F24AD6B015}" name="Column8586"/>
    <tableColumn id="8592" xr3:uid="{B694A7DE-1D22-4CE7-A4FA-0E59E417FA28}" name="Column8587"/>
    <tableColumn id="8593" xr3:uid="{0FFCA142-BE7C-4C1A-AFAD-81543E0E391F}" name="Column8588"/>
    <tableColumn id="8594" xr3:uid="{CB4DAC90-A831-4362-8504-3A5BBB55DCA7}" name="Column8589"/>
    <tableColumn id="8595" xr3:uid="{FB76911E-7772-45C0-BF6C-B2D9AD049486}" name="Column8590"/>
    <tableColumn id="8596" xr3:uid="{2128B6C0-261C-4973-870F-2EB0401A7DC7}" name="Column8591"/>
    <tableColumn id="8597" xr3:uid="{F59D5263-619B-44D0-9D66-5AA8AD44081C}" name="Column8592"/>
    <tableColumn id="8598" xr3:uid="{E2D49A4D-D41E-4930-9F04-405293A318FB}" name="Column8593"/>
    <tableColumn id="8599" xr3:uid="{A0192E88-B775-4601-9A76-A7C777AE8D41}" name="Column8594"/>
    <tableColumn id="8600" xr3:uid="{B2867220-5CCD-4A15-AC8F-DBE027234F0B}" name="Column8595"/>
    <tableColumn id="8601" xr3:uid="{4679109B-896C-453F-964B-3B21DD65FDD8}" name="Column8596"/>
    <tableColumn id="8602" xr3:uid="{3DBDE736-AE61-4027-90CE-BCA30472DF86}" name="Column8597"/>
    <tableColumn id="8603" xr3:uid="{F5A144BD-9255-42C0-893D-3245536563B5}" name="Column8598"/>
    <tableColumn id="8604" xr3:uid="{EA035F73-8908-459E-BFD8-FE7FEB4BA138}" name="Column8599"/>
    <tableColumn id="8605" xr3:uid="{3D625281-56BF-421A-852D-D68B0E4BD262}" name="Column8600"/>
    <tableColumn id="8606" xr3:uid="{3AA5C478-377F-4DEA-A0FB-BA7D758670B4}" name="Column8601"/>
    <tableColumn id="8607" xr3:uid="{48539915-E811-4665-BDCE-E61C5EE9B7CF}" name="Column8602"/>
    <tableColumn id="8608" xr3:uid="{A7A5A625-E795-435A-A489-50C72252ED25}" name="Column8603"/>
    <tableColumn id="8609" xr3:uid="{48BA996E-A748-4D06-8A8D-F623610D95D0}" name="Column8604"/>
    <tableColumn id="8610" xr3:uid="{BC95CE5B-75F9-4CEB-88C5-AB1C2A3569E9}" name="Column8605"/>
    <tableColumn id="8611" xr3:uid="{BEAEA4F7-AE86-4BF8-A5FC-BEFCB194B0E3}" name="Column8606"/>
    <tableColumn id="8612" xr3:uid="{8B4E66D6-C2FC-4604-ABCA-7FB53B21C4EB}" name="Column8607"/>
    <tableColumn id="8613" xr3:uid="{69E7AAE6-0CA8-4C92-94F4-25E818842696}" name="Column8608"/>
    <tableColumn id="8614" xr3:uid="{B5C9113F-7EB2-4BCF-B640-D7202C0C6B63}" name="Column8609"/>
    <tableColumn id="8615" xr3:uid="{63E98B2D-EE98-43CD-8913-5305D29D9CC8}" name="Column8610"/>
    <tableColumn id="8616" xr3:uid="{BA908D58-05DD-4408-906C-F9BE8C350BF3}" name="Column8611"/>
    <tableColumn id="8617" xr3:uid="{BF46DB29-F921-4E49-9C71-35017882682B}" name="Column8612"/>
    <tableColumn id="8618" xr3:uid="{2F64D3C4-6A7A-445F-ADB8-964C7D31F6E5}" name="Column8613"/>
    <tableColumn id="8619" xr3:uid="{4031F1ED-33C9-483D-AA39-7CC0CA63CCDE}" name="Column8614"/>
    <tableColumn id="8620" xr3:uid="{F74E4AAA-682C-478E-8FBA-AC40A797A205}" name="Column8615"/>
    <tableColumn id="8621" xr3:uid="{FA7EFD63-DE29-4F25-981C-2B9C59AE77CE}" name="Column8616"/>
    <tableColumn id="8622" xr3:uid="{81CBCB0A-E02B-44B3-9972-FFF57DF8FB4F}" name="Column8617"/>
    <tableColumn id="8623" xr3:uid="{22FED1AC-08B8-4F99-A599-548E5816C0C2}" name="Column8618"/>
    <tableColumn id="8624" xr3:uid="{13F08204-08DA-4567-91A1-B34CE591A453}" name="Column8619"/>
    <tableColumn id="8625" xr3:uid="{B1A98B6A-883F-4FEE-8BA3-468F80A9F6DD}" name="Column8620"/>
    <tableColumn id="8626" xr3:uid="{5CD3AE2C-30BA-4F59-99F0-4FEB2C248015}" name="Column8621"/>
    <tableColumn id="8627" xr3:uid="{C3DCECB4-147D-4063-967E-E8477D4A364A}" name="Column8622"/>
    <tableColumn id="8628" xr3:uid="{F0B26AF3-ACF1-47E5-A8C9-6CF4DFC29FF0}" name="Column8623"/>
    <tableColumn id="8629" xr3:uid="{540B01B9-4F81-40FB-9E86-28308EBA142D}" name="Column8624"/>
    <tableColumn id="8630" xr3:uid="{17A1A1DA-174C-4094-90AA-A9444D67DB21}" name="Column8625"/>
    <tableColumn id="8631" xr3:uid="{424ABA32-AC26-4C55-88EE-217328FBA24A}" name="Column8626"/>
    <tableColumn id="8632" xr3:uid="{4FE7A71C-19FC-4E07-8521-DBBAA4D250F4}" name="Column8627"/>
    <tableColumn id="8633" xr3:uid="{96C6A0A1-FBFB-4B77-B3B3-5207638F8F19}" name="Column8628"/>
    <tableColumn id="8634" xr3:uid="{E6E3D008-4768-4D58-A0B3-D34F253B4E5C}" name="Column8629"/>
    <tableColumn id="8635" xr3:uid="{7B75B775-33CA-406D-A308-B71A628959C8}" name="Column8630"/>
    <tableColumn id="8636" xr3:uid="{56A8EBE3-086F-4390-A6AA-85F6DA18ADBF}" name="Column8631"/>
    <tableColumn id="8637" xr3:uid="{3FF061BB-2065-4182-BCD0-705202E5DA73}" name="Column8632"/>
    <tableColumn id="8638" xr3:uid="{48027766-D470-410B-B702-EFDE96655F6F}" name="Column8633"/>
    <tableColumn id="8639" xr3:uid="{2BB1D3A2-8547-4423-A00A-9E4EF04DF70B}" name="Column8634"/>
    <tableColumn id="8640" xr3:uid="{C767654F-499A-43BF-875B-2797D074392C}" name="Column8635"/>
    <tableColumn id="8641" xr3:uid="{C3D56729-C6B2-4DC3-BF1A-DC207ECC89EF}" name="Column8636"/>
    <tableColumn id="8642" xr3:uid="{A68B10D3-64FE-4428-80A5-AEF823983981}" name="Column8637"/>
    <tableColumn id="8643" xr3:uid="{8A347301-2284-43DE-BA9C-FEC8C642F4CC}" name="Column8638"/>
    <tableColumn id="8644" xr3:uid="{A0FB3177-173A-4520-99B7-E0722C11D671}" name="Column8639"/>
    <tableColumn id="8645" xr3:uid="{4C8BD09D-4239-46BA-A74B-E3AA477834BB}" name="Column8640"/>
    <tableColumn id="8646" xr3:uid="{6F92B402-B6CD-4CDC-ACBD-F4C32E6616BC}" name="Column8641"/>
    <tableColumn id="8647" xr3:uid="{030BC930-69CC-48C1-89BF-6C87331151D9}" name="Column8642"/>
    <tableColumn id="8648" xr3:uid="{FA8067D1-14E4-4648-902E-B1345E965891}" name="Column8643"/>
    <tableColumn id="8649" xr3:uid="{4A526161-8849-4F53-A294-1DCA4A2007B4}" name="Column8644"/>
    <tableColumn id="8650" xr3:uid="{753CDD42-B4DE-4831-B011-F87F91EF974A}" name="Column8645"/>
    <tableColumn id="8651" xr3:uid="{276705E8-DFB2-48E1-AD13-B0F0CEB96BE3}" name="Column8646"/>
    <tableColumn id="8652" xr3:uid="{9E193EA7-E255-4C49-9AC7-28DC9A24DD65}" name="Column8647"/>
    <tableColumn id="8653" xr3:uid="{3B733455-A590-4597-BB5F-823228C2AA03}" name="Column8648"/>
    <tableColumn id="8654" xr3:uid="{48550262-DA41-4EA6-A066-84FDB53E818F}" name="Column8649"/>
    <tableColumn id="8655" xr3:uid="{8A14AB8E-0C41-4622-9C05-9E08EB584EAF}" name="Column8650"/>
    <tableColumn id="8656" xr3:uid="{B14CD605-7539-4F33-9762-B19A6CCE865C}" name="Column8651"/>
    <tableColumn id="8657" xr3:uid="{947E73E5-A954-4C5C-87DF-494596D4B885}" name="Column8652"/>
    <tableColumn id="8658" xr3:uid="{1F548B2F-7ACB-4A27-B0DD-F5D83B66C583}" name="Column8653"/>
    <tableColumn id="8659" xr3:uid="{B4D1F103-5D32-42C8-8D41-0D89510860BB}" name="Column8654"/>
    <tableColumn id="8660" xr3:uid="{11017925-DA9B-4C0B-8C00-4316D92996FB}" name="Column8655"/>
    <tableColumn id="8661" xr3:uid="{07F4E1C0-6D4D-477E-B3DE-EAB6D43F2E6A}" name="Column8656"/>
    <tableColumn id="8662" xr3:uid="{A7D0FAB2-8228-4A0B-B06F-A27E3C1A7B30}" name="Column8657"/>
    <tableColumn id="8663" xr3:uid="{59B4571C-835E-4123-8A19-999BC8C3437E}" name="Column8658"/>
    <tableColumn id="8664" xr3:uid="{81E0C231-5717-44EE-89F3-4B162583887C}" name="Column8659"/>
    <tableColumn id="8665" xr3:uid="{1FA5BDDB-02E4-499E-952E-ABC801203AA9}" name="Column8660"/>
    <tableColumn id="8666" xr3:uid="{6C558AAC-A99C-4287-9C82-1F6C9CBE35D5}" name="Column8661"/>
    <tableColumn id="8667" xr3:uid="{8AF7EA51-8F46-4800-A280-9D95E9D6E099}" name="Column8662"/>
    <tableColumn id="8668" xr3:uid="{5F1E0936-3A3F-41DE-91A9-19D2CB7B5523}" name="Column8663"/>
    <tableColumn id="8669" xr3:uid="{76AEE0D6-0AC4-4660-B8E5-508CB5757D0F}" name="Column8664"/>
    <tableColumn id="8670" xr3:uid="{9F0D9C5A-CE63-42A8-8F0E-E8F5F67AB8C0}" name="Column8665"/>
    <tableColumn id="8671" xr3:uid="{B0F7B82A-C405-4095-A16D-0C9411A26C1D}" name="Column8666"/>
    <tableColumn id="8672" xr3:uid="{4CC769D1-C25D-4C3B-A8D4-3A6692BC0FD9}" name="Column8667"/>
    <tableColumn id="8673" xr3:uid="{0E62879C-B1CF-4721-A8DE-BDE29DF44E7E}" name="Column8668"/>
    <tableColumn id="8674" xr3:uid="{53DF7756-E8F2-4548-A316-2DD069E4E9B0}" name="Column8669"/>
    <tableColumn id="8675" xr3:uid="{95192C6D-023F-4DDB-A878-B0D21EDD7AF0}" name="Column8670"/>
    <tableColumn id="8676" xr3:uid="{B368BA6A-F454-42F8-9A60-84F8A8693B2C}" name="Column8671"/>
    <tableColumn id="8677" xr3:uid="{1664E6A8-24E1-4FA6-9079-62E79CD27F4F}" name="Column8672"/>
    <tableColumn id="8678" xr3:uid="{BBC2DCC5-EA95-438E-8C7D-A8AF1556BA0A}" name="Column8673"/>
    <tableColumn id="8679" xr3:uid="{156F3B99-9D10-4F63-B756-31D90657091A}" name="Column8674"/>
    <tableColumn id="8680" xr3:uid="{441CCA6D-C60B-4449-AC67-95B6A4D9E461}" name="Column8675"/>
    <tableColumn id="8681" xr3:uid="{CA91CFF8-4CB7-4B45-82CF-A0D4CF70AA78}" name="Column8676"/>
    <tableColumn id="8682" xr3:uid="{E11BFB3D-F5BA-4AE4-BE49-4165716B6158}" name="Column8677"/>
    <tableColumn id="8683" xr3:uid="{B3A0D8A0-E20B-49C8-9DBA-E31682A597D7}" name="Column8678"/>
    <tableColumn id="8684" xr3:uid="{CB9BB385-3719-4003-BDCE-5AC9D40FCFB8}" name="Column8679"/>
    <tableColumn id="8685" xr3:uid="{7C8FDB2E-924F-4248-9C78-C55F7E16FFEC}" name="Column8680"/>
    <tableColumn id="8686" xr3:uid="{D971890D-7D1A-4636-8800-39268C4FCE47}" name="Column8681"/>
    <tableColumn id="8687" xr3:uid="{37FC1BE6-B975-4DE2-A8E9-F9107C2AD27C}" name="Column8682"/>
    <tableColumn id="8688" xr3:uid="{4CD6B399-33B6-41FB-9981-97048E6148AA}" name="Column8683"/>
    <tableColumn id="8689" xr3:uid="{63541231-3C31-4C1B-9483-7603DBB9CE91}" name="Column8684"/>
    <tableColumn id="8690" xr3:uid="{CE3D777F-00DC-421C-8306-43F80BBDA58C}" name="Column8685"/>
    <tableColumn id="8691" xr3:uid="{1F887E70-9BCF-4789-B062-BB1477104F94}" name="Column8686"/>
    <tableColumn id="8692" xr3:uid="{23AD1739-CF47-458A-A740-DF90C6082ABB}" name="Column8687"/>
    <tableColumn id="8693" xr3:uid="{289D6BB4-C2C7-4A5C-9514-C5F8382B9D02}" name="Column8688"/>
    <tableColumn id="8694" xr3:uid="{3B0BF0F0-DAAF-439B-B37B-B88229AA5D25}" name="Column8689"/>
    <tableColumn id="8695" xr3:uid="{246DE920-5B7F-4906-8F3F-CDECF0D78DD0}" name="Column8690"/>
    <tableColumn id="8696" xr3:uid="{4D13D56E-EFA4-4C13-AB67-547524F71257}" name="Column8691"/>
    <tableColumn id="8697" xr3:uid="{E96BFFB5-7E3D-48F8-9E80-A54E2616E5C9}" name="Column8692"/>
    <tableColumn id="8698" xr3:uid="{05D59437-F9A3-4F39-BFF9-C452DE1C72A4}" name="Column8693"/>
    <tableColumn id="8699" xr3:uid="{95B9C283-C126-4FC1-8430-C582A18A488C}" name="Column8694"/>
    <tableColumn id="8700" xr3:uid="{D1F2965A-AF98-4895-95BC-E46F02B2002F}" name="Column8695"/>
    <tableColumn id="8701" xr3:uid="{D66553FC-0598-4FF4-B31E-AC89F822BE3F}" name="Column8696"/>
    <tableColumn id="8702" xr3:uid="{3396A7AC-A099-47C0-BED8-7E8B7C7B9458}" name="Column8697"/>
    <tableColumn id="8703" xr3:uid="{2D520CF5-4E45-4AF4-AFE2-4FBAF41B6A05}" name="Column8698"/>
    <tableColumn id="8704" xr3:uid="{56ED6F18-073E-49E1-8D6F-F6FDB4EEB264}" name="Column8699"/>
    <tableColumn id="8705" xr3:uid="{04F26A55-BA1C-4971-B3C7-3A98AF62E4E4}" name="Column8700"/>
    <tableColumn id="8706" xr3:uid="{0861CADD-FD6A-488B-B69D-6255AC109177}" name="Column8701"/>
    <tableColumn id="8707" xr3:uid="{996B9C19-B085-40D4-A88A-AEC1165ED496}" name="Column8702"/>
    <tableColumn id="8708" xr3:uid="{97ABA302-C5FF-4CE3-9476-4EA5D55897B6}" name="Column8703"/>
    <tableColumn id="8709" xr3:uid="{8AAF02C8-4C61-4E1C-A286-E882721F828B}" name="Column8704"/>
    <tableColumn id="8710" xr3:uid="{DE05BCED-35F9-4F7E-B514-3624B1B326F7}" name="Column8705"/>
    <tableColumn id="8711" xr3:uid="{63AC6B24-E642-4E59-867C-83E1986BD86E}" name="Column8706"/>
    <tableColumn id="8712" xr3:uid="{2A7853C4-4111-4866-9F4C-6E021564445F}" name="Column8707"/>
    <tableColumn id="8713" xr3:uid="{B28FCF51-1D1E-4FF7-B419-8B029BDF2143}" name="Column8708"/>
    <tableColumn id="8714" xr3:uid="{3B8B54BA-BDBB-4753-A45D-011064DF7274}" name="Column8709"/>
    <tableColumn id="8715" xr3:uid="{47F48EF1-268D-41DC-AC73-CC5F6634DAB4}" name="Column8710"/>
    <tableColumn id="8716" xr3:uid="{6B299187-BE2F-486F-A52C-062623333CFA}" name="Column8711"/>
    <tableColumn id="8717" xr3:uid="{DE3E27B4-5323-4903-AEF8-0C501D1DB5A0}" name="Column8712"/>
    <tableColumn id="8718" xr3:uid="{C0ADBA22-6A39-43D5-919D-913485C90450}" name="Column8713"/>
    <tableColumn id="8719" xr3:uid="{8CF16EA6-35ED-4A64-B5A4-2AACC28C1AB3}" name="Column8714"/>
    <tableColumn id="8720" xr3:uid="{F9249587-BAB1-42C3-9380-DC33B83E57AB}" name="Column8715"/>
    <tableColumn id="8721" xr3:uid="{792F0939-DEE1-4BCE-8D71-55FFE6DD6F6C}" name="Column8716"/>
    <tableColumn id="8722" xr3:uid="{7DCEB46F-2B7B-403E-9179-13311AE137CB}" name="Column8717"/>
    <tableColumn id="8723" xr3:uid="{4FB77D25-90C3-4150-8ACE-F8749229064A}" name="Column8718"/>
    <tableColumn id="8724" xr3:uid="{F1AA116A-8526-4BB0-994A-0692366BADAC}" name="Column8719"/>
    <tableColumn id="8725" xr3:uid="{397E9B53-7994-4CF0-82B5-8558A5A3C268}" name="Column8720"/>
    <tableColumn id="8726" xr3:uid="{C46627DA-8E25-47C5-B83D-37B2C0D2F326}" name="Column8721"/>
    <tableColumn id="8727" xr3:uid="{1E7AEFC9-FDBC-4690-9065-BDA672AED004}" name="Column8722"/>
    <tableColumn id="8728" xr3:uid="{56979789-3AA8-4FAB-B14D-4072B1E06768}" name="Column8723"/>
    <tableColumn id="8729" xr3:uid="{C622DCE1-8E7F-4930-B7E1-14EA6785A657}" name="Column8724"/>
    <tableColumn id="8730" xr3:uid="{942DC6F5-83E0-424F-AA80-7E0E233B9BCB}" name="Column8725"/>
    <tableColumn id="8731" xr3:uid="{B6B10017-A64F-4261-9D26-FA2BE5582A7E}" name="Column8726"/>
    <tableColumn id="8732" xr3:uid="{EEA534DE-4575-4515-A072-3E958481B5E3}" name="Column8727"/>
    <tableColumn id="8733" xr3:uid="{B5F8BD37-AC17-4BB4-B60E-2CBA3B55ED87}" name="Column8728"/>
    <tableColumn id="8734" xr3:uid="{22DC77CF-9164-4180-A9AD-C2755C09D5CB}" name="Column8729"/>
    <tableColumn id="8735" xr3:uid="{10ADBCFF-BB42-4D28-89D9-C718C445C839}" name="Column8730"/>
    <tableColumn id="8736" xr3:uid="{2A2705A2-FD12-4201-A4AC-F12009DA3F16}" name="Column8731"/>
    <tableColumn id="8737" xr3:uid="{9333179F-E43B-4C7F-901D-867AE419870E}" name="Column8732"/>
    <tableColumn id="8738" xr3:uid="{03011BD3-DA2E-44F3-B4F4-4343B6D5066A}" name="Column8733"/>
    <tableColumn id="8739" xr3:uid="{E70881CE-AE1B-4945-ADC7-84C63188DFF3}" name="Column8734"/>
    <tableColumn id="8740" xr3:uid="{A3C33C13-8604-4A64-82BC-7B2D383312C6}" name="Column8735"/>
    <tableColumn id="8741" xr3:uid="{5AC3C2CD-29EB-4EAE-A69E-4F5332CFC52E}" name="Column8736"/>
    <tableColumn id="8742" xr3:uid="{0D36B35C-2688-4A5A-9FBD-4AC4797B013B}" name="Column8737"/>
    <tableColumn id="8743" xr3:uid="{1B0561FE-2266-411C-99F5-C3D492D21539}" name="Column8738"/>
    <tableColumn id="8744" xr3:uid="{8A80E703-4B05-48CE-BBE7-38E1B40654CE}" name="Column8739"/>
    <tableColumn id="8745" xr3:uid="{BD1B6971-EA54-4D56-9C83-E3E91CFD2610}" name="Column8740"/>
    <tableColumn id="8746" xr3:uid="{158595A0-320C-4EA5-9E13-E1F6A119425E}" name="Column8741"/>
    <tableColumn id="8747" xr3:uid="{FB2FA8F1-DC33-4644-B62B-35C5978E0969}" name="Column8742"/>
    <tableColumn id="8748" xr3:uid="{492808A4-47C5-4AB6-8D4E-D9003E5C60FB}" name="Column8743"/>
    <tableColumn id="8749" xr3:uid="{50AEA563-BD84-4F7C-B8B9-DFE0735B70BA}" name="Column8744"/>
    <tableColumn id="8750" xr3:uid="{C9230B2F-ADFC-4D7C-9191-0506C1981EE2}" name="Column8745"/>
    <tableColumn id="8751" xr3:uid="{C3140D1D-834A-4BCB-9E14-196897EE7803}" name="Column8746"/>
    <tableColumn id="8752" xr3:uid="{51D4E8D6-3B3E-447B-A63F-4AADD08E5C26}" name="Column8747"/>
    <tableColumn id="8753" xr3:uid="{39CEE6D3-8C8A-4DC9-9FA3-D5DB2BF5D426}" name="Column8748"/>
    <tableColumn id="8754" xr3:uid="{03497838-5566-4FCD-BBE1-BAC84F1B9C9F}" name="Column8749"/>
    <tableColumn id="8755" xr3:uid="{08FF23ED-DEAF-4F9E-902F-FEF496C719B6}" name="Column8750"/>
    <tableColumn id="8756" xr3:uid="{B75408A0-968D-44C4-8E20-8E043794B51C}" name="Column8751"/>
    <tableColumn id="8757" xr3:uid="{C0F16A56-A6ED-4E98-97BA-2B532F9A6C82}" name="Column8752"/>
    <tableColumn id="8758" xr3:uid="{654B2FF8-C3FA-46DA-B263-1613957F09F1}" name="Column8753"/>
    <tableColumn id="8759" xr3:uid="{FDB8D3D4-0997-4B0F-A5AC-1E6B6FA6B4EB}" name="Column8754"/>
    <tableColumn id="8760" xr3:uid="{1417DCDC-0DB0-4F39-93A4-AD07C5FA0164}" name="Column8755"/>
    <tableColumn id="8761" xr3:uid="{68EEBBF0-88FB-42B1-ACFE-C4C7ABF7C7CB}" name="Column8756"/>
    <tableColumn id="8762" xr3:uid="{CB939EF0-0E81-4933-B291-6D01CEB433FC}" name="Column8757"/>
    <tableColumn id="8763" xr3:uid="{C1F71D72-7ADB-4F58-82EB-148872B295F1}" name="Column8758"/>
    <tableColumn id="8764" xr3:uid="{4CE8509F-068D-41A2-AC2F-E20A2E176F36}" name="Column8759"/>
    <tableColumn id="8765" xr3:uid="{72F1DFCE-B28A-4951-8A22-60F51012AFAE}" name="Column8760"/>
    <tableColumn id="8766" xr3:uid="{4E7B51E1-226A-4942-8B81-1C50FDC0B2C1}" name="Column8761"/>
    <tableColumn id="8767" xr3:uid="{DFA0B169-BD2E-4300-B6EB-F4884195999F}" name="Column8762"/>
    <tableColumn id="8768" xr3:uid="{72C19EAB-D4B7-4D97-A096-B1CA17FEC45E}" name="Column8763"/>
    <tableColumn id="8769" xr3:uid="{64A6E12A-BF24-4B25-86C7-686DA9B5EBFE}" name="Column8764"/>
    <tableColumn id="8770" xr3:uid="{2515AE18-3622-4A6D-9E11-B650789D9776}" name="Column8765"/>
    <tableColumn id="8771" xr3:uid="{D3EA575E-B46F-4BF6-9A3C-3AB236E1DE3C}" name="Column8766"/>
    <tableColumn id="8772" xr3:uid="{8CADBDF2-5920-4B78-A5A1-EA56DC85A74E}" name="Column8767"/>
    <tableColumn id="8773" xr3:uid="{8C195A76-116E-4EDB-97DF-C3D5AC38D23C}" name="Column8768"/>
    <tableColumn id="8774" xr3:uid="{5D347CBC-A454-42E1-8803-5892D587C497}" name="Column8769"/>
    <tableColumn id="8775" xr3:uid="{87DB5BDE-6ED8-46B6-979C-088BA5D2D844}" name="Column8770"/>
    <tableColumn id="8776" xr3:uid="{FC9B97DC-6281-4906-95B6-99161F0F99BD}" name="Column8771"/>
    <tableColumn id="8777" xr3:uid="{A4C08FF4-21A1-4138-A728-99FC67A2149C}" name="Column8772"/>
    <tableColumn id="8778" xr3:uid="{FD46B9CE-A247-494E-B775-153E06DA6907}" name="Column8773"/>
    <tableColumn id="8779" xr3:uid="{DAF04266-4885-49E3-B98F-531389775EF4}" name="Column8774"/>
    <tableColumn id="8780" xr3:uid="{6FC61BF4-B00F-4150-AF6D-C75F1F67BEFC}" name="Column8775"/>
    <tableColumn id="8781" xr3:uid="{EC41749E-C935-4D62-9311-B1CFB92DC129}" name="Column8776"/>
    <tableColumn id="8782" xr3:uid="{678D4E71-A162-4282-B831-D0E6CF8C9175}" name="Column8777"/>
    <tableColumn id="8783" xr3:uid="{2871425B-8B5B-4DBA-BBE8-DE09418FFB35}" name="Column8778"/>
    <tableColumn id="8784" xr3:uid="{FB072CA2-E3A2-4F43-B00F-753655FCE222}" name="Column8779"/>
    <tableColumn id="8785" xr3:uid="{D55333D7-4441-47B5-B39F-9A4BC6D8BCF4}" name="Column8780"/>
    <tableColumn id="8786" xr3:uid="{31F1B038-3566-423B-B09E-345388922BE8}" name="Column8781"/>
    <tableColumn id="8787" xr3:uid="{A02DA7FD-B6DD-4FC6-B11B-662699751BFF}" name="Column8782"/>
    <tableColumn id="8788" xr3:uid="{10E9A898-A9F9-4D0D-BA25-7D857037E2D3}" name="Column8783"/>
    <tableColumn id="8789" xr3:uid="{EDBEFDA2-7530-4D61-865C-C7B75FEFE67E}" name="Column8784"/>
    <tableColumn id="8790" xr3:uid="{FB0F9019-4EB3-47C9-B4BA-342D4DE7E3FB}" name="Column8785"/>
    <tableColumn id="8791" xr3:uid="{A896F279-E044-4943-9171-54C654643FF8}" name="Column8786"/>
    <tableColumn id="8792" xr3:uid="{2458F0AB-1165-4604-8E15-F202492F3CFF}" name="Column8787"/>
    <tableColumn id="8793" xr3:uid="{A074DEE4-E24D-4B42-A0A6-D193B34FF197}" name="Column8788"/>
    <tableColumn id="8794" xr3:uid="{998A367E-525A-4DD3-82E2-A32912A2EE05}" name="Column8789"/>
    <tableColumn id="8795" xr3:uid="{B842FC9C-2ACF-4FA2-B348-FD74812AD0C2}" name="Column8790"/>
    <tableColumn id="8796" xr3:uid="{CFA51260-0516-432B-81A3-4CA4E579AF29}" name="Column8791"/>
    <tableColumn id="8797" xr3:uid="{334098D1-CB9B-4323-A806-312473D7A8E0}" name="Column8792"/>
    <tableColumn id="8798" xr3:uid="{FA62DFCC-9E91-410B-9850-2E51EAF7FB3F}" name="Column8793"/>
    <tableColumn id="8799" xr3:uid="{AFAE45A7-5155-43B1-8B94-571F8DA5FF4D}" name="Column8794"/>
    <tableColumn id="8800" xr3:uid="{0A446366-B40D-4929-BD19-B09DC957BBA5}" name="Column8795"/>
    <tableColumn id="8801" xr3:uid="{C449A0B4-2D20-43A5-8897-F6B8AA7183D4}" name="Column8796"/>
    <tableColumn id="8802" xr3:uid="{589ACC4E-C83D-4A58-8644-E71049469A9A}" name="Column8797"/>
    <tableColumn id="8803" xr3:uid="{C1F0B0D6-E208-49C2-82FA-FACECB48B527}" name="Column8798"/>
    <tableColumn id="8804" xr3:uid="{E193BCED-B1E0-4AA9-93E1-25050B5F2AF1}" name="Column8799"/>
    <tableColumn id="8805" xr3:uid="{B93A3284-ADB9-49CC-B59F-099E542A13B8}" name="Column8800"/>
    <tableColumn id="8806" xr3:uid="{39D1206E-3DAD-4F17-92C3-BEEF200B5E3D}" name="Column8801"/>
    <tableColumn id="8807" xr3:uid="{330E9939-8968-4956-BFC6-7DFCC27C34BD}" name="Column8802"/>
    <tableColumn id="8808" xr3:uid="{518EAB0D-6600-4D03-92D6-CC05B236AB66}" name="Column8803"/>
    <tableColumn id="8809" xr3:uid="{F29B8B5A-573F-4912-8A3B-781B8574D2A5}" name="Column8804"/>
    <tableColumn id="8810" xr3:uid="{07FF9478-1C2C-4EAD-BA42-83BB48DA1C8F}" name="Column8805"/>
    <tableColumn id="8811" xr3:uid="{259810C8-4B43-4274-9026-B0AE2275B2EA}" name="Column8806"/>
    <tableColumn id="8812" xr3:uid="{30B1F60B-D6C0-48F3-9D6B-54DA322AFE25}" name="Column8807"/>
    <tableColumn id="8813" xr3:uid="{2D69876B-AA32-462A-A661-CA59569087DB}" name="Column8808"/>
    <tableColumn id="8814" xr3:uid="{18EEF00E-B258-47F1-9D50-23F7A10EF304}" name="Column8809"/>
    <tableColumn id="8815" xr3:uid="{5643D549-E04E-4BEF-8E12-0DD04153B8AE}" name="Column8810"/>
    <tableColumn id="8816" xr3:uid="{9526A3C9-788D-4E6E-B3A2-1DE893E2FA05}" name="Column8811"/>
    <tableColumn id="8817" xr3:uid="{39AA3B66-99C3-4AA0-A3E9-BC94C79B414E}" name="Column8812"/>
    <tableColumn id="8818" xr3:uid="{88214FA1-7E0A-4BB9-9153-156E37C8DA72}" name="Column8813"/>
    <tableColumn id="8819" xr3:uid="{D3550684-8B92-4E6E-ADF4-CC71D6E84075}" name="Column8814"/>
    <tableColumn id="8820" xr3:uid="{E2E71E0D-10F5-4B48-B3BD-7F331801E7D3}" name="Column8815"/>
    <tableColumn id="8821" xr3:uid="{75D9B336-5299-412F-A098-548F9A5F2E57}" name="Column8816"/>
    <tableColumn id="8822" xr3:uid="{3F793987-9F1F-4CA7-BD80-49659432D2CF}" name="Column8817"/>
    <tableColumn id="8823" xr3:uid="{F43675E4-EEA7-4933-BE92-9605023B15EE}" name="Column8818"/>
    <tableColumn id="8824" xr3:uid="{3BAF6852-1380-4A09-A5FC-4D6E314839A3}" name="Column8819"/>
    <tableColumn id="8825" xr3:uid="{3ABA2A44-97A6-4504-AAF4-D19FE7E5CC8B}" name="Column8820"/>
    <tableColumn id="8826" xr3:uid="{5E146D26-188E-4996-8EB2-6AD9F297D67E}" name="Column8821"/>
    <tableColumn id="8827" xr3:uid="{A804E5CB-D95A-4C6C-8F94-7B50F7E97F40}" name="Column8822"/>
    <tableColumn id="8828" xr3:uid="{5C663F73-D99D-4A22-B85A-8115862CCB36}" name="Column8823"/>
    <tableColumn id="8829" xr3:uid="{0FC3DDD3-EC78-40FA-9F6B-63FE1E80DF8B}" name="Column8824"/>
    <tableColumn id="8830" xr3:uid="{5B47CEE0-011D-4603-AD09-1581CA0C08FE}" name="Column8825"/>
    <tableColumn id="8831" xr3:uid="{76C6B0EB-813C-488D-8849-9A8EB791E8AB}" name="Column8826"/>
    <tableColumn id="8832" xr3:uid="{8664D2DB-D574-41BA-AE9D-EF811310A945}" name="Column8827"/>
    <tableColumn id="8833" xr3:uid="{A981A505-A7A7-438A-B90E-34473343BA3B}" name="Column8828"/>
    <tableColumn id="8834" xr3:uid="{5C181B21-AB8B-4520-B4DC-DD3FB19186B1}" name="Column8829"/>
    <tableColumn id="8835" xr3:uid="{CAFC2DDC-FE5D-4CE4-9705-A3034D016E17}" name="Column8830"/>
    <tableColumn id="8836" xr3:uid="{1B4726A2-5E8C-46E5-8F0D-6B6CB480129F}" name="Column8831"/>
    <tableColumn id="8837" xr3:uid="{CB28571A-AF65-4601-A4E4-63886A8856F6}" name="Column8832"/>
    <tableColumn id="8838" xr3:uid="{47F7DA63-57A1-4B3A-90CE-A8B86619F35B}" name="Column8833"/>
    <tableColumn id="8839" xr3:uid="{05EFAF20-D430-4FC2-8A1E-EFD1691CDCA9}" name="Column8834"/>
    <tableColumn id="8840" xr3:uid="{9F6A2592-E5FC-40E8-9A79-FFEADD93F11E}" name="Column8835"/>
    <tableColumn id="8841" xr3:uid="{1787A8D2-3804-4923-BCAD-B586DA615EEC}" name="Column8836"/>
    <tableColumn id="8842" xr3:uid="{BA21DF0D-74A0-4B89-B8EC-CAD7C16328B0}" name="Column8837"/>
    <tableColumn id="8843" xr3:uid="{8F562AE7-F349-4C58-8CE3-4338C6D4CD4E}" name="Column8838"/>
    <tableColumn id="8844" xr3:uid="{91CBD809-531B-4EC9-8111-6EB2D9709B29}" name="Column8839"/>
    <tableColumn id="8845" xr3:uid="{6F9ED50F-2BEB-4363-81D8-707FDCCB97E4}" name="Column8840"/>
    <tableColumn id="8846" xr3:uid="{EF64CE05-6D9E-48EB-A3A9-20B4DE7DA34F}" name="Column8841"/>
    <tableColumn id="8847" xr3:uid="{C6181DDF-52C0-4BF6-A62C-1983C07BAA82}" name="Column8842"/>
    <tableColumn id="8848" xr3:uid="{D9692120-03BF-48AC-AB6B-7C9A514A84CD}" name="Column8843"/>
    <tableColumn id="8849" xr3:uid="{65FBFE0A-F559-41A4-BF91-5539A11A496D}" name="Column8844"/>
    <tableColumn id="8850" xr3:uid="{68D490C5-9CA6-47B9-A6D7-C75A6F35E791}" name="Column8845"/>
    <tableColumn id="8851" xr3:uid="{A7AF9512-BE7F-4835-911C-48AE604F098D}" name="Column8846"/>
    <tableColumn id="8852" xr3:uid="{D4176911-811C-4A23-8344-19C199467F2C}" name="Column8847"/>
    <tableColumn id="8853" xr3:uid="{68C73C59-9B37-431B-814F-A4A046A5DEB5}" name="Column8848"/>
    <tableColumn id="8854" xr3:uid="{389B07F0-61AA-4B79-AAA4-E52BC9C28F95}" name="Column8849"/>
    <tableColumn id="8855" xr3:uid="{C9C4EFB5-E85A-40E1-8FB3-8D9F8A7B697F}" name="Column8850"/>
    <tableColumn id="8856" xr3:uid="{8DE873D4-FFC7-4FB5-A72D-03F60AADFE2F}" name="Column8851"/>
    <tableColumn id="8857" xr3:uid="{FFA396D0-3F0C-49DC-ACBB-CC75CC8BA69B}" name="Column8852"/>
    <tableColumn id="8858" xr3:uid="{8E92E22B-CE27-4275-BF76-458800B83428}" name="Column8853"/>
    <tableColumn id="8859" xr3:uid="{9675C007-C0B7-4EF9-886B-31982F9CD148}" name="Column8854"/>
    <tableColumn id="8860" xr3:uid="{85BDB52A-82B4-4244-84AB-71901102670F}" name="Column8855"/>
    <tableColumn id="8861" xr3:uid="{60FDAE37-46B6-4D54-888B-AF8A3F7E1F38}" name="Column8856"/>
    <tableColumn id="8862" xr3:uid="{DDA7BD18-3EE8-444C-9856-1779EE58987D}" name="Column8857"/>
    <tableColumn id="8863" xr3:uid="{0EE0E3AC-EF26-4B3E-940A-C5569C78A40C}" name="Column8858"/>
    <tableColumn id="8864" xr3:uid="{C1C6038F-BF53-4B50-8890-23D9DF25ECD8}" name="Column8859"/>
    <tableColumn id="8865" xr3:uid="{38ED2DED-938F-4F9B-9EC3-F6D1B9FD2F94}" name="Column8860"/>
    <tableColumn id="8866" xr3:uid="{8093A5D4-F864-4B79-8AB6-60794DEA602E}" name="Column8861"/>
    <tableColumn id="8867" xr3:uid="{FD28BF51-B986-4F4E-97AC-5285F00B246F}" name="Column8862"/>
    <tableColumn id="8868" xr3:uid="{17F723CB-8B78-4D01-BA5E-F1445E5ACE85}" name="Column8863"/>
    <tableColumn id="8869" xr3:uid="{D8387B88-1A9D-4062-9BCF-B4111F00F815}" name="Column8864"/>
    <tableColumn id="8870" xr3:uid="{282BD145-A737-42D4-9174-271BDD3465A7}" name="Column8865"/>
    <tableColumn id="8871" xr3:uid="{A81164A6-DB5E-4221-83F1-50BF8BADE5F2}" name="Column8866"/>
    <tableColumn id="8872" xr3:uid="{DDB96602-0163-491A-A633-F4DFE7B3CAB8}" name="Column8867"/>
    <tableColumn id="8873" xr3:uid="{0AC3514B-DA66-4330-B362-BB6D3DF994C1}" name="Column8868"/>
    <tableColumn id="8874" xr3:uid="{C7ECE380-92FA-457E-9873-48E8CB3534A0}" name="Column8869"/>
    <tableColumn id="8875" xr3:uid="{00F172CF-5EFD-483C-84F6-91DABFECC513}" name="Column8870"/>
    <tableColumn id="8876" xr3:uid="{C8B5F61E-BD30-4288-945E-64A8001C5E2D}" name="Column8871"/>
    <tableColumn id="8877" xr3:uid="{2F43900C-00A6-4481-84BD-88E59F8F7175}" name="Column8872"/>
    <tableColumn id="8878" xr3:uid="{020C31EC-3820-46DB-B39C-14992D14C0B5}" name="Column8873"/>
    <tableColumn id="8879" xr3:uid="{563527D6-1CBA-4F68-8E91-09511BAD230F}" name="Column8874"/>
    <tableColumn id="8880" xr3:uid="{1DBCA38E-CC57-42E9-85F7-1298B1D30E15}" name="Column8875"/>
    <tableColumn id="8881" xr3:uid="{297F2664-5C11-4B25-BF24-69064160D347}" name="Column8876"/>
    <tableColumn id="8882" xr3:uid="{919B7CBB-67B5-40F3-867B-0F0B097619DB}" name="Column8877"/>
    <tableColumn id="8883" xr3:uid="{12293177-8FAB-4E0E-8057-8DC7209918C4}" name="Column8878"/>
    <tableColumn id="8884" xr3:uid="{65DDCACC-E296-45C6-B446-05BED2B15359}" name="Column8879"/>
    <tableColumn id="8885" xr3:uid="{F8B3BE29-F938-4100-9D85-3BCFCCB38A0B}" name="Column8880"/>
    <tableColumn id="8886" xr3:uid="{6BBCD958-59F5-4971-96C8-336BF4E209CD}" name="Column8881"/>
    <tableColumn id="8887" xr3:uid="{1AB7CDD3-F48B-40F1-BAB1-E4F5576945A5}" name="Column8882"/>
    <tableColumn id="8888" xr3:uid="{A43D3D29-871E-4643-82D8-39C5DB824514}" name="Column8883"/>
    <tableColumn id="8889" xr3:uid="{B373676C-531B-44E4-91FE-A9F307157C2B}" name="Column8884"/>
    <tableColumn id="8890" xr3:uid="{70B7E99C-E99B-4477-97CC-D6ED00F11B80}" name="Column8885"/>
    <tableColumn id="8891" xr3:uid="{317F6DAB-EE1D-4582-B7D4-0609BC05072C}" name="Column8886"/>
    <tableColumn id="8892" xr3:uid="{96D2B16F-925E-4643-B6D7-C3564711C4FF}" name="Column8887"/>
    <tableColumn id="8893" xr3:uid="{DE25BA35-E5F3-40CA-945F-2C8085CB1C3B}" name="Column8888"/>
    <tableColumn id="8894" xr3:uid="{75A20F66-2072-434A-A008-7ED713DBD315}" name="Column8889"/>
    <tableColumn id="8895" xr3:uid="{F4B863AD-95E6-4A00-B496-9CD642CEC0F3}" name="Column8890"/>
    <tableColumn id="8896" xr3:uid="{0894A384-237C-4808-A111-41AD856A9F64}" name="Column8891"/>
    <tableColumn id="8897" xr3:uid="{7C2E1930-8B04-4F4B-BBFB-A6B3B782085C}" name="Column8892"/>
    <tableColumn id="8898" xr3:uid="{38895BFC-8929-48F7-A6A6-AA749688BEB7}" name="Column8893"/>
    <tableColumn id="8899" xr3:uid="{8D85E0E2-9D6A-4FA4-AFBA-CEC5EC617387}" name="Column8894"/>
    <tableColumn id="8900" xr3:uid="{B7041DD8-386A-4D08-87B8-D969B4D2FDC5}" name="Column8895"/>
    <tableColumn id="8901" xr3:uid="{B7AB6C5F-5CAA-460B-B3A7-C0922F363606}" name="Column8896"/>
    <tableColumn id="8902" xr3:uid="{3C5557E6-4371-409C-ADDC-AA14237F39EB}" name="Column8897"/>
    <tableColumn id="8903" xr3:uid="{D022C3EB-2540-4E3B-9DBA-54174F6CBDE4}" name="Column8898"/>
    <tableColumn id="8904" xr3:uid="{9FF35CC4-786D-4BFB-8A64-A8FDAB20480C}" name="Column8899"/>
    <tableColumn id="8905" xr3:uid="{33B2FED3-9AA4-4361-B235-33375CF6E2D3}" name="Column8900"/>
    <tableColumn id="8906" xr3:uid="{C41C28DC-9BA4-4E3F-88E3-7BDF15548982}" name="Column8901"/>
    <tableColumn id="8907" xr3:uid="{11F35C94-F592-4665-ABD7-F7B799C205C9}" name="Column8902"/>
    <tableColumn id="8908" xr3:uid="{975664A2-E218-4E1B-9141-62107E209664}" name="Column8903"/>
    <tableColumn id="8909" xr3:uid="{D58EF36D-3300-4FF8-B6C0-9A471AF5CEED}" name="Column8904"/>
    <tableColumn id="8910" xr3:uid="{A2B0DCB5-4595-49E6-9820-60299403AEB9}" name="Column8905"/>
    <tableColumn id="8911" xr3:uid="{9614B0E5-6867-496B-B90A-3E60D2982FB8}" name="Column8906"/>
    <tableColumn id="8912" xr3:uid="{72FCA01D-7C4A-4293-91DE-E58F028CBDD2}" name="Column8907"/>
    <tableColumn id="8913" xr3:uid="{0B3BEFFD-CAB6-455C-9D36-59F6D963CF58}" name="Column8908"/>
    <tableColumn id="8914" xr3:uid="{475CC36F-80CA-464C-810F-FC1E6F3FDF33}" name="Column8909"/>
    <tableColumn id="8915" xr3:uid="{55A1D364-24C7-4E95-A23B-8C2FE027B326}" name="Column8910"/>
    <tableColumn id="8916" xr3:uid="{32A0F6EF-8EC7-42D1-A130-D4CBACE1FE95}" name="Column8911"/>
    <tableColumn id="8917" xr3:uid="{04F20FB8-638A-4FEE-B430-EEA688CB4485}" name="Column8912"/>
    <tableColumn id="8918" xr3:uid="{68D2D7B8-CAE0-4E66-9697-A9D2EB2F52B6}" name="Column8913"/>
    <tableColumn id="8919" xr3:uid="{91C6EA83-B9A3-4D9A-AB5D-240CBBD00FE4}" name="Column8914"/>
    <tableColumn id="8920" xr3:uid="{72B791FD-B40A-496F-A6D6-CF8B63FA9C1D}" name="Column8915"/>
    <tableColumn id="8921" xr3:uid="{A285ABD9-0141-4FB2-BF5A-50CEB40486D7}" name="Column8916"/>
    <tableColumn id="8922" xr3:uid="{BE667A7A-48EE-4A7E-80E6-8802787FD3C2}" name="Column8917"/>
    <tableColumn id="8923" xr3:uid="{E9DE80AD-F683-4D6B-8533-6C74A0882BEA}" name="Column8918"/>
    <tableColumn id="8924" xr3:uid="{B6B7E54A-0384-4CFD-B8F5-9CD5D2CB6870}" name="Column8919"/>
    <tableColumn id="8925" xr3:uid="{01069EF5-8713-417F-AB96-3F9DA7F82CB9}" name="Column8920"/>
    <tableColumn id="8926" xr3:uid="{6874CA95-3370-4A40-AB22-98D34537F9F3}" name="Column8921"/>
    <tableColumn id="8927" xr3:uid="{AF3067D7-13A2-40BE-A0BF-A1E54C29B6FE}" name="Column8922"/>
    <tableColumn id="8928" xr3:uid="{A24C7770-E003-4E33-83AA-65656874CCA4}" name="Column8923"/>
    <tableColumn id="8929" xr3:uid="{D07317D4-B0E1-451B-8D3A-587A58023B16}" name="Column8924"/>
    <tableColumn id="8930" xr3:uid="{B61917F6-6E99-49BF-9F02-F778F5679DA8}" name="Column8925"/>
    <tableColumn id="8931" xr3:uid="{924BFB37-5E22-4134-B68A-E5DA7694CE1C}" name="Column8926"/>
    <tableColumn id="8932" xr3:uid="{E48CFD94-C67C-44C5-B0B3-B11671603D98}" name="Column8927"/>
    <tableColumn id="8933" xr3:uid="{533DCECA-5A77-4F24-983B-412BCF4FFC41}" name="Column8928"/>
    <tableColumn id="8934" xr3:uid="{916DC7F0-8210-436E-8012-70680E499BB7}" name="Column8929"/>
    <tableColumn id="8935" xr3:uid="{A9D791E1-F020-4762-8B7F-828A43289B41}" name="Column8930"/>
    <tableColumn id="8936" xr3:uid="{E8734867-8A90-473F-84EC-973A09260E09}" name="Column8931"/>
    <tableColumn id="8937" xr3:uid="{13745730-6298-4110-9C51-DAE7DAA3DC06}" name="Column8932"/>
    <tableColumn id="8938" xr3:uid="{7B39BA03-D0E2-426B-82F3-8C4F385A5D94}" name="Column8933"/>
    <tableColumn id="8939" xr3:uid="{92902541-6942-4882-9B74-BC49C7F51B75}" name="Column8934"/>
    <tableColumn id="8940" xr3:uid="{BF2A7FD1-F2B6-4DCB-A92C-E6E2E216E5DA}" name="Column8935"/>
    <tableColumn id="8941" xr3:uid="{09522B7C-68B8-4F77-A304-48EC509EB7DC}" name="Column8936"/>
    <tableColumn id="8942" xr3:uid="{D038CAA4-8280-4B19-BB41-6A01B2074D5C}" name="Column8937"/>
    <tableColumn id="8943" xr3:uid="{56CEC5DA-9418-41B3-AF1E-DB4249601BDA}" name="Column8938"/>
    <tableColumn id="8944" xr3:uid="{1035DBDB-C025-4B4C-8902-8E8947AEE165}" name="Column8939"/>
    <tableColumn id="8945" xr3:uid="{AC716F85-6D28-4BAE-96B5-A385B4F8EA65}" name="Column8940"/>
    <tableColumn id="8946" xr3:uid="{88EE3C99-EAA6-4B71-8BFC-33CD114CA613}" name="Column8941"/>
    <tableColumn id="8947" xr3:uid="{8CD3CC1C-4CE1-4DE3-8B6D-CEAD8C8717B5}" name="Column8942"/>
    <tableColumn id="8948" xr3:uid="{B59F124D-8EDB-459D-92F5-621925EB5918}" name="Column8943"/>
    <tableColumn id="8949" xr3:uid="{3EB6C42B-2ECF-4075-9BB7-1E7FB96083BC}" name="Column8944"/>
    <tableColumn id="8950" xr3:uid="{D7D0A6A3-7542-47CB-AC79-10C95FCF0225}" name="Column8945"/>
    <tableColumn id="8951" xr3:uid="{8DB00F7C-D1FD-466A-8D6A-8572BD9DED22}" name="Column8946"/>
    <tableColumn id="8952" xr3:uid="{F888325B-7E23-473A-A0F4-D79AF8226E09}" name="Column8947"/>
    <tableColumn id="8953" xr3:uid="{E3AB3AD0-B5CC-4CD1-B5A3-E37B8072137A}" name="Column8948"/>
    <tableColumn id="8954" xr3:uid="{709DD503-A7F0-4C1F-A848-14EDD1C919E8}" name="Column8949"/>
    <tableColumn id="8955" xr3:uid="{EA7DB709-7362-4A29-A309-3C9A3EBA43F0}" name="Column8950"/>
    <tableColumn id="8956" xr3:uid="{4377BA06-FE76-4410-8573-0BDA2A9498DB}" name="Column8951"/>
    <tableColumn id="8957" xr3:uid="{0E7CC434-AE3F-4033-A65D-4F8392ED4BD4}" name="Column8952"/>
    <tableColumn id="8958" xr3:uid="{3A300B65-2AEE-48EF-AAD0-07BCE8B81D50}" name="Column8953"/>
    <tableColumn id="8959" xr3:uid="{8CE19F3E-89B1-43BE-8901-7B9A45D312FC}" name="Column8954"/>
    <tableColumn id="8960" xr3:uid="{5F27E49C-1D29-48B9-9A50-E1734683B9E8}" name="Column8955"/>
    <tableColumn id="8961" xr3:uid="{13F08F55-07D0-447A-8C9A-2A515E0100F0}" name="Column8956"/>
    <tableColumn id="8962" xr3:uid="{E2708C24-7DAA-4529-957F-D12C3555FB9C}" name="Column8957"/>
    <tableColumn id="8963" xr3:uid="{F8FB9DF6-4CDE-4B5C-B8A8-CB28614BE0FC}" name="Column8958"/>
    <tableColumn id="8964" xr3:uid="{73888F8F-5A0E-487E-BFBD-29C11570A713}" name="Column8959"/>
    <tableColumn id="8965" xr3:uid="{34379CF9-B079-4EE7-820D-FA3220B909BD}" name="Column8960"/>
    <tableColumn id="8966" xr3:uid="{14398D9E-66AC-4893-BCC0-2881B4351D35}" name="Column8961"/>
    <tableColumn id="8967" xr3:uid="{42273B3F-A8B7-4093-B3F1-9CCB35D9562E}" name="Column8962"/>
    <tableColumn id="8968" xr3:uid="{93624688-13A8-4D0D-BBDB-F7F340DFD10C}" name="Column8963"/>
    <tableColumn id="8969" xr3:uid="{FC977CB6-3AC0-4DC0-AD9B-E8A20064B3A3}" name="Column8964"/>
    <tableColumn id="8970" xr3:uid="{0D277676-E391-415C-8840-76176BBB99BF}" name="Column8965"/>
    <tableColumn id="8971" xr3:uid="{5F552E50-CE4A-45DA-BF5F-75D40FE2A413}" name="Column8966"/>
    <tableColumn id="8972" xr3:uid="{B05DF617-3ADE-48FD-BD33-6BE252DEBC92}" name="Column8967"/>
    <tableColumn id="8973" xr3:uid="{7BA19946-00E7-41C6-88BD-1A77A92F4039}" name="Column8968"/>
    <tableColumn id="8974" xr3:uid="{B52E61BE-8E3E-4FE8-A216-5B4C1082751F}" name="Column8969"/>
    <tableColumn id="8975" xr3:uid="{16C725BA-2210-4659-B224-9B991FE5B1B8}" name="Column8970"/>
    <tableColumn id="8976" xr3:uid="{80742A30-20C6-4099-8666-23433BC20C0B}" name="Column8971"/>
    <tableColumn id="8977" xr3:uid="{0CEFD12C-C6DE-497D-A450-9FEC8354A7F2}" name="Column8972"/>
    <tableColumn id="8978" xr3:uid="{79B263DC-B843-4327-A20D-1E204B3C1A44}" name="Column8973"/>
    <tableColumn id="8979" xr3:uid="{FB488B4A-8926-4B6A-B50D-9888628E7B1F}" name="Column8974"/>
    <tableColumn id="8980" xr3:uid="{EECCE973-B709-4CC2-AB10-7C26352AA553}" name="Column8975"/>
    <tableColumn id="8981" xr3:uid="{1A932AE3-4BF6-470A-B17C-EB31EA05891B}" name="Column8976"/>
    <tableColumn id="8982" xr3:uid="{D743B769-E46E-4279-87A1-0E8E40B919B8}" name="Column8977"/>
    <tableColumn id="8983" xr3:uid="{61D40B4D-4854-4E70-BDB7-61DB0718E0EC}" name="Column8978"/>
    <tableColumn id="8984" xr3:uid="{CCC7C723-B6AB-4444-B06F-007524EE2562}" name="Column8979"/>
    <tableColumn id="8985" xr3:uid="{58C6CCAD-9579-49D3-AF2D-EA86BD0B415E}" name="Column8980"/>
    <tableColumn id="8986" xr3:uid="{C12A17B8-0E53-43CC-9EAB-1F7184B00E42}" name="Column8981"/>
    <tableColumn id="8987" xr3:uid="{8D2E7C26-26AC-4706-83BA-210E3530F5AC}" name="Column8982"/>
    <tableColumn id="8988" xr3:uid="{6F807F95-0D7E-4253-B3B6-654EC064DE6A}" name="Column8983"/>
    <tableColumn id="8989" xr3:uid="{52A90384-E9FB-4489-9A6D-F4C1A3AF853B}" name="Column8984"/>
    <tableColumn id="8990" xr3:uid="{36D21AC7-1346-4625-86DD-09A8EAE1396B}" name="Column8985"/>
    <tableColumn id="8991" xr3:uid="{F5E3BFA7-958C-44E8-8ECF-CB400F17EDBA}" name="Column8986"/>
    <tableColumn id="8992" xr3:uid="{88456B5D-11F0-4EBE-B055-94009AD9C251}" name="Column8987"/>
    <tableColumn id="8993" xr3:uid="{5D353615-2BF4-41B2-A940-E0776B2E9CF4}" name="Column8988"/>
    <tableColumn id="8994" xr3:uid="{ABD26483-2E76-4DE0-9858-3861463DB161}" name="Column8989"/>
    <tableColumn id="8995" xr3:uid="{010C5E8A-90FD-4490-A6D6-E26BA70CD9C1}" name="Column8990"/>
    <tableColumn id="8996" xr3:uid="{3DF720E9-6CC9-42AF-9B55-6B6AD800B285}" name="Column8991"/>
    <tableColumn id="8997" xr3:uid="{1304C055-CA70-44D5-8858-B93D1CCC03F3}" name="Column8992"/>
    <tableColumn id="8998" xr3:uid="{042B942F-742C-4294-903A-0E6DF8A8FF0A}" name="Column8993"/>
    <tableColumn id="8999" xr3:uid="{D200117F-498E-49AB-A504-274EE65878EC}" name="Column8994"/>
    <tableColumn id="9000" xr3:uid="{2533D93A-CBC1-4E0B-81A5-E7697DF687B4}" name="Column8995"/>
    <tableColumn id="9001" xr3:uid="{4DAE8D98-1D8C-4785-837B-ED9F3B2B633E}" name="Column8996"/>
    <tableColumn id="9002" xr3:uid="{3774796E-89A2-4868-BBD5-45C6E708C70D}" name="Column8997"/>
    <tableColumn id="9003" xr3:uid="{F1706DDE-DCAE-496F-A46D-517962184D76}" name="Column8998"/>
    <tableColumn id="9004" xr3:uid="{6E33F783-71E5-4CC5-8868-5B08713C3CD8}" name="Column8999"/>
    <tableColumn id="9005" xr3:uid="{A3BC3946-9210-44DD-8A7F-9D003920E867}" name="Column9000"/>
    <tableColumn id="9006" xr3:uid="{55835023-92AC-447E-AAA2-F48D16BD9F1A}" name="Column9001"/>
    <tableColumn id="9007" xr3:uid="{DA0671D0-10B0-48F4-BDA3-75E7F6E230BE}" name="Column9002"/>
    <tableColumn id="9008" xr3:uid="{AAEEC509-6D33-4E19-8780-6262A15EA755}" name="Column9003"/>
    <tableColumn id="9009" xr3:uid="{8B0673A7-4685-4473-BDCD-7417B1AEAC11}" name="Column9004"/>
    <tableColumn id="9010" xr3:uid="{0E703D5A-7FE0-4414-8F40-5DD7AAB8FDE6}" name="Column9005"/>
    <tableColumn id="9011" xr3:uid="{905205D9-D979-4441-96D7-C964B108EDE8}" name="Column9006"/>
    <tableColumn id="9012" xr3:uid="{2837DCF9-03DB-4B74-89AC-8CA7C1AE57B7}" name="Column9007"/>
    <tableColumn id="9013" xr3:uid="{C2490BED-D397-4351-9CB0-ECA9D4BA39AB}" name="Column9008"/>
    <tableColumn id="9014" xr3:uid="{278D7C95-72F2-4234-99B8-6EC1B83D2F2A}" name="Column9009"/>
    <tableColumn id="9015" xr3:uid="{80EED5C3-5781-4249-8DB1-D46E17B73C72}" name="Column9010"/>
    <tableColumn id="9016" xr3:uid="{1BD9DDD6-B777-4FCD-B5D3-74E514DBC166}" name="Column9011"/>
    <tableColumn id="9017" xr3:uid="{A9BA0A72-4058-4DDD-934C-56C75F349DF5}" name="Column9012"/>
    <tableColumn id="9018" xr3:uid="{B606040B-0EDD-4D10-B6FE-30A81A4CAAF4}" name="Column9013"/>
    <tableColumn id="9019" xr3:uid="{307BED28-3182-4526-9330-75BF356FAE56}" name="Column9014"/>
    <tableColumn id="9020" xr3:uid="{878CB740-4A16-4FB1-A011-ADF912FD0FEB}" name="Column9015"/>
    <tableColumn id="9021" xr3:uid="{D1D1C50A-43F5-4CF9-BBD7-72B091E89EF3}" name="Column9016"/>
    <tableColumn id="9022" xr3:uid="{DEAE8C83-3739-4D52-8F74-04B1ADDE1E2F}" name="Column9017"/>
    <tableColumn id="9023" xr3:uid="{51ECADE5-C4DA-4F1C-ABB1-D7CE061C89E4}" name="Column9018"/>
    <tableColumn id="9024" xr3:uid="{2B556C4D-054D-4354-973A-5EF361F6B832}" name="Column9019"/>
    <tableColumn id="9025" xr3:uid="{DAB088DB-82D7-41A5-A2F5-3A6E6FD8121D}" name="Column9020"/>
    <tableColumn id="9026" xr3:uid="{457A23C2-7253-438A-92BA-0DDDDECE5A82}" name="Column9021"/>
    <tableColumn id="9027" xr3:uid="{11D77ECD-2BC7-4EAD-8C9C-80255EA5F59A}" name="Column9022"/>
    <tableColumn id="9028" xr3:uid="{0EE2EA4A-FA02-41A2-AFE7-DABE7025705E}" name="Column9023"/>
    <tableColumn id="9029" xr3:uid="{9748CAE0-6096-4254-BD98-B81410174DAA}" name="Column9024"/>
    <tableColumn id="9030" xr3:uid="{976C1266-9D5C-4EA8-92BB-E203F4DF0233}" name="Column9025"/>
    <tableColumn id="9031" xr3:uid="{E656D0D6-F139-4668-B321-D4C5CB8B32FC}" name="Column9026"/>
    <tableColumn id="9032" xr3:uid="{AA55E66B-A4B1-4AC2-BF6A-FF17DF2C03A0}" name="Column9027"/>
    <tableColumn id="9033" xr3:uid="{C9E6D2C6-4EC8-4CDF-80F6-654790B8CF02}" name="Column9028"/>
    <tableColumn id="9034" xr3:uid="{7FAEFE1D-6F84-4DB3-910E-3686F6B5247E}" name="Column9029"/>
    <tableColumn id="9035" xr3:uid="{7999DD6E-4CE0-486B-8EF3-FE8214C189BA}" name="Column9030"/>
    <tableColumn id="9036" xr3:uid="{073F9982-BEE5-4732-BACF-F4161A358C7E}" name="Column9031"/>
    <tableColumn id="9037" xr3:uid="{33FE8A08-31EA-44BD-99C3-218A3FD0252C}" name="Column9032"/>
    <tableColumn id="9038" xr3:uid="{C22643BE-8C8D-4B06-AD92-A55C1EFE6CA6}" name="Column9033"/>
    <tableColumn id="9039" xr3:uid="{180F376F-51D6-44E9-B9E8-80FCE471C247}" name="Column9034"/>
    <tableColumn id="9040" xr3:uid="{EECC4A84-4AF7-4288-8C50-78A50F938FAF}" name="Column9035"/>
    <tableColumn id="9041" xr3:uid="{BA3E880D-2E62-4CB2-B9F5-4389EB4B1F83}" name="Column9036"/>
    <tableColumn id="9042" xr3:uid="{30845584-5747-4492-900D-8CAC45141A3C}" name="Column9037"/>
    <tableColumn id="9043" xr3:uid="{79EE679E-B5D2-4B61-8E1B-31CB52B061AE}" name="Column9038"/>
    <tableColumn id="9044" xr3:uid="{A7E4019E-5ED6-4CFA-AC23-684D32B2D942}" name="Column9039"/>
    <tableColumn id="9045" xr3:uid="{3DFD3B96-D07E-4005-B85A-D252A21881C2}" name="Column9040"/>
    <tableColumn id="9046" xr3:uid="{9FBBF16D-E4D1-4068-91F7-037C369DA447}" name="Column9041"/>
    <tableColumn id="9047" xr3:uid="{283D8480-4F91-4C4E-A066-B42E4BE26C5F}" name="Column9042"/>
    <tableColumn id="9048" xr3:uid="{EA7DEB79-8619-4189-979D-9A7B247F1742}" name="Column9043"/>
    <tableColumn id="9049" xr3:uid="{505F2AFF-147F-4344-81C6-682DD54BFB2E}" name="Column9044"/>
    <tableColumn id="9050" xr3:uid="{416809A6-CE73-4EC1-8650-C7B03AB188C4}" name="Column9045"/>
    <tableColumn id="9051" xr3:uid="{26661A40-2C09-46F1-838E-460C300546FD}" name="Column9046"/>
    <tableColumn id="9052" xr3:uid="{DA9B24B0-5261-4EDC-AFDE-855351622CAF}" name="Column9047"/>
    <tableColumn id="9053" xr3:uid="{38445B5C-BD11-44B4-9CF7-0A9953DFB562}" name="Column9048"/>
    <tableColumn id="9054" xr3:uid="{B0A9E4B2-F683-4E4E-A562-83B65DAC0AF5}" name="Column9049"/>
    <tableColumn id="9055" xr3:uid="{BEC155EA-981F-44BF-B814-37021FB94288}" name="Column9050"/>
    <tableColumn id="9056" xr3:uid="{934DFCFD-AE1C-4245-BDCD-1C8D9CCAE0CB}" name="Column9051"/>
    <tableColumn id="9057" xr3:uid="{D42ABDFF-D8D9-48E8-8AD7-73B3A3AC9F35}" name="Column9052"/>
    <tableColumn id="9058" xr3:uid="{074FA9AB-2D07-4705-BB58-1176ECF07265}" name="Column9053"/>
    <tableColumn id="9059" xr3:uid="{3BE47035-0E60-41D5-A1CE-9E8C7BAD7914}" name="Column9054"/>
    <tableColumn id="9060" xr3:uid="{23D746EF-4D40-474F-8E13-D9F34E883AB4}" name="Column9055"/>
    <tableColumn id="9061" xr3:uid="{5C6BE4CD-B746-465D-BFA1-C8E122ED522A}" name="Column9056"/>
    <tableColumn id="9062" xr3:uid="{9A012E78-D590-48A4-8EC9-2EC85ADFFB24}" name="Column9057"/>
    <tableColumn id="9063" xr3:uid="{3976849F-07D2-418A-BE19-0442DA2ECFD0}" name="Column9058"/>
    <tableColumn id="9064" xr3:uid="{E6C3200B-13CA-4BBD-A430-2887549A339B}" name="Column9059"/>
    <tableColumn id="9065" xr3:uid="{8EFE3923-03F6-4DA7-BB32-A2D4A575E377}" name="Column9060"/>
    <tableColumn id="9066" xr3:uid="{629C6CD7-ABAD-40BF-8A63-DE4E48F9C3FF}" name="Column9061"/>
    <tableColumn id="9067" xr3:uid="{63CC13E6-62F1-42C2-9FC4-2B2ABD684B21}" name="Column9062"/>
    <tableColumn id="9068" xr3:uid="{E261CFEB-64CB-40A9-9BD1-0895F5091779}" name="Column9063"/>
    <tableColumn id="9069" xr3:uid="{F128806C-951A-4B79-9D4C-C02A840C1E1A}" name="Column9064"/>
    <tableColumn id="9070" xr3:uid="{DC543F8D-7DEE-4D5D-A012-6EC2A6F1EFE7}" name="Column9065"/>
    <tableColumn id="9071" xr3:uid="{2369CD78-BFBE-4479-9A2D-E74D0CB56B4B}" name="Column9066"/>
    <tableColumn id="9072" xr3:uid="{EFE341F0-96AD-4E90-88E7-B1038400BBA9}" name="Column9067"/>
    <tableColumn id="9073" xr3:uid="{A467F6C2-978A-46D2-9750-66FF7C95A0CD}" name="Column9068"/>
    <tableColumn id="9074" xr3:uid="{811BC555-7188-4E12-BDAB-8C2A2240C820}" name="Column9069"/>
    <tableColumn id="9075" xr3:uid="{73A4BF73-092F-4273-8C42-ECB3BACCB784}" name="Column9070"/>
    <tableColumn id="9076" xr3:uid="{8B54FEAA-01D6-45B4-B688-71A6F47E88E1}" name="Column9071"/>
    <tableColumn id="9077" xr3:uid="{390DAAF0-E56A-42AE-B5EE-36034DC82924}" name="Column9072"/>
    <tableColumn id="9078" xr3:uid="{97EF157C-A2E0-40E4-9995-8FBA5DA7CFE8}" name="Column9073"/>
    <tableColumn id="9079" xr3:uid="{5936A619-A1C7-4172-A9E4-A7BEFC87262C}" name="Column9074"/>
    <tableColumn id="9080" xr3:uid="{FF375A11-73A6-45B2-851B-3474358975D1}" name="Column9075"/>
    <tableColumn id="9081" xr3:uid="{012224AA-C0BB-411E-B620-AAF667E32686}" name="Column9076"/>
    <tableColumn id="9082" xr3:uid="{097D564A-34E2-44BE-A761-0A35680371D5}" name="Column9077"/>
    <tableColumn id="9083" xr3:uid="{6833ABDA-BB15-431B-B01A-6C3631907459}" name="Column9078"/>
    <tableColumn id="9084" xr3:uid="{CFE3FCE9-6A92-489B-8817-DFE0DB7B9D54}" name="Column9079"/>
    <tableColumn id="9085" xr3:uid="{1A2B854E-748F-409E-9185-1920265F6199}" name="Column9080"/>
    <tableColumn id="9086" xr3:uid="{08DCD774-FD74-4B52-9E46-BB665A819395}" name="Column9081"/>
    <tableColumn id="9087" xr3:uid="{4CFC8A8F-4E0E-4F14-9723-F34C7028E33C}" name="Column9082"/>
    <tableColumn id="9088" xr3:uid="{6DF8CEC3-6C8B-4564-AE21-71BA344E88F9}" name="Column9083"/>
    <tableColumn id="9089" xr3:uid="{34F36401-21BC-4C65-A1D8-345908B9BD25}" name="Column9084"/>
    <tableColumn id="9090" xr3:uid="{C7AFE6DD-066C-4170-80B9-0F1DB5712AA5}" name="Column9085"/>
    <tableColumn id="9091" xr3:uid="{7549F52B-6AF9-47C7-84B7-EF36A669D809}" name="Column9086"/>
    <tableColumn id="9092" xr3:uid="{AAB27265-903D-48E6-9B1F-9FFFB5AF96F0}" name="Column9087"/>
    <tableColumn id="9093" xr3:uid="{F679F2A4-3E10-4879-90FB-E949248FEAE6}" name="Column9088"/>
    <tableColumn id="9094" xr3:uid="{990EAE0A-6E1A-4BD0-A91F-7CD135F6A366}" name="Column9089"/>
    <tableColumn id="9095" xr3:uid="{0CF34EB0-75F0-4C96-B3DC-D14D5F457A64}" name="Column9090"/>
    <tableColumn id="9096" xr3:uid="{707031CB-1C20-4781-8CCA-9843BCD6579D}" name="Column9091"/>
    <tableColumn id="9097" xr3:uid="{68787EBD-65CA-451A-9CD1-AB6C70CC2166}" name="Column9092"/>
    <tableColumn id="9098" xr3:uid="{2A44FA4C-7362-4B25-93D3-FF36BE81E657}" name="Column9093"/>
    <tableColumn id="9099" xr3:uid="{071DAC23-6570-4ECF-9401-086327293EB7}" name="Column9094"/>
    <tableColumn id="9100" xr3:uid="{B5A67C32-E740-4811-9338-2609E9FC8E5B}" name="Column9095"/>
    <tableColumn id="9101" xr3:uid="{F412C69C-0B82-4B1A-8D17-BB00CC9C8DD5}" name="Column9096"/>
    <tableColumn id="9102" xr3:uid="{95DFCCAE-505A-4D58-BC9B-14156B2E8AF9}" name="Column9097"/>
    <tableColumn id="9103" xr3:uid="{D916F498-81A8-4479-BF62-9D06953D798F}" name="Column9098"/>
    <tableColumn id="9104" xr3:uid="{A1B265AA-00D3-4DA2-8FE2-3C4D4D5A1EC0}" name="Column9099"/>
    <tableColumn id="9105" xr3:uid="{B95CFAA1-9508-449F-9D25-5760E0AD0A3C}" name="Column9100"/>
    <tableColumn id="9106" xr3:uid="{8792EE4A-9307-4990-9599-71712393DB71}" name="Column9101"/>
    <tableColumn id="9107" xr3:uid="{36FB7BB9-7EB1-4381-8496-E0FC0579ECB1}" name="Column9102"/>
    <tableColumn id="9108" xr3:uid="{14FDE092-2E4E-4D86-B54A-ED59B18877E7}" name="Column9103"/>
    <tableColumn id="9109" xr3:uid="{3BEE2203-BFE1-45B2-973A-C31DCAEA779C}" name="Column9104"/>
    <tableColumn id="9110" xr3:uid="{2B1B32CC-B2AD-49CA-8385-E33112CFC27C}" name="Column9105"/>
    <tableColumn id="9111" xr3:uid="{81EA3FE7-5C14-45F0-9A81-E608AF83FA3C}" name="Column9106"/>
    <tableColumn id="9112" xr3:uid="{EC7BF500-AD71-41CF-87FE-92D0A670D216}" name="Column9107"/>
    <tableColumn id="9113" xr3:uid="{6EBB6096-84E7-494F-BEB4-E54B44977B58}" name="Column9108"/>
    <tableColumn id="9114" xr3:uid="{DC4DCA50-C1C0-4B12-9904-32FC5E53D72C}" name="Column9109"/>
    <tableColumn id="9115" xr3:uid="{0B3E84A4-075B-489B-BC9A-82CC05808BD6}" name="Column9110"/>
    <tableColumn id="9116" xr3:uid="{34955365-C7A2-452B-9E51-DB4C54224999}" name="Column9111"/>
    <tableColumn id="9117" xr3:uid="{085E178F-C5D7-4249-978E-3FD88DC72E9F}" name="Column9112"/>
    <tableColumn id="9118" xr3:uid="{90575DF0-50DC-499F-980A-0D8EDDBC3345}" name="Column9113"/>
    <tableColumn id="9119" xr3:uid="{FA4D7CB8-840E-4B79-8C0D-73A2CB423339}" name="Column9114"/>
    <tableColumn id="9120" xr3:uid="{745F0863-DFED-4579-BBB2-343BF456E950}" name="Column9115"/>
    <tableColumn id="9121" xr3:uid="{EB2285D2-0F2D-490B-B075-D0395C6E606E}" name="Column9116"/>
    <tableColumn id="9122" xr3:uid="{325B8110-7267-4BAE-BF1A-D6913E8C6083}" name="Column9117"/>
    <tableColumn id="9123" xr3:uid="{C6A68110-6AF7-4BE4-A9F7-21F2F426236E}" name="Column9118"/>
    <tableColumn id="9124" xr3:uid="{449F633C-056F-4F39-8DC4-9BD620254148}" name="Column9119"/>
    <tableColumn id="9125" xr3:uid="{C618CEDD-9497-487E-9E78-CB9113CEE69F}" name="Column9120"/>
    <tableColumn id="9126" xr3:uid="{611E051E-68C9-4DDA-9FEB-26FF63335DB1}" name="Column9121"/>
    <tableColumn id="9127" xr3:uid="{C1F358D5-61E2-439D-9D37-B2035C6C61EB}" name="Column9122"/>
    <tableColumn id="9128" xr3:uid="{34087063-ED5F-47F6-8FCA-EA6D3AB23451}" name="Column9123"/>
    <tableColumn id="9129" xr3:uid="{C56516DC-357D-4BCB-BFAA-B340E7A81C91}" name="Column9124"/>
    <tableColumn id="9130" xr3:uid="{25F236DE-39B6-41F7-B24C-BB42BF86C544}" name="Column9125"/>
    <tableColumn id="9131" xr3:uid="{5A69FC37-CF78-425B-AB67-A7F2419E5BBE}" name="Column9126"/>
    <tableColumn id="9132" xr3:uid="{761835AD-B6CF-4463-95DC-74ABBA750436}" name="Column9127"/>
    <tableColumn id="9133" xr3:uid="{0FEF3FE0-8CCD-485C-AEB8-3B3F2CB39DA9}" name="Column9128"/>
    <tableColumn id="9134" xr3:uid="{13E9F923-51D3-42E3-88F2-228722243C4E}" name="Column9129"/>
    <tableColumn id="9135" xr3:uid="{8702FAC0-210A-4A93-A975-6AFEB2C6885A}" name="Column9130"/>
    <tableColumn id="9136" xr3:uid="{71625792-8938-48B7-AF0C-223306B12C54}" name="Column9131"/>
    <tableColumn id="9137" xr3:uid="{F6E9BC54-8259-45E0-BED9-FC37CD47FA0B}" name="Column9132"/>
    <tableColumn id="9138" xr3:uid="{E8E57ACC-1362-4FE5-96F7-4C2AA0E733F5}" name="Column9133"/>
    <tableColumn id="9139" xr3:uid="{9BC0734F-2447-4F5F-AD11-72E859EF8299}" name="Column9134"/>
    <tableColumn id="9140" xr3:uid="{8AAAA419-E1F6-4391-8372-0AF061DFD2E5}" name="Column9135"/>
    <tableColumn id="9141" xr3:uid="{94CAABBF-7643-4287-A9E0-56FE88E4C50F}" name="Column9136"/>
    <tableColumn id="9142" xr3:uid="{72D47E02-5B79-4FAF-BB64-462346B6240A}" name="Column9137"/>
    <tableColumn id="9143" xr3:uid="{37C9D5DF-1066-4BBB-854D-E84809FE5185}" name="Column9138"/>
    <tableColumn id="9144" xr3:uid="{B82DD7FF-7F29-4FD8-8948-75633C20D994}" name="Column9139"/>
    <tableColumn id="9145" xr3:uid="{3C0CBA23-86BA-4293-AC7C-2F61E17448AF}" name="Column9140"/>
    <tableColumn id="9146" xr3:uid="{B594E764-50CE-44B7-B9E6-4C806A02439D}" name="Column9141"/>
    <tableColumn id="9147" xr3:uid="{568F3E6D-4315-4C14-A8EB-B369C22F3BCA}" name="Column9142"/>
    <tableColumn id="9148" xr3:uid="{F67EE750-FA55-4FE9-B0AD-8C479F2F500F}" name="Column9143"/>
    <tableColumn id="9149" xr3:uid="{3454F4C8-9683-46E5-8590-8ADE6A47662A}" name="Column9144"/>
    <tableColumn id="9150" xr3:uid="{31FF714A-305F-44CB-8A37-3A7DA42DD366}" name="Column9145"/>
    <tableColumn id="9151" xr3:uid="{48F93070-26CC-4F53-93CE-576DF903DF87}" name="Column9146"/>
    <tableColumn id="9152" xr3:uid="{4D77BFBB-805A-410C-92F7-F1CFCA66A24F}" name="Column9147"/>
    <tableColumn id="9153" xr3:uid="{A82426F2-0ED7-4C49-9419-A870C6C50D31}" name="Column9148"/>
    <tableColumn id="9154" xr3:uid="{BE6A035D-B226-43A9-B805-083CAA69F354}" name="Column9149"/>
    <tableColumn id="9155" xr3:uid="{77BE51FE-6901-4D8A-A2D0-48C638CDFF42}" name="Column9150"/>
    <tableColumn id="9156" xr3:uid="{49A4F93B-69FD-4827-9B80-B2A1E7D0674D}" name="Column9151"/>
    <tableColumn id="9157" xr3:uid="{149EF582-5724-470A-B210-49B2A797CA88}" name="Column9152"/>
    <tableColumn id="9158" xr3:uid="{0489997B-37CF-45AE-8338-F6D3812FE8B5}" name="Column9153"/>
    <tableColumn id="9159" xr3:uid="{1F909342-EB42-4F01-AD03-89B68E44E777}" name="Column9154"/>
    <tableColumn id="9160" xr3:uid="{46D88292-84C8-46B4-870D-B92839065740}" name="Column9155"/>
    <tableColumn id="9161" xr3:uid="{794CE828-2444-4240-9A8A-2BFD38DD1614}" name="Column9156"/>
    <tableColumn id="9162" xr3:uid="{9BB6C6C3-FC6F-4862-A3D1-1C01EAC0DDE5}" name="Column9157"/>
    <tableColumn id="9163" xr3:uid="{6CA49C35-9118-4732-BA09-794ABF1D21EF}" name="Column9158"/>
    <tableColumn id="9164" xr3:uid="{6D49AA62-23E2-46E9-93A6-1B371070029E}" name="Column9159"/>
    <tableColumn id="9165" xr3:uid="{D4714A22-7CAE-4524-9EBA-29A077E02381}" name="Column9160"/>
    <tableColumn id="9166" xr3:uid="{83B91EB5-CA32-4A15-ADDD-D51CD1DB3CE2}" name="Column9161"/>
    <tableColumn id="9167" xr3:uid="{710156A4-29B8-4F09-B7BD-8598CE48137E}" name="Column9162"/>
    <tableColumn id="9168" xr3:uid="{243C7B5F-DF73-44F3-B655-5E8066F48C08}" name="Column9163"/>
    <tableColumn id="9169" xr3:uid="{4EC11EF3-6399-4CEC-A6AF-DA6297E21E59}" name="Column9164"/>
    <tableColumn id="9170" xr3:uid="{FE72130A-051E-4E9D-9C01-6FFBC945A43B}" name="Column9165"/>
    <tableColumn id="9171" xr3:uid="{07DD47C4-415B-4AB5-9B39-E3EFC56DA9BD}" name="Column9166"/>
    <tableColumn id="9172" xr3:uid="{EC1C88D3-6582-42F7-A0F5-07ED9255EDDF}" name="Column9167"/>
    <tableColumn id="9173" xr3:uid="{55CEF081-6158-4EAC-A551-4D311FD237AF}" name="Column9168"/>
    <tableColumn id="9174" xr3:uid="{718797AA-6C2C-46CC-A69C-6477E119BA43}" name="Column9169"/>
    <tableColumn id="9175" xr3:uid="{B1C1C1C8-7DDE-433A-821E-946275A40008}" name="Column9170"/>
    <tableColumn id="9176" xr3:uid="{77AA2BDC-720D-4185-9052-7C682BF4318C}" name="Column9171"/>
    <tableColumn id="9177" xr3:uid="{5FE2FCDE-EDCC-4881-BE7C-5D0179BF1600}" name="Column9172"/>
    <tableColumn id="9178" xr3:uid="{188BED43-52B7-434C-BA5F-D0E928A03897}" name="Column9173"/>
    <tableColumn id="9179" xr3:uid="{7372FDAB-3FB3-42EC-8369-3D9397710E7B}" name="Column9174"/>
    <tableColumn id="9180" xr3:uid="{78CF883F-54CD-4040-92DB-C52E527892E1}" name="Column9175"/>
    <tableColumn id="9181" xr3:uid="{A3F4FA2E-D3C9-4A40-A4B5-3D646FCF1794}" name="Column9176"/>
    <tableColumn id="9182" xr3:uid="{07CBF702-08D5-4618-B036-8F92FF7ABEB6}" name="Column9177"/>
    <tableColumn id="9183" xr3:uid="{B4C1B7B4-8BEA-4E98-814E-5492F90C08DF}" name="Column9178"/>
    <tableColumn id="9184" xr3:uid="{A07F6749-4F32-49A1-BE10-671B38644A39}" name="Column9179"/>
    <tableColumn id="9185" xr3:uid="{16D65872-1157-4123-9F30-3CD507FBCCF9}" name="Column9180"/>
    <tableColumn id="9186" xr3:uid="{C392C1DC-E61E-4822-9B28-0CCE6F272806}" name="Column9181"/>
    <tableColumn id="9187" xr3:uid="{0BCFA47A-73BC-4769-B0C7-E0B3610DC3E7}" name="Column9182"/>
    <tableColumn id="9188" xr3:uid="{836B3E05-F949-4758-AAD5-750C9713716E}" name="Column9183"/>
    <tableColumn id="9189" xr3:uid="{DAA44CCA-7C5B-42C6-B0D8-B6B134FB1A3D}" name="Column9184"/>
    <tableColumn id="9190" xr3:uid="{536267CA-3834-41BA-A97A-1757CE143B80}" name="Column9185"/>
    <tableColumn id="9191" xr3:uid="{80A6D56F-F3B4-46EE-8301-EE090EE75E47}" name="Column9186"/>
    <tableColumn id="9192" xr3:uid="{DFDFCDFE-4B80-42F1-BB4E-85DFC9A9944F}" name="Column9187"/>
    <tableColumn id="9193" xr3:uid="{1792E7D3-5CDB-4E07-9D97-5C9F37CD6211}" name="Column9188"/>
    <tableColumn id="9194" xr3:uid="{6CC67E6B-5076-4643-BE4C-E63D8AEF87C8}" name="Column9189"/>
    <tableColumn id="9195" xr3:uid="{589EB102-D96C-4E10-A825-010948FC282E}" name="Column9190"/>
    <tableColumn id="9196" xr3:uid="{729A306B-6813-4244-8ECB-85370942DF55}" name="Column9191"/>
    <tableColumn id="9197" xr3:uid="{47632201-9AB7-43EE-B2BE-0B0F55F26796}" name="Column9192"/>
    <tableColumn id="9198" xr3:uid="{AA8DEC15-B52F-4A14-93F4-F2E4FDF6001D}" name="Column9193"/>
    <tableColumn id="9199" xr3:uid="{EFB9EC25-01C2-4023-84B8-D92235A19CD5}" name="Column9194"/>
    <tableColumn id="9200" xr3:uid="{831F382E-B823-464E-B533-F0F8B66570CF}" name="Column9195"/>
    <tableColumn id="9201" xr3:uid="{AA2DE20D-0611-4928-82AF-58AE95720E9C}" name="Column9196"/>
    <tableColumn id="9202" xr3:uid="{FABF6A3D-F58D-42A4-BBF8-214026D656A3}" name="Column9197"/>
    <tableColumn id="9203" xr3:uid="{2FF5C288-0C26-4D79-B47C-EDEB87A7C99E}" name="Column9198"/>
    <tableColumn id="9204" xr3:uid="{A7EC08F4-CEDE-4283-A7B7-260D3D3DFA9A}" name="Column9199"/>
    <tableColumn id="9205" xr3:uid="{376AA8DC-8E07-4BFA-8468-1E4E1E2410AD}" name="Column9200"/>
    <tableColumn id="9206" xr3:uid="{BD30C773-D7A8-43FC-9A1B-A430E7A1FC5A}" name="Column9201"/>
    <tableColumn id="9207" xr3:uid="{51D1B836-A9A2-4555-8BC4-30DD4961B74F}" name="Column9202"/>
    <tableColumn id="9208" xr3:uid="{80AB5A42-64FB-483C-9244-581DAFF4A719}" name="Column9203"/>
    <tableColumn id="9209" xr3:uid="{7451DBEB-50C0-44CC-BBA9-FDAB691592BA}" name="Column9204"/>
    <tableColumn id="9210" xr3:uid="{5CF7B4F0-882B-4133-A2F6-7358041331FB}" name="Column9205"/>
    <tableColumn id="9211" xr3:uid="{ACB84566-BB5D-4C72-B028-870F432678FE}" name="Column9206"/>
    <tableColumn id="9212" xr3:uid="{A6B8EAE1-97C8-4DDD-A672-4C1F6C2B153A}" name="Column9207"/>
    <tableColumn id="9213" xr3:uid="{DAEC958F-7A82-44DB-9563-E924893260B3}" name="Column9208"/>
    <tableColumn id="9214" xr3:uid="{3E503A4E-1091-4AAD-9301-504B3092D575}" name="Column9209"/>
    <tableColumn id="9215" xr3:uid="{C165B588-1474-4361-BEF6-4BDAB5F0CEFA}" name="Column9210"/>
    <tableColumn id="9216" xr3:uid="{E98183C4-A98C-45EC-9A78-DFB9216DEB53}" name="Column9211"/>
    <tableColumn id="9217" xr3:uid="{83B54592-5BF4-4101-850B-8244BA31501D}" name="Column9212"/>
    <tableColumn id="9218" xr3:uid="{7113B579-24D5-4D1E-B693-32772339D37D}" name="Column9213"/>
    <tableColumn id="9219" xr3:uid="{ED3C8BD2-E971-4634-A5EC-7C3C5A5BE5B3}" name="Column9214"/>
    <tableColumn id="9220" xr3:uid="{65E9FB60-513E-4688-B917-9CAD7143E795}" name="Column9215"/>
    <tableColumn id="9221" xr3:uid="{9936C24E-7136-474D-BFB3-4D766967EFD1}" name="Column9216"/>
    <tableColumn id="9222" xr3:uid="{AE411500-C726-4897-A17A-074AB398C86F}" name="Column9217"/>
    <tableColumn id="9223" xr3:uid="{1063C0B9-29F9-4F78-8491-835F46A7C74D}" name="Column9218"/>
    <tableColumn id="9224" xr3:uid="{C5D0539E-78EE-4DA6-852C-408D2A57D795}" name="Column9219"/>
    <tableColumn id="9225" xr3:uid="{6D134175-5075-454E-9796-534A7FD8148D}" name="Column9220"/>
    <tableColumn id="9226" xr3:uid="{A7922D02-B3E7-45D7-BC26-DB17BABDAEC1}" name="Column9221"/>
    <tableColumn id="9227" xr3:uid="{815B5216-FDEA-487B-B290-200B1AC0C8CE}" name="Column9222"/>
    <tableColumn id="9228" xr3:uid="{D509A911-8A04-4AF3-8406-412A1A851D34}" name="Column9223"/>
    <tableColumn id="9229" xr3:uid="{EF041CD4-C815-4752-B949-11C942699161}" name="Column9224"/>
    <tableColumn id="9230" xr3:uid="{0F725884-1034-4460-9453-7C2E2C576B6C}" name="Column9225"/>
    <tableColumn id="9231" xr3:uid="{0DCC44CA-1145-46E8-9D99-843DA6484EF9}" name="Column9226"/>
    <tableColumn id="9232" xr3:uid="{32B69AB9-EE85-4CCA-9E88-63DA0CB4AE61}" name="Column9227"/>
    <tableColumn id="9233" xr3:uid="{2C8F0D0E-033B-4572-9095-949E02DEB403}" name="Column9228"/>
    <tableColumn id="9234" xr3:uid="{FC13A548-7F46-4C72-98B4-33F1A7E9832B}" name="Column9229"/>
    <tableColumn id="9235" xr3:uid="{C79BD4D0-D7B0-4F18-93D7-6644E38A24CB}" name="Column9230"/>
    <tableColumn id="9236" xr3:uid="{BB97A99D-F3CB-4B7A-8EAD-83159EB07AA9}" name="Column9231"/>
    <tableColumn id="9237" xr3:uid="{FCA85234-F333-4F85-8C0D-7860C30C9DB3}" name="Column9232"/>
    <tableColumn id="9238" xr3:uid="{398B8AA2-7D76-4423-8F58-7734D0C8A644}" name="Column9233"/>
    <tableColumn id="9239" xr3:uid="{EDD55CC9-BEDF-4652-842F-AF3A228F592B}" name="Column9234"/>
    <tableColumn id="9240" xr3:uid="{65AD75BF-8D25-4107-9A90-3FE43278E1EB}" name="Column9235"/>
    <tableColumn id="9241" xr3:uid="{13F6D272-A80F-461F-948A-FE17E2A381E2}" name="Column9236"/>
    <tableColumn id="9242" xr3:uid="{8438D6B9-981F-4648-B0C4-2BBBEDA0F5BC}" name="Column9237"/>
    <tableColumn id="9243" xr3:uid="{CC210787-7A08-4D36-AB20-0B8308DDED64}" name="Column9238"/>
    <tableColumn id="9244" xr3:uid="{EBC1652A-C59A-43B0-9CAD-A24CF0BE48AB}" name="Column9239"/>
    <tableColumn id="9245" xr3:uid="{E0FF0CDC-136D-4822-AE67-32F1D0E52027}" name="Column9240"/>
    <tableColumn id="9246" xr3:uid="{3A46592E-A2FC-45EA-AF80-FAF9CA9705A8}" name="Column9241"/>
    <tableColumn id="9247" xr3:uid="{02CBBD00-CC0B-4657-B974-34968A9385F4}" name="Column9242"/>
    <tableColumn id="9248" xr3:uid="{CCCF4BB6-BCA3-434F-B3EA-BFC234B01093}" name="Column9243"/>
    <tableColumn id="9249" xr3:uid="{3630DCF5-B81B-49B1-8FF9-AE76FC69C696}" name="Column9244"/>
    <tableColumn id="9250" xr3:uid="{B202D657-5A4E-4F9B-ACE4-DAA6C48BCBF9}" name="Column9245"/>
    <tableColumn id="9251" xr3:uid="{921297E0-A705-4A08-B9C5-B5C18FA03970}" name="Column9246"/>
    <tableColumn id="9252" xr3:uid="{8C95BE11-B45C-47FA-AAB6-1BF20148A891}" name="Column9247"/>
    <tableColumn id="9253" xr3:uid="{75D52064-A00F-47E8-849C-4BBE191C1285}" name="Column9248"/>
    <tableColumn id="9254" xr3:uid="{DAFC9164-AD73-4049-9B29-17E0BE1D049D}" name="Column9249"/>
    <tableColumn id="9255" xr3:uid="{25683A00-8A52-4482-934C-9A7F6B98E74B}" name="Column9250"/>
    <tableColumn id="9256" xr3:uid="{E8CD21AD-7EB0-473B-BB21-87E4D271FC0B}" name="Column9251"/>
    <tableColumn id="9257" xr3:uid="{DAF04F20-8E77-49C3-99BB-C3140828D5ED}" name="Column9252"/>
    <tableColumn id="9258" xr3:uid="{4B774D50-4E66-41D2-BE5F-5FB93FE72D1F}" name="Column9253"/>
    <tableColumn id="9259" xr3:uid="{078288DA-2BDF-4D75-B892-FFD4A0942C80}" name="Column9254"/>
    <tableColumn id="9260" xr3:uid="{6A2FF5FD-386D-4875-94AF-C3F5451E98DD}" name="Column9255"/>
    <tableColumn id="9261" xr3:uid="{6804CB58-70BC-4FA8-888C-FF929026D617}" name="Column9256"/>
    <tableColumn id="9262" xr3:uid="{73433F72-CD60-492C-8CBB-B3912E1899ED}" name="Column9257"/>
    <tableColumn id="9263" xr3:uid="{BEE2FBB3-3CFE-43B9-A266-4EDDA465B683}" name="Column9258"/>
    <tableColumn id="9264" xr3:uid="{2CC4CBAD-B355-4706-A4AC-84A0D371A28F}" name="Column9259"/>
    <tableColumn id="9265" xr3:uid="{B45DEF2E-E110-4880-8B65-5BA815146DBF}" name="Column9260"/>
    <tableColumn id="9266" xr3:uid="{077CE5E6-AC6B-4C32-9095-7BC619735774}" name="Column9261"/>
    <tableColumn id="9267" xr3:uid="{05E40A3F-2A65-4649-84E8-54951E2FA6FD}" name="Column9262"/>
    <tableColumn id="9268" xr3:uid="{A886914F-7C1D-4819-8F05-EA85AA046D94}" name="Column9263"/>
    <tableColumn id="9269" xr3:uid="{3CFC266C-C4AB-42D3-8448-C5406A312435}" name="Column9264"/>
    <tableColumn id="9270" xr3:uid="{0C9A6387-01B0-4855-AFBE-F581A7B2931C}" name="Column9265"/>
    <tableColumn id="9271" xr3:uid="{C66EA27B-44EE-47D8-8070-C7DBAEBEAF6B}" name="Column9266"/>
    <tableColumn id="9272" xr3:uid="{4313D853-9C5C-41F6-9970-F9FFEC091D7E}" name="Column9267"/>
    <tableColumn id="9273" xr3:uid="{020573B9-E592-4586-9E9A-1882AEECCA42}" name="Column9268"/>
    <tableColumn id="9274" xr3:uid="{CF9CE434-DA07-454B-A3F8-8408A74264CF}" name="Column9269"/>
    <tableColumn id="9275" xr3:uid="{433E9FD9-EA2A-461E-B477-3070F4CB98FD}" name="Column9270"/>
    <tableColumn id="9276" xr3:uid="{CDFBD63F-4497-4CEC-AF0A-0844C6DECB40}" name="Column9271"/>
    <tableColumn id="9277" xr3:uid="{664E8DF0-08BE-478A-B0CE-454A710C40D8}" name="Column9272"/>
    <tableColumn id="9278" xr3:uid="{6B18DE7C-6AD9-438C-BD36-3279E2538FA0}" name="Column9273"/>
    <tableColumn id="9279" xr3:uid="{CE5749F7-1C78-4C8E-A7B8-D8DA7B4D07B6}" name="Column9274"/>
    <tableColumn id="9280" xr3:uid="{0AC549C5-93EE-4F97-893C-4F4A7B7A08DB}" name="Column9275"/>
    <tableColumn id="9281" xr3:uid="{773FCF58-26F3-4727-8045-1005CB116AF2}" name="Column9276"/>
    <tableColumn id="9282" xr3:uid="{0F926F0F-7545-4D68-8A20-1E5D6A34FA5C}" name="Column9277"/>
    <tableColumn id="9283" xr3:uid="{ACEF0BBB-4CB2-4155-9A24-CFF67CEC939E}" name="Column9278"/>
    <tableColumn id="9284" xr3:uid="{4043D387-C4D0-47DD-8AE3-9A7DA21F16D6}" name="Column9279"/>
    <tableColumn id="9285" xr3:uid="{DDC69666-EB64-40D2-A47F-3D2AD910D462}" name="Column9280"/>
    <tableColumn id="9286" xr3:uid="{BD6C1AB7-8706-4167-B499-19DB246BF77B}" name="Column9281"/>
    <tableColumn id="9287" xr3:uid="{9AE24508-71B5-456A-BED3-DE5A0A6DEE63}" name="Column9282"/>
    <tableColumn id="9288" xr3:uid="{65DEC0F9-FF96-4E1A-8628-508664614CF9}" name="Column9283"/>
    <tableColumn id="9289" xr3:uid="{28F52602-E29B-4A59-AB12-BAF8B1479CFA}" name="Column9284"/>
    <tableColumn id="9290" xr3:uid="{8F80BFE5-5F2B-4F9A-8310-EB86AEF50304}" name="Column9285"/>
    <tableColumn id="9291" xr3:uid="{CE1E8041-9751-49F2-846A-31F66341697F}" name="Column9286"/>
    <tableColumn id="9292" xr3:uid="{288EFCAA-2551-49B1-9742-16475FA1EF0A}" name="Column9287"/>
    <tableColumn id="9293" xr3:uid="{1FF00819-1E6F-4B85-A612-9F37ADE053C5}" name="Column9288"/>
    <tableColumn id="9294" xr3:uid="{A0531CDF-42ED-4DAB-A275-1712D163E071}" name="Column9289"/>
    <tableColumn id="9295" xr3:uid="{979C8FC8-3F21-4F04-A300-E12B7D30A6B6}" name="Column9290"/>
    <tableColumn id="9296" xr3:uid="{5DA45618-170B-4CF8-88D0-B490EC90F3F1}" name="Column9291"/>
    <tableColumn id="9297" xr3:uid="{9422A4BA-72CE-4CEB-AB66-7E383F116E65}" name="Column9292"/>
    <tableColumn id="9298" xr3:uid="{2B3E2C50-DC14-4469-86FE-A0CCE71A8165}" name="Column9293"/>
    <tableColumn id="9299" xr3:uid="{A2936F4A-565F-42DE-A28E-E0B86562092D}" name="Column9294"/>
    <tableColumn id="9300" xr3:uid="{6047B9D6-F2A3-466C-BDF7-BB0438626BEC}" name="Column9295"/>
    <tableColumn id="9301" xr3:uid="{302B166A-BC7F-40D0-A4A3-80D8D768A9EA}" name="Column9296"/>
    <tableColumn id="9302" xr3:uid="{294A5DEC-1069-4628-8B57-16312813201A}" name="Column9297"/>
    <tableColumn id="9303" xr3:uid="{E2A85214-A0CF-4217-BA62-427D746EC7F4}" name="Column9298"/>
    <tableColumn id="9304" xr3:uid="{788827AB-679C-4521-A900-E5F4C8F9F2D1}" name="Column9299"/>
    <tableColumn id="9305" xr3:uid="{17E66BA4-E86D-402C-9B01-60096A07EBA1}" name="Column9300"/>
    <tableColumn id="9306" xr3:uid="{A40C3947-A14D-4BFF-A2CE-8A01D75BF0E1}" name="Column9301"/>
    <tableColumn id="9307" xr3:uid="{425C8583-651E-46E4-A93C-132EB16D18FE}" name="Column9302"/>
    <tableColumn id="9308" xr3:uid="{9B33C50F-C68C-453D-9DB0-AAADE5D1C33D}" name="Column9303"/>
    <tableColumn id="9309" xr3:uid="{D33FDBC2-20D4-426F-9D97-7AD4305898B7}" name="Column9304"/>
    <tableColumn id="9310" xr3:uid="{3A7205A3-676C-49A0-BBE3-091BED01FF49}" name="Column9305"/>
    <tableColumn id="9311" xr3:uid="{B6E13DAD-AAB0-4B39-BBE2-40A17C8C81C2}" name="Column9306"/>
    <tableColumn id="9312" xr3:uid="{AA9A1357-386B-4ED0-B797-EF39B527B1EE}" name="Column9307"/>
    <tableColumn id="9313" xr3:uid="{43918AB2-83DD-4A7C-BDA3-874F64C0F6CA}" name="Column9308"/>
    <tableColumn id="9314" xr3:uid="{B5D2DA69-19F3-4624-98C4-8BAF73C0A4C5}" name="Column9309"/>
    <tableColumn id="9315" xr3:uid="{A8038F24-F94B-44A4-A8EA-224B74AE30CE}" name="Column9310"/>
    <tableColumn id="9316" xr3:uid="{5F95D2BC-D672-4BBC-BD94-D8451FBAB562}" name="Column9311"/>
    <tableColumn id="9317" xr3:uid="{6F1871ED-E586-4741-8106-B57DAC289CF8}" name="Column9312"/>
    <tableColumn id="9318" xr3:uid="{80FE2129-3041-4336-882E-AC2D4E41755E}" name="Column9313"/>
    <tableColumn id="9319" xr3:uid="{DF60DD27-5DE3-402B-AC4E-52D458EAC1C1}" name="Column9314"/>
    <tableColumn id="9320" xr3:uid="{EBF846BA-30A6-4393-95F4-9D2E2005A0DF}" name="Column9315"/>
    <tableColumn id="9321" xr3:uid="{F1853C1B-7E4B-448D-B183-FC8385DF3B18}" name="Column9316"/>
    <tableColumn id="9322" xr3:uid="{CCBDA400-3F2F-4F98-BFB5-5B71F8821A8B}" name="Column9317"/>
    <tableColumn id="9323" xr3:uid="{71DAA6D3-9090-41E4-9DDE-7283D284DB4B}" name="Column9318"/>
    <tableColumn id="9324" xr3:uid="{110F3132-4062-4CEF-B067-C9596A8DA290}" name="Column9319"/>
    <tableColumn id="9325" xr3:uid="{86386DBF-FC74-4531-B326-176829E6DC7B}" name="Column9320"/>
    <tableColumn id="9326" xr3:uid="{758F925D-30E2-48BB-B70F-DAE4D1C8596F}" name="Column9321"/>
    <tableColumn id="9327" xr3:uid="{4364451D-E7E2-4F45-86D8-35494183A234}" name="Column9322"/>
    <tableColumn id="9328" xr3:uid="{32D0F66C-5446-4303-99E8-AC09A120B8D8}" name="Column9323"/>
    <tableColumn id="9329" xr3:uid="{36EB1CF3-AC48-4414-AA25-2B96FCF95577}" name="Column9324"/>
    <tableColumn id="9330" xr3:uid="{E858413A-68E9-4296-86F4-F1DA80D21C20}" name="Column9325"/>
    <tableColumn id="9331" xr3:uid="{EE767B10-75CE-4589-AD5A-D511B5A0A8E3}" name="Column9326"/>
    <tableColumn id="9332" xr3:uid="{FA1DD1A2-E610-473C-9E7E-0D6473F2F425}" name="Column9327"/>
    <tableColumn id="9333" xr3:uid="{883C60EA-BD09-4BC8-A04B-472EA7DC7144}" name="Column9328"/>
    <tableColumn id="9334" xr3:uid="{68C55946-E0C9-4465-B717-6C73A2E703A1}" name="Column9329"/>
    <tableColumn id="9335" xr3:uid="{D9C2072D-B80E-45B2-9604-F6A6F4F2E668}" name="Column9330"/>
    <tableColumn id="9336" xr3:uid="{5A22B71E-E961-4134-8A52-FAF4700D604C}" name="Column9331"/>
    <tableColumn id="9337" xr3:uid="{42542B24-96FE-46B5-AF85-F81D33A5EDE3}" name="Column9332"/>
    <tableColumn id="9338" xr3:uid="{7F72E6E3-9E44-4966-8C74-D03E4297E18D}" name="Column9333"/>
    <tableColumn id="9339" xr3:uid="{C613C7FA-2BA1-4B57-9709-E20E1BA1F25F}" name="Column9334"/>
    <tableColumn id="9340" xr3:uid="{1B001491-AB92-4398-B6DE-BBC556EC0D93}" name="Column9335"/>
    <tableColumn id="9341" xr3:uid="{6B8395D4-FEBE-4636-A0F8-B6EED457440E}" name="Column9336"/>
    <tableColumn id="9342" xr3:uid="{66DE2A71-B0B4-401E-9EFE-2E380C7D2EB1}" name="Column9337"/>
    <tableColumn id="9343" xr3:uid="{B7790AFC-AE61-458C-BD1F-743129B73A81}" name="Column9338"/>
    <tableColumn id="9344" xr3:uid="{0DC2A65C-F353-4A1F-90B6-6CCBBFB3F81F}" name="Column9339"/>
    <tableColumn id="9345" xr3:uid="{33872176-C94A-46DE-BACF-141EE05C7359}" name="Column9340"/>
    <tableColumn id="9346" xr3:uid="{55F57C8A-6DAA-4825-A2F6-BC8C3982AD20}" name="Column9341"/>
    <tableColumn id="9347" xr3:uid="{3AB2ECEC-4C57-462B-8840-A16A1F9BF49C}" name="Column9342"/>
    <tableColumn id="9348" xr3:uid="{9882911C-31BF-4D86-BCCE-E77EC39E0709}" name="Column9343"/>
    <tableColumn id="9349" xr3:uid="{E13D8EEE-FDC1-4D3B-990D-DA9B4D44C84F}" name="Column9344"/>
    <tableColumn id="9350" xr3:uid="{A01820BF-0A65-4484-9880-EEA0DBBF009E}" name="Column9345"/>
    <tableColumn id="9351" xr3:uid="{4A1A7622-F91E-4B7A-AC07-E2B11D371414}" name="Column9346"/>
    <tableColumn id="9352" xr3:uid="{6F944C27-07DD-4C9D-9FDA-EFEE2CA617C4}" name="Column9347"/>
    <tableColumn id="9353" xr3:uid="{7B9FE54D-70DF-44D0-857B-AAB12EE19A8D}" name="Column9348"/>
    <tableColumn id="9354" xr3:uid="{8CAD1C6C-C666-41A6-BC7B-2A9A923640C4}" name="Column9349"/>
    <tableColumn id="9355" xr3:uid="{722ED6AF-159B-495A-BECF-59211F50C82A}" name="Column9350"/>
    <tableColumn id="9356" xr3:uid="{6C19E9C5-7EBA-4C13-9ACA-905F83D6BAD0}" name="Column9351"/>
    <tableColumn id="9357" xr3:uid="{9030321A-CD59-452E-AB28-C72FFA8EFD6C}" name="Column9352"/>
    <tableColumn id="9358" xr3:uid="{FE13C368-4504-4609-ADC0-B4D2174C0792}" name="Column9353"/>
    <tableColumn id="9359" xr3:uid="{2763CDA2-738A-42AF-A40F-B3EFD85658ED}" name="Column9354"/>
    <tableColumn id="9360" xr3:uid="{0383547C-EACA-49E8-A53F-85EED96D5CA2}" name="Column9355"/>
    <tableColumn id="9361" xr3:uid="{E1CA52F2-6966-4873-91D7-C562F0010A67}" name="Column9356"/>
    <tableColumn id="9362" xr3:uid="{EDABEFDB-831D-4BD1-A888-98AAE305398B}" name="Column9357"/>
    <tableColumn id="9363" xr3:uid="{C082D1B2-051A-4B77-99D1-1F0644A8F082}" name="Column9358"/>
    <tableColumn id="9364" xr3:uid="{E382B5F9-72CB-40EC-A935-11F44905CC39}" name="Column9359"/>
    <tableColumn id="9365" xr3:uid="{D4DD26BF-9CE4-46DB-94B7-F1D19C22460E}" name="Column9360"/>
    <tableColumn id="9366" xr3:uid="{DCAC7A0B-7690-4DE0-A042-EC71219FFE44}" name="Column9361"/>
    <tableColumn id="9367" xr3:uid="{EDAC6A7D-42BC-4432-9393-A019A526AFD1}" name="Column9362"/>
    <tableColumn id="9368" xr3:uid="{B1911AED-709D-451A-9241-D75B149A0A2A}" name="Column9363"/>
    <tableColumn id="9369" xr3:uid="{5532DA53-2338-42A5-AE4F-5FC9E1DD4148}" name="Column9364"/>
    <tableColumn id="9370" xr3:uid="{F12AFEBE-86C1-4A49-AC88-2025DC60E782}" name="Column9365"/>
    <tableColumn id="9371" xr3:uid="{BFE5E07D-F294-426A-AA22-D4C3537EB913}" name="Column9366"/>
    <tableColumn id="9372" xr3:uid="{A5B73A04-CD09-4580-841D-59FEB8D59FAF}" name="Column9367"/>
    <tableColumn id="9373" xr3:uid="{F17C7C2E-20A4-45C7-AD99-044F099490D8}" name="Column9368"/>
    <tableColumn id="9374" xr3:uid="{C7E36415-2F49-480B-83D3-F6CA027EA964}" name="Column9369"/>
    <tableColumn id="9375" xr3:uid="{3731398E-C846-42DC-8D60-8C24962C859E}" name="Column9370"/>
    <tableColumn id="9376" xr3:uid="{2DF7230B-4635-4B88-8A9E-0E3D69A77047}" name="Column9371"/>
    <tableColumn id="9377" xr3:uid="{1DBFAC42-DC9E-4A6A-AD72-DEF8879952CB}" name="Column9372"/>
    <tableColumn id="9378" xr3:uid="{0DB14B9A-F758-40C2-A8D6-8ED4C18E0E8B}" name="Column9373"/>
    <tableColumn id="9379" xr3:uid="{345BB157-78B4-46B5-8FCA-891E3E0DEF60}" name="Column9374"/>
    <tableColumn id="9380" xr3:uid="{0099D79C-3148-495B-9080-3C920782FC55}" name="Column9375"/>
    <tableColumn id="9381" xr3:uid="{EF0A28AB-2BCC-494C-B387-8AEBA012D3E0}" name="Column9376"/>
    <tableColumn id="9382" xr3:uid="{D09872CC-4A77-4081-AAD7-F458C5B91594}" name="Column9377"/>
    <tableColumn id="9383" xr3:uid="{F20CAA91-D5B1-4136-A726-5F2803DBBBE5}" name="Column9378"/>
    <tableColumn id="9384" xr3:uid="{A491DA3D-B717-4D5B-8930-185C0AC8FA46}" name="Column9379"/>
    <tableColumn id="9385" xr3:uid="{0E6B317C-C814-4134-9639-401801F78A9A}" name="Column9380"/>
    <tableColumn id="9386" xr3:uid="{09AF844F-38ED-40FA-B68F-9776CD78EE66}" name="Column9381"/>
    <tableColumn id="9387" xr3:uid="{A8C87C83-57F8-4330-A0ED-A1DA591ED625}" name="Column9382"/>
    <tableColumn id="9388" xr3:uid="{804E45B7-3EB5-4A12-87A9-CC1CFB06B2FB}" name="Column9383"/>
    <tableColumn id="9389" xr3:uid="{AA6EC14B-FAA5-45D3-AFC0-CF7F64968E10}" name="Column9384"/>
    <tableColumn id="9390" xr3:uid="{A5B5CF55-0FD8-4BBA-A4D0-415CE9943F80}" name="Column9385"/>
    <tableColumn id="9391" xr3:uid="{05E62AEC-FD82-4193-8F32-60465B4381FB}" name="Column9386"/>
    <tableColumn id="9392" xr3:uid="{FF20B697-0C81-4B28-B55F-475A1BD908AF}" name="Column9387"/>
    <tableColumn id="9393" xr3:uid="{D1119F23-5D31-4C83-BEA5-8AD7230EC2E3}" name="Column9388"/>
    <tableColumn id="9394" xr3:uid="{A5E9EF66-93F2-474E-AE8B-6E0E4D89C4AF}" name="Column9389"/>
    <tableColumn id="9395" xr3:uid="{5EDE6D5B-DFAA-432A-9EB8-2E9D511BAA94}" name="Column9390"/>
    <tableColumn id="9396" xr3:uid="{3C84C6C6-34DD-4C37-A248-8D1CE8C4727D}" name="Column9391"/>
    <tableColumn id="9397" xr3:uid="{2658E1E1-65F0-4728-9BD7-A055E67B7DC5}" name="Column9392"/>
    <tableColumn id="9398" xr3:uid="{07EAFD05-2917-45D5-AD71-659EE1682558}" name="Column9393"/>
    <tableColumn id="9399" xr3:uid="{45F79278-5C2A-42FC-8183-F2E550901245}" name="Column9394"/>
    <tableColumn id="9400" xr3:uid="{C69A966C-555D-4B04-BE61-6562D1A49591}" name="Column9395"/>
    <tableColumn id="9401" xr3:uid="{E03A0709-EF62-46C7-ACC1-6AC9C65558C9}" name="Column9396"/>
    <tableColumn id="9402" xr3:uid="{009189AF-25E7-4C86-AB69-3809C3AA4FCA}" name="Column9397"/>
    <tableColumn id="9403" xr3:uid="{A8D74163-F2BD-4100-BBE1-9C897511CA25}" name="Column9398"/>
    <tableColumn id="9404" xr3:uid="{46DE6E67-EE58-4A47-8DAD-1A7358CCA152}" name="Column9399"/>
    <tableColumn id="9405" xr3:uid="{B93EC08E-0A5C-4B0D-BBB8-CDBE269980CB}" name="Column9400"/>
    <tableColumn id="9406" xr3:uid="{EE5B4BCA-AC25-449A-A544-47FC24085D1F}" name="Column9401"/>
    <tableColumn id="9407" xr3:uid="{EE888F1D-843A-47F7-8807-A3C16EABC640}" name="Column9402"/>
    <tableColumn id="9408" xr3:uid="{6BD9AE81-9BF9-4CF0-B398-F6016340B25C}" name="Column9403"/>
    <tableColumn id="9409" xr3:uid="{A73C606A-2D40-4442-A693-5B1923CF5D93}" name="Column9404"/>
    <tableColumn id="9410" xr3:uid="{FEDDB30A-D209-4AB1-AC1E-898125BF5510}" name="Column9405"/>
    <tableColumn id="9411" xr3:uid="{85BB7D23-D40E-4E8B-83B6-C1AEB55E08BC}" name="Column9406"/>
    <tableColumn id="9412" xr3:uid="{7467CBF2-847D-4C96-81E0-FAFAA067113A}" name="Column9407"/>
    <tableColumn id="9413" xr3:uid="{0918D70D-7940-445F-B05B-DCC7F76F5652}" name="Column9408"/>
    <tableColumn id="9414" xr3:uid="{C18E55D3-3E50-4F2C-B886-988BB7064CB3}" name="Column9409"/>
    <tableColumn id="9415" xr3:uid="{85854CE3-8750-466D-AD6D-2712AAE058CA}" name="Column9410"/>
    <tableColumn id="9416" xr3:uid="{9273DA25-2927-4ECA-86D4-D0B25035733F}" name="Column9411"/>
    <tableColumn id="9417" xr3:uid="{05A0B0DD-1280-45C3-BD49-39D5F42B1710}" name="Column9412"/>
    <tableColumn id="9418" xr3:uid="{96E0CC57-2072-444F-A2B5-91F2B71CE20B}" name="Column9413"/>
    <tableColumn id="9419" xr3:uid="{9E689507-69D3-4A21-B108-798AB0EFA3E0}" name="Column9414"/>
    <tableColumn id="9420" xr3:uid="{40CE22DD-A54C-444A-9652-BA5D5020AC8F}" name="Column9415"/>
    <tableColumn id="9421" xr3:uid="{5BBB32BB-6408-4F43-A6A8-DC67992EBA1B}" name="Column9416"/>
    <tableColumn id="9422" xr3:uid="{214EA9AC-F822-433E-83A7-EDBCD8BF6B11}" name="Column9417"/>
    <tableColumn id="9423" xr3:uid="{2F11C896-A582-44AC-BBFF-1B90169A5151}" name="Column9418"/>
    <tableColumn id="9424" xr3:uid="{423EB4E5-57A5-425A-88AA-0546DFAAD562}" name="Column9419"/>
    <tableColumn id="9425" xr3:uid="{3627D265-BE78-4368-9BEB-45A311EF4625}" name="Column9420"/>
    <tableColumn id="9426" xr3:uid="{B1432A10-40BC-492E-97CD-614AA3A5A2BC}" name="Column9421"/>
    <tableColumn id="9427" xr3:uid="{7D9FB2D8-E6E4-4712-95AC-5BAD96C688C8}" name="Column9422"/>
    <tableColumn id="9428" xr3:uid="{034A0634-01B7-4A7F-BC03-80ED76262C0E}" name="Column9423"/>
    <tableColumn id="9429" xr3:uid="{D134FDFE-4798-48B7-BAC2-7C8323F7F2A5}" name="Column9424"/>
    <tableColumn id="9430" xr3:uid="{C5549BC2-E28A-4B67-8686-A68923525808}" name="Column9425"/>
    <tableColumn id="9431" xr3:uid="{E60A88C5-677D-4D3D-9B71-21650D72B88F}" name="Column9426"/>
    <tableColumn id="9432" xr3:uid="{D53FA4A0-8DB6-4A46-9FDD-A1D9AE279AD7}" name="Column9427"/>
    <tableColumn id="9433" xr3:uid="{87E906D4-13D2-4F70-8A57-49C801D4DBC7}" name="Column9428"/>
    <tableColumn id="9434" xr3:uid="{2CB4C67D-BE21-4485-BDEF-B54D1BC03F19}" name="Column9429"/>
    <tableColumn id="9435" xr3:uid="{C746F67B-B1B8-4FF0-AB8E-3055585D3260}" name="Column9430"/>
    <tableColumn id="9436" xr3:uid="{2FF17EDD-99B3-48C6-94BE-7A05641F7BF6}" name="Column9431"/>
    <tableColumn id="9437" xr3:uid="{A61F4D1F-7D86-4193-BC49-108C57801B96}" name="Column9432"/>
    <tableColumn id="9438" xr3:uid="{1382E0EA-6C00-4272-9D0D-C830A46E4D11}" name="Column9433"/>
    <tableColumn id="9439" xr3:uid="{A7769729-FF4F-4E6D-89C9-B5FB80670DEE}" name="Column9434"/>
    <tableColumn id="9440" xr3:uid="{9ECD1E83-0C9F-4F99-AD6C-2EA65848EC8E}" name="Column9435"/>
    <tableColumn id="9441" xr3:uid="{850F4FE6-3E6D-4A33-A5FB-FC85F0CA5262}" name="Column9436"/>
    <tableColumn id="9442" xr3:uid="{AACC895B-3B20-43B3-A844-8A4260BF2C43}" name="Column9437"/>
    <tableColumn id="9443" xr3:uid="{9E18A931-9E6D-43A6-B55A-FA26B303E797}" name="Column9438"/>
    <tableColumn id="9444" xr3:uid="{7AF6554D-600E-4094-B1C1-B9AE6A153E94}" name="Column9439"/>
    <tableColumn id="9445" xr3:uid="{164C92CD-05DB-4587-9AC3-8E206E9ADC4B}" name="Column9440"/>
    <tableColumn id="9446" xr3:uid="{15ACE2E4-CE17-4D45-BEE9-D30D4889A4D5}" name="Column9441"/>
    <tableColumn id="9447" xr3:uid="{EEB262CF-9966-4CA2-9F48-A4AF5A5B2616}" name="Column9442"/>
    <tableColumn id="9448" xr3:uid="{719115D3-51AA-4A75-97D2-C71366FD65B6}" name="Column9443"/>
    <tableColumn id="9449" xr3:uid="{1F723884-3166-4B9E-9483-77C5A44463A0}" name="Column9444"/>
    <tableColumn id="9450" xr3:uid="{2AF49677-76FD-413B-BEB5-3BC874A29F52}" name="Column9445"/>
    <tableColumn id="9451" xr3:uid="{8BCD3C9A-9075-4DF9-940B-1A21EC3B9B4B}" name="Column9446"/>
    <tableColumn id="9452" xr3:uid="{F583F5E2-11FD-46BD-9250-72D28AA7E385}" name="Column9447"/>
    <tableColumn id="9453" xr3:uid="{BFBB2621-3B0A-4D40-8DDA-BE0DC90E166B}" name="Column9448"/>
    <tableColumn id="9454" xr3:uid="{20FC6801-9700-420E-92AF-7258ABE97F71}" name="Column9449"/>
    <tableColumn id="9455" xr3:uid="{C5C58F02-7B21-467B-92F8-3533F72158CC}" name="Column9450"/>
    <tableColumn id="9456" xr3:uid="{DD1F6CA9-4119-4D40-8772-9A63E57D6381}" name="Column9451"/>
    <tableColumn id="9457" xr3:uid="{9AC28FF4-D5F1-4453-A605-16C14215CA47}" name="Column9452"/>
    <tableColumn id="9458" xr3:uid="{9EE11BE2-3589-4736-9ECD-8D5A5838CEC7}" name="Column9453"/>
    <tableColumn id="9459" xr3:uid="{15498943-5190-4FDE-A0E7-B81EF73B2147}" name="Column9454"/>
    <tableColumn id="9460" xr3:uid="{57917A8D-217A-4CE0-90C4-DAD76435DE8A}" name="Column9455"/>
    <tableColumn id="9461" xr3:uid="{2E49A838-9A69-4008-8B86-B1DBD7B64F1D}" name="Column9456"/>
    <tableColumn id="9462" xr3:uid="{BE5263A9-8197-4397-9E4B-52A0B373FB6A}" name="Column9457"/>
    <tableColumn id="9463" xr3:uid="{E16ACBB1-1DCE-4351-964A-FF8CF4FF6CB9}" name="Column9458"/>
    <tableColumn id="9464" xr3:uid="{0875C8EB-DF82-4E61-AC7A-07B8AFB7A89F}" name="Column9459"/>
    <tableColumn id="9465" xr3:uid="{61A09486-5642-4F15-AB4F-7E8EA27C2591}" name="Column9460"/>
    <tableColumn id="9466" xr3:uid="{B7068E79-B1BF-4190-9EC3-C55BCDCA80AE}" name="Column9461"/>
    <tableColumn id="9467" xr3:uid="{7C3B31B6-DCFA-4F0D-928A-CC9E09A4C12F}" name="Column9462"/>
    <tableColumn id="9468" xr3:uid="{27549D9A-4711-4831-BC21-CF48F7E12733}" name="Column9463"/>
    <tableColumn id="9469" xr3:uid="{94B49A7C-C7C2-44AB-848A-3AC800D84381}" name="Column9464"/>
    <tableColumn id="9470" xr3:uid="{A4F6BA66-C8AA-4E71-AE9B-BF2616AA71DC}" name="Column9465"/>
    <tableColumn id="9471" xr3:uid="{1F236702-995B-47D5-8785-1DA8D421C518}" name="Column9466"/>
    <tableColumn id="9472" xr3:uid="{48666B5B-2235-4D4C-8615-4141F56C76A1}" name="Column9467"/>
    <tableColumn id="9473" xr3:uid="{421C33D2-8CAA-4251-AB99-97CE7CCFD488}" name="Column9468"/>
    <tableColumn id="9474" xr3:uid="{EC4D06A1-6D77-4EA4-B4F3-99F885227B72}" name="Column9469"/>
    <tableColumn id="9475" xr3:uid="{43AC905F-5A5E-4397-AA96-42AAC85D6327}" name="Column9470"/>
    <tableColumn id="9476" xr3:uid="{EA6A1E35-3335-4DB3-AA1D-93300CD02A8B}" name="Column9471"/>
    <tableColumn id="9477" xr3:uid="{528172D4-899E-4D58-A0B5-00560882C70C}" name="Column9472"/>
    <tableColumn id="9478" xr3:uid="{123FD706-1C2D-424A-AA50-B72E835FF975}" name="Column9473"/>
    <tableColumn id="9479" xr3:uid="{AB32E78D-DF27-4895-91AE-7457D6F2FD77}" name="Column9474"/>
    <tableColumn id="9480" xr3:uid="{ED7F5759-011C-41C8-98AC-E43BCE763260}" name="Column9475"/>
    <tableColumn id="9481" xr3:uid="{F8D9E4D8-073E-4B14-8084-68604459AE4C}" name="Column9476"/>
    <tableColumn id="9482" xr3:uid="{11E268EE-07CE-49F6-B123-136F1EEB2E59}" name="Column9477"/>
    <tableColumn id="9483" xr3:uid="{1C78FFD6-5A0F-4D54-899A-354074A8CADC}" name="Column9478"/>
    <tableColumn id="9484" xr3:uid="{38A0418F-C51A-4F80-9A74-448E66D3F04E}" name="Column9479"/>
    <tableColumn id="9485" xr3:uid="{26C16F24-F537-4DE7-AF43-43F46231D44D}" name="Column9480"/>
    <tableColumn id="9486" xr3:uid="{24A8A88A-97E0-43CA-96F0-6B2FDC6BB65E}" name="Column9481"/>
    <tableColumn id="9487" xr3:uid="{65004542-28F4-4284-8850-0E4F643C95C1}" name="Column9482"/>
    <tableColumn id="9488" xr3:uid="{CDA81DAD-A7F6-48CE-AE55-33A087B513E4}" name="Column9483"/>
    <tableColumn id="9489" xr3:uid="{D4839759-073F-4708-9AC5-DD3D2E989206}" name="Column9484"/>
    <tableColumn id="9490" xr3:uid="{7FCE674F-EC08-4493-9DAF-504F9D8CED22}" name="Column9485"/>
    <tableColumn id="9491" xr3:uid="{45979EAF-1260-4A91-99F8-512F9822B22B}" name="Column9486"/>
    <tableColumn id="9492" xr3:uid="{7D00E32E-C57E-4C6F-9654-88AACB90FF1E}" name="Column9487"/>
    <tableColumn id="9493" xr3:uid="{A7B013B1-85FF-494F-9E35-56F6EF54471E}" name="Column9488"/>
    <tableColumn id="9494" xr3:uid="{E938F933-E929-4378-A70F-937B891EC0F2}" name="Column9489"/>
    <tableColumn id="9495" xr3:uid="{64665350-DCF8-478F-818E-758A94FE4DD7}" name="Column9490"/>
    <tableColumn id="9496" xr3:uid="{3E7BF525-B416-4499-B4A4-DC9416D55462}" name="Column9491"/>
    <tableColumn id="9497" xr3:uid="{D09E6A56-5E7E-45F4-AECB-BF750E58F858}" name="Column9492"/>
    <tableColumn id="9498" xr3:uid="{30AFE9EA-56C8-493C-A07A-C54D8156D265}" name="Column9493"/>
    <tableColumn id="9499" xr3:uid="{68A5ADEC-3385-4D68-A5B2-0A909D22C18D}" name="Column9494"/>
    <tableColumn id="9500" xr3:uid="{A8FF9791-FF18-4272-82D2-72C5F1E1205C}" name="Column9495"/>
    <tableColumn id="9501" xr3:uid="{5C8C45DA-D8F2-4284-AC1A-C5AF8A6F647B}" name="Column9496"/>
    <tableColumn id="9502" xr3:uid="{EBE244AE-D02C-4067-9E5D-D23EE125CE2A}" name="Column9497"/>
    <tableColumn id="9503" xr3:uid="{BF517332-D0EF-4EB9-9A6A-689DBCFCEA09}" name="Column9498"/>
    <tableColumn id="9504" xr3:uid="{F74CD986-4BFE-4058-AB47-7F5C2B7A1F2E}" name="Column9499"/>
    <tableColumn id="9505" xr3:uid="{CFA79F9B-FAAB-4412-A11C-85A71C42EA32}" name="Column9500"/>
    <tableColumn id="9506" xr3:uid="{905014DA-3497-46B4-BA87-1974E94A8069}" name="Column9501"/>
    <tableColumn id="9507" xr3:uid="{3BF5879E-D156-4583-ADCD-7A557615BA95}" name="Column9502"/>
    <tableColumn id="9508" xr3:uid="{BC09D826-73F2-4A39-82ED-975D47EBC0A2}" name="Column9503"/>
    <tableColumn id="9509" xr3:uid="{53544E31-0A2D-4742-8E83-92496A2D38A7}" name="Column9504"/>
    <tableColumn id="9510" xr3:uid="{051D912B-6FFC-4C3B-8937-5E3936CE7D1A}" name="Column9505"/>
    <tableColumn id="9511" xr3:uid="{412007D4-F26F-44E2-96EB-B9788DE89CC5}" name="Column9506"/>
    <tableColumn id="9512" xr3:uid="{391B0066-DDDE-4BB2-A4BF-CE399A029583}" name="Column9507"/>
    <tableColumn id="9513" xr3:uid="{E47E8E72-3E44-4DDD-A729-75AEFAB0C01E}" name="Column9508"/>
    <tableColumn id="9514" xr3:uid="{F1C61835-7468-425F-8E93-3B968D48840B}" name="Column9509"/>
    <tableColumn id="9515" xr3:uid="{01C46E2D-0F1D-48D8-80B2-30C0821EBF90}" name="Column9510"/>
    <tableColumn id="9516" xr3:uid="{17820997-AD3D-449B-93FC-FEB646E4D265}" name="Column9511"/>
    <tableColumn id="9517" xr3:uid="{13CED910-7BD2-4D6D-B58A-058E9184A726}" name="Column9512"/>
    <tableColumn id="9518" xr3:uid="{5A007167-2634-431B-9185-ED17D07404CF}" name="Column9513"/>
    <tableColumn id="9519" xr3:uid="{E0D2DEF8-F7ED-42B5-87A0-C50BD500C499}" name="Column9514"/>
    <tableColumn id="9520" xr3:uid="{9069FB16-007B-4AA5-9735-B9859E9AF92C}" name="Column9515"/>
    <tableColumn id="9521" xr3:uid="{D35670B3-547B-4110-95C6-036C25348279}" name="Column9516"/>
    <tableColumn id="9522" xr3:uid="{20D074DE-7539-4CD3-BF8B-16320245B1CF}" name="Column9517"/>
    <tableColumn id="9523" xr3:uid="{817137EC-F232-49EB-98F9-DCC44DC0E74D}" name="Column9518"/>
    <tableColumn id="9524" xr3:uid="{F4860533-6716-4071-BA6A-5BCBCB74EA0F}" name="Column9519"/>
    <tableColumn id="9525" xr3:uid="{0B177E4B-A91B-4827-8C33-AA1B117E551C}" name="Column9520"/>
    <tableColumn id="9526" xr3:uid="{E0227F2C-1710-4654-83DA-2BAE73903CFF}" name="Column9521"/>
    <tableColumn id="9527" xr3:uid="{48940434-0E55-47A8-8ED1-BFB237F6211B}" name="Column9522"/>
    <tableColumn id="9528" xr3:uid="{531EE7A3-EE39-4A98-9D82-7D92ADEFDAB3}" name="Column9523"/>
    <tableColumn id="9529" xr3:uid="{34150222-581F-402D-B771-46E9B76A75E3}" name="Column9524"/>
    <tableColumn id="9530" xr3:uid="{FAF968B5-EEA7-4A8C-940E-9FF76D49D06B}" name="Column9525"/>
    <tableColumn id="9531" xr3:uid="{F38366A5-943C-4D08-BD04-AA6A33F12A49}" name="Column9526"/>
    <tableColumn id="9532" xr3:uid="{DD4EACC4-6779-4FEB-9157-A5B14B88F9BD}" name="Column9527"/>
    <tableColumn id="9533" xr3:uid="{14511F66-867B-44BD-AA5A-C1BF416216E2}" name="Column9528"/>
    <tableColumn id="9534" xr3:uid="{8E2F0CF6-F1D4-41C1-B82F-AA307A86033A}" name="Column9529"/>
    <tableColumn id="9535" xr3:uid="{9D748DC5-3695-47D9-ACD7-00ABD878C429}" name="Column9530"/>
    <tableColumn id="9536" xr3:uid="{52EE7EC8-88B7-4A3B-B27C-F56A54AD816B}" name="Column9531"/>
    <tableColumn id="9537" xr3:uid="{A7FD9CA2-1028-4E6F-84E4-E0096D62218A}" name="Column9532"/>
    <tableColumn id="9538" xr3:uid="{0ECEB311-5F24-488E-8B8B-C3138A51B8BB}" name="Column9533"/>
    <tableColumn id="9539" xr3:uid="{75C0E216-3920-47F9-B673-F4C7EE8F0652}" name="Column9534"/>
    <tableColumn id="9540" xr3:uid="{412D20D2-A614-42AA-8AA8-3CEED1DF4320}" name="Column9535"/>
    <tableColumn id="9541" xr3:uid="{E978CD08-F3C6-40D4-A60F-6688F9C22120}" name="Column9536"/>
    <tableColumn id="9542" xr3:uid="{E8B3A757-CA3A-4600-8C2B-6918D06589D6}" name="Column9537"/>
    <tableColumn id="9543" xr3:uid="{C7FE66A1-2017-43D5-AC14-7A7253D1EAA2}" name="Column9538"/>
    <tableColumn id="9544" xr3:uid="{2D65932C-223F-4AC3-AC51-D6F5F5E98BFC}" name="Column9539"/>
    <tableColumn id="9545" xr3:uid="{3902E216-1579-4824-91F4-515FD3DF0FF1}" name="Column9540"/>
    <tableColumn id="9546" xr3:uid="{A07E07F9-89BD-4D06-B528-6484078628ED}" name="Column9541"/>
    <tableColumn id="9547" xr3:uid="{0D5BCE04-888A-43AF-8F76-DBD2D1F58D3D}" name="Column9542"/>
    <tableColumn id="9548" xr3:uid="{766DE555-7AF8-4104-932E-689141D14AAF}" name="Column9543"/>
    <tableColumn id="9549" xr3:uid="{577DAF3E-3A77-4A2B-8CBD-FFD3E15B8138}" name="Column9544"/>
    <tableColumn id="9550" xr3:uid="{6A316433-D847-4DA5-8B04-960588FBDCBB}" name="Column9545"/>
    <tableColumn id="9551" xr3:uid="{9C8C001D-20B3-4C67-9900-515BDD27DE62}" name="Column9546"/>
    <tableColumn id="9552" xr3:uid="{3C606A2A-ACC1-42AE-BFED-16DEAF9B1629}" name="Column9547"/>
    <tableColumn id="9553" xr3:uid="{34C7993E-EA32-4AB1-8692-A454B759610C}" name="Column9548"/>
    <tableColumn id="9554" xr3:uid="{A76DB404-BC9B-47CD-A9DA-617B1574EF4A}" name="Column9549"/>
    <tableColumn id="9555" xr3:uid="{9DFE1C3D-C900-413D-B752-CB3DAE39F701}" name="Column9550"/>
    <tableColumn id="9556" xr3:uid="{AA6CFC5A-47A2-4B10-A388-0B5D56DA92E9}" name="Column9551"/>
    <tableColumn id="9557" xr3:uid="{44D64FE3-0473-418C-94E0-098BC3F5C987}" name="Column9552"/>
    <tableColumn id="9558" xr3:uid="{5FA22D95-1048-46AF-B290-21CA56587339}" name="Column9553"/>
    <tableColumn id="9559" xr3:uid="{67B38E98-112C-426D-A277-EA8A6A244C4E}" name="Column9554"/>
    <tableColumn id="9560" xr3:uid="{C77AEB92-881C-43B6-B223-83E6425D20C7}" name="Column9555"/>
    <tableColumn id="9561" xr3:uid="{F6AB5CFE-1F61-4D7F-A639-96A01483A3D1}" name="Column9556"/>
    <tableColumn id="9562" xr3:uid="{37F51FAA-9ECF-4968-90C4-3CAB61F6C48C}" name="Column9557"/>
    <tableColumn id="9563" xr3:uid="{FFFD142D-1CEB-4447-8211-A8181DD1F2C6}" name="Column9558"/>
    <tableColumn id="9564" xr3:uid="{6AA7EEF9-7C99-4668-90FA-EB748E6A8F1E}" name="Column9559"/>
    <tableColumn id="9565" xr3:uid="{170CDEFF-AD7C-43E5-9B05-607E546ED93D}" name="Column9560"/>
    <tableColumn id="9566" xr3:uid="{E7E2675C-EA4E-4C7D-B853-DC7F016FFD0A}" name="Column9561"/>
    <tableColumn id="9567" xr3:uid="{1C9A1137-ADE7-4F11-B9D1-CC3B8E38834C}" name="Column9562"/>
    <tableColumn id="9568" xr3:uid="{908897EA-B320-4B04-A8B1-9265F01D0B7E}" name="Column9563"/>
    <tableColumn id="9569" xr3:uid="{59FAAB9F-6781-459C-9740-B64C70CAD04C}" name="Column9564"/>
    <tableColumn id="9570" xr3:uid="{C219D062-F197-43E0-A60A-113660B5B56B}" name="Column9565"/>
    <tableColumn id="9571" xr3:uid="{0C8FBD64-C663-4A07-A6A1-6F46750F07AB}" name="Column9566"/>
    <tableColumn id="9572" xr3:uid="{86FFB425-ECB8-4273-B915-8B545A27FA8B}" name="Column9567"/>
    <tableColumn id="9573" xr3:uid="{E45DA2FF-CA92-470C-B103-91265BEC5963}" name="Column9568"/>
    <tableColumn id="9574" xr3:uid="{B529B680-6DAC-448E-AA77-4BDBDF6AA990}" name="Column9569"/>
    <tableColumn id="9575" xr3:uid="{14587B92-AED0-42C8-ADFE-8D8B0FA5BBA3}" name="Column9570"/>
    <tableColumn id="9576" xr3:uid="{FE1FBEE7-A3A5-4040-B080-1803B7B82EA5}" name="Column9571"/>
    <tableColumn id="9577" xr3:uid="{C0053331-20EE-495B-9B85-6F14D769C332}" name="Column9572"/>
    <tableColumn id="9578" xr3:uid="{0C28375B-8B24-4637-82E6-25C84CB3A6B6}" name="Column9573"/>
    <tableColumn id="9579" xr3:uid="{E71CAE80-699A-4142-8791-4392E3F294E6}" name="Column9574"/>
    <tableColumn id="9580" xr3:uid="{617F73B5-9462-473C-94BD-5E6D76787E19}" name="Column9575"/>
    <tableColumn id="9581" xr3:uid="{03187F34-5F76-470E-8FCA-6B52E57DBEB7}" name="Column9576"/>
    <tableColumn id="9582" xr3:uid="{D9768276-3767-4929-B263-95924F073D41}" name="Column9577"/>
    <tableColumn id="9583" xr3:uid="{CC976E8D-FEFD-48A5-8F93-3720AB427367}" name="Column9578"/>
    <tableColumn id="9584" xr3:uid="{9626BDE5-8308-4E72-855F-17B8AB4BC55B}" name="Column9579"/>
    <tableColumn id="9585" xr3:uid="{ECDC69E7-0CF3-45FF-AC03-04D21A274BD3}" name="Column9580"/>
    <tableColumn id="9586" xr3:uid="{C20B9FF1-DFBD-430B-B32A-58022020B9F0}" name="Column9581"/>
    <tableColumn id="9587" xr3:uid="{BC4642E3-4288-474C-A50B-0ADDBF9E81D9}" name="Column9582"/>
    <tableColumn id="9588" xr3:uid="{DE749ABA-11F2-4791-95DF-A7256F8B6CF4}" name="Column9583"/>
    <tableColumn id="9589" xr3:uid="{281505CE-F6B2-4319-9AFC-1B87B7377A7B}" name="Column9584"/>
    <tableColumn id="9590" xr3:uid="{DA3BC519-0F21-4F87-9085-60DF2FCDA210}" name="Column9585"/>
    <tableColumn id="9591" xr3:uid="{6038015A-ABFE-4ED2-A6D2-292B14790BC1}" name="Column9586"/>
    <tableColumn id="9592" xr3:uid="{ADB99B6A-0AB2-4DE0-8562-8F0AA36B0E5A}" name="Column9587"/>
    <tableColumn id="9593" xr3:uid="{688F23C7-916C-42CF-A28F-025A0A17490C}" name="Column9588"/>
    <tableColumn id="9594" xr3:uid="{247A3FCF-F0C7-4FF0-B75C-CC701035D8E7}" name="Column9589"/>
    <tableColumn id="9595" xr3:uid="{DBC64DB1-FBE8-4B2F-BD70-05C261DD7923}" name="Column9590"/>
    <tableColumn id="9596" xr3:uid="{E87372BC-9D65-49C1-A4AA-FF6C54908B76}" name="Column9591"/>
    <tableColumn id="9597" xr3:uid="{2CDB8372-D040-46D5-AC26-E48F6CBC9EA7}" name="Column9592"/>
    <tableColumn id="9598" xr3:uid="{38B448CD-D5CE-4F1F-B245-3E1D96965A5A}" name="Column9593"/>
    <tableColumn id="9599" xr3:uid="{FFC8AB94-6A98-4C0B-9123-959B4BE01D6B}" name="Column9594"/>
    <tableColumn id="9600" xr3:uid="{B4ED4385-5D13-44FE-A527-AF2DE1EF6517}" name="Column9595"/>
    <tableColumn id="9601" xr3:uid="{5BC91C4F-4378-4793-A725-714A4F16260C}" name="Column9596"/>
    <tableColumn id="9602" xr3:uid="{0DE7FEA4-F35D-4D1A-BBBD-68CA7C0E3D12}" name="Column9597"/>
    <tableColumn id="9603" xr3:uid="{C173996C-7949-4C2E-9CC6-7D9F31F6A26D}" name="Column9598"/>
    <tableColumn id="9604" xr3:uid="{78B68A22-7175-4475-B29E-7A9B9422215F}" name="Column9599"/>
    <tableColumn id="9605" xr3:uid="{4C41E91D-03EC-4723-862E-928907BA2D95}" name="Column9600"/>
    <tableColumn id="9606" xr3:uid="{E061B2E1-0B56-46A3-A60C-392B0EAEE6F9}" name="Column9601"/>
    <tableColumn id="9607" xr3:uid="{5478FCCF-3EAE-4081-8828-655E8D651BDF}" name="Column9602"/>
    <tableColumn id="9608" xr3:uid="{A59B921B-23BB-4F57-BCD6-9DDB148A9259}" name="Column9603"/>
    <tableColumn id="9609" xr3:uid="{B621427E-A053-4324-8ADA-B3223E375028}" name="Column9604"/>
    <tableColumn id="9610" xr3:uid="{BAD4D764-3DA5-48CA-99FD-3F16078E4AA5}" name="Column9605"/>
    <tableColumn id="9611" xr3:uid="{3CC9EECC-96C2-4AA0-BFE1-F743EF58972A}" name="Column9606"/>
    <tableColumn id="9612" xr3:uid="{91BD758E-D391-4BE9-B08C-1CC3F9048721}" name="Column9607"/>
    <tableColumn id="9613" xr3:uid="{C256479A-DD69-473E-A9D0-EB060F4E3F08}" name="Column9608"/>
    <tableColumn id="9614" xr3:uid="{6656993A-AB72-427C-8746-C686FC507E91}" name="Column9609"/>
    <tableColumn id="9615" xr3:uid="{D444D829-4FE3-4039-A254-7B9FAF214397}" name="Column9610"/>
    <tableColumn id="9616" xr3:uid="{E5BAEB2E-F20B-4647-9D33-718D2A865047}" name="Column9611"/>
    <tableColumn id="9617" xr3:uid="{A86D4FFA-7CC1-48C2-AD8A-C462BC4221E6}" name="Column9612"/>
    <tableColumn id="9618" xr3:uid="{3BD9C330-450D-4938-8DCB-1FF72E270F31}" name="Column9613"/>
    <tableColumn id="9619" xr3:uid="{91CCD865-7498-4832-8F0B-340F1A7ACA22}" name="Column9614"/>
    <tableColumn id="9620" xr3:uid="{EEB88049-72E9-4001-91EB-85CDB4DEE47D}" name="Column9615"/>
    <tableColumn id="9621" xr3:uid="{A4C75714-4949-4AF2-8299-90D1A57BCBA6}" name="Column9616"/>
    <tableColumn id="9622" xr3:uid="{D6E844F6-4060-4EBD-9096-23A770041BDB}" name="Column9617"/>
    <tableColumn id="9623" xr3:uid="{B4257B7F-3D6F-4EE2-8B08-31081D321858}" name="Column9618"/>
    <tableColumn id="9624" xr3:uid="{108FD80E-7AC7-4DE6-AEC4-E0A22ACB5979}" name="Column9619"/>
    <tableColumn id="9625" xr3:uid="{58D3E961-2B8B-4A24-8343-C42FA8F113E0}" name="Column9620"/>
    <tableColumn id="9626" xr3:uid="{3319F14D-9817-4632-91B0-D9E44157B933}" name="Column9621"/>
    <tableColumn id="9627" xr3:uid="{8CA20E38-E732-4219-B9F0-F6B073899CFC}" name="Column9622"/>
    <tableColumn id="9628" xr3:uid="{777A6815-420B-432C-A5EA-21832475CEFB}" name="Column9623"/>
    <tableColumn id="9629" xr3:uid="{E27DBE4B-CB3D-4D7C-BDB2-6B7264297771}" name="Column9624"/>
    <tableColumn id="9630" xr3:uid="{EFE3CF5A-7547-4DA4-90DC-5C9B39D6A103}" name="Column9625"/>
    <tableColumn id="9631" xr3:uid="{471E76AB-E72A-4DE3-A044-3289EB7025E7}" name="Column9626"/>
    <tableColumn id="9632" xr3:uid="{7B05929D-5F00-41FA-A854-DB13A2F64595}" name="Column9627"/>
    <tableColumn id="9633" xr3:uid="{D85A08B2-2418-4489-80CC-82101C6D5DC4}" name="Column9628"/>
    <tableColumn id="9634" xr3:uid="{7A585D41-B69D-4329-95B6-86C0269C06F5}" name="Column9629"/>
    <tableColumn id="9635" xr3:uid="{CAC069CA-1C49-4884-8084-59BE7601A742}" name="Column9630"/>
    <tableColumn id="9636" xr3:uid="{EB1530A1-48CB-40C0-97A5-E303E14253C1}" name="Column9631"/>
    <tableColumn id="9637" xr3:uid="{0AABCC64-0BEB-4ABC-BAB4-6343C5DA8E39}" name="Column9632"/>
    <tableColumn id="9638" xr3:uid="{E11F253F-38E6-4FA0-A95A-A150CDCD08BF}" name="Column9633"/>
    <tableColumn id="9639" xr3:uid="{963B9884-F408-4A82-A1EE-8C62DA6ACF55}" name="Column9634"/>
    <tableColumn id="9640" xr3:uid="{20E7E5AD-E3C0-460D-9949-D87EFF1BCB04}" name="Column9635"/>
    <tableColumn id="9641" xr3:uid="{246F6208-6B59-4C82-9378-0E07A68FBBAC}" name="Column9636"/>
    <tableColumn id="9642" xr3:uid="{E81C9128-ADBB-41F1-9283-81E842F7C601}" name="Column9637"/>
    <tableColumn id="9643" xr3:uid="{4EC72A8E-7DA1-4F24-A67C-F1392D8E63CE}" name="Column9638"/>
    <tableColumn id="9644" xr3:uid="{3F5357FF-3332-479E-8BA7-3653A39BA60A}" name="Column9639"/>
    <tableColumn id="9645" xr3:uid="{FFBF6951-DA85-4634-8699-1801C84229C0}" name="Column9640"/>
    <tableColumn id="9646" xr3:uid="{A8CA38A4-9D9A-4BA5-9F9B-D90E575A1133}" name="Column9641"/>
    <tableColumn id="9647" xr3:uid="{2EA0D7D7-0A2F-4134-AB81-EC9AFAC6F820}" name="Column9642"/>
    <tableColumn id="9648" xr3:uid="{099CB4B1-CE49-4EFF-A1FA-74CFACA83176}" name="Column9643"/>
    <tableColumn id="9649" xr3:uid="{5CA56635-A608-4B67-A9F3-24184F23AB78}" name="Column9644"/>
    <tableColumn id="9650" xr3:uid="{03E6B177-5EA8-4ACB-A62B-7D2F2DD822AB}" name="Column9645"/>
    <tableColumn id="9651" xr3:uid="{009DB4DC-A89F-4859-B591-572CDD7AE000}" name="Column9646"/>
    <tableColumn id="9652" xr3:uid="{4DFF95C1-5663-4BCC-868F-C7147072C1F8}" name="Column9647"/>
    <tableColumn id="9653" xr3:uid="{1E86CE4B-3769-4F91-B12B-C937BFD79160}" name="Column9648"/>
    <tableColumn id="9654" xr3:uid="{A26F0FE7-4134-413A-A817-664B0ED020E9}" name="Column9649"/>
    <tableColumn id="9655" xr3:uid="{3136E25F-3526-4EB0-8419-CFA7B729B94A}" name="Column9650"/>
    <tableColumn id="9656" xr3:uid="{D5273384-94F9-42AD-A95E-CE6A0E2451A0}" name="Column9651"/>
    <tableColumn id="9657" xr3:uid="{FA910AFE-27AD-4604-8853-A2E31D4D2AED}" name="Column9652"/>
    <tableColumn id="9658" xr3:uid="{CE8AE379-F065-41A4-B482-9C971E5A3BAB}" name="Column9653"/>
    <tableColumn id="9659" xr3:uid="{B8518E9A-59E8-453F-9A33-0E363D60B934}" name="Column9654"/>
    <tableColumn id="9660" xr3:uid="{C930A7A0-C1B7-4C7D-8B72-0869E93BE534}" name="Column9655"/>
    <tableColumn id="9661" xr3:uid="{568C1115-D1E8-4235-AF36-3923745383A3}" name="Column9656"/>
    <tableColumn id="9662" xr3:uid="{79295E2A-D90F-4D35-AE9B-D2F39C4CC705}" name="Column9657"/>
    <tableColumn id="9663" xr3:uid="{AA397B0F-12C5-4CBB-912C-F7BE658925C9}" name="Column9658"/>
    <tableColumn id="9664" xr3:uid="{D9061BA9-C553-4115-BEC8-08379E154852}" name="Column9659"/>
    <tableColumn id="9665" xr3:uid="{28D931BC-E865-400D-BF7A-9C3649D9D1A6}" name="Column9660"/>
    <tableColumn id="9666" xr3:uid="{5D5D526E-A751-476C-BFDA-6C6FCEB45372}" name="Column9661"/>
    <tableColumn id="9667" xr3:uid="{1F83025F-104E-4EFA-95B6-4B8033F09E1C}" name="Column9662"/>
    <tableColumn id="9668" xr3:uid="{22F38002-A5A4-42C0-AD99-C53836413E32}" name="Column9663"/>
    <tableColumn id="9669" xr3:uid="{79351027-26E7-4300-AB74-6809D33EA98E}" name="Column9664"/>
    <tableColumn id="9670" xr3:uid="{E3C2F2F3-9B19-4C35-BAA8-6FA76EF3CFAD}" name="Column9665"/>
    <tableColumn id="9671" xr3:uid="{D6C0399E-98C6-47A2-9487-0A42731997C4}" name="Column9666"/>
    <tableColumn id="9672" xr3:uid="{AB6975C9-0E62-4020-A13E-82CC63623D28}" name="Column9667"/>
    <tableColumn id="9673" xr3:uid="{B9BDF6BF-53BD-4228-9791-9BD0C8492979}" name="Column9668"/>
    <tableColumn id="9674" xr3:uid="{F16D6F9C-E93F-44C6-A93B-DCFD23B02CCD}" name="Column9669"/>
    <tableColumn id="9675" xr3:uid="{CDA853BA-B515-46AF-99D4-A6FEC67FF68E}" name="Column9670"/>
    <tableColumn id="9676" xr3:uid="{04F983DD-8378-44EF-8852-2C53EF6A5C7E}" name="Column9671"/>
    <tableColumn id="9677" xr3:uid="{0E14B470-90FA-4436-ACCC-922016D14463}" name="Column9672"/>
    <tableColumn id="9678" xr3:uid="{3CCB0187-4F37-455B-A169-D56F96A0CAA3}" name="Column9673"/>
    <tableColumn id="9679" xr3:uid="{17694825-F7EE-4FDB-B9D2-B74A992513E0}" name="Column9674"/>
    <tableColumn id="9680" xr3:uid="{0282E9A6-F8DC-47C2-84AE-A06343585771}" name="Column9675"/>
    <tableColumn id="9681" xr3:uid="{70BAE1A7-AE89-480B-A932-5D1732929941}" name="Column9676"/>
    <tableColumn id="9682" xr3:uid="{05878980-8ABD-42A2-9E07-FA58FC70A99F}" name="Column9677"/>
    <tableColumn id="9683" xr3:uid="{7C3DC5F5-7CCF-4352-8187-0E177C2A2B4A}" name="Column9678"/>
    <tableColumn id="9684" xr3:uid="{B13454CF-5B10-4C9A-A71C-E1D8B7D97BE5}" name="Column9679"/>
    <tableColumn id="9685" xr3:uid="{F25096B4-C5FC-4946-A6A4-FE63EC2DBF03}" name="Column9680"/>
    <tableColumn id="9686" xr3:uid="{5EB5029B-CD38-401D-B644-BF8CA74DF15F}" name="Column9681"/>
    <tableColumn id="9687" xr3:uid="{B00605A4-5447-47F1-A359-9A7F86667F2E}" name="Column9682"/>
    <tableColumn id="9688" xr3:uid="{C6EE674B-B843-44D3-8407-C95DD7A4C286}" name="Column9683"/>
    <tableColumn id="9689" xr3:uid="{48ADE192-42B6-4043-BE86-E60CAD4D6656}" name="Column9684"/>
    <tableColumn id="9690" xr3:uid="{A0E0D59B-8D02-41D9-8DFA-43B0766499AB}" name="Column9685"/>
    <tableColumn id="9691" xr3:uid="{7F9EF035-7980-4D5F-9413-FDC92E393526}" name="Column9686"/>
    <tableColumn id="9692" xr3:uid="{562702BE-E6B3-47B3-9338-DFC2ADB43316}" name="Column9687"/>
    <tableColumn id="9693" xr3:uid="{44D70FB7-4982-4A5A-9411-B7F8DA5589B4}" name="Column9688"/>
    <tableColumn id="9694" xr3:uid="{4541920C-0190-4022-AD84-CE35060A9334}" name="Column9689"/>
    <tableColumn id="9695" xr3:uid="{FCD6FA5D-1AC8-4608-BCDB-57759FCDA5EF}" name="Column9690"/>
    <tableColumn id="9696" xr3:uid="{99CAE910-E60F-4B34-A589-C186647D321C}" name="Column9691"/>
    <tableColumn id="9697" xr3:uid="{4E3781A4-4B81-46F3-9218-81EA6C6E3942}" name="Column9692"/>
    <tableColumn id="9698" xr3:uid="{3140E8EF-5425-4CFA-BFF2-AA1091B3217B}" name="Column9693"/>
    <tableColumn id="9699" xr3:uid="{F488FB7F-798A-4F4B-81C5-D16C82132D9C}" name="Column9694"/>
    <tableColumn id="9700" xr3:uid="{4B4C0587-4127-462E-8434-4255F9B033C9}" name="Column9695"/>
    <tableColumn id="9701" xr3:uid="{C7F9E012-0B57-4F77-BA15-04CBB0175CB8}" name="Column9696"/>
    <tableColumn id="9702" xr3:uid="{B3A38EA6-7382-4DCF-A134-85A62E6E9542}" name="Column9697"/>
    <tableColumn id="9703" xr3:uid="{16EA21E4-CD8D-479E-84BD-7A853F744FAF}" name="Column9698"/>
    <tableColumn id="9704" xr3:uid="{671F0437-EFB0-4CFE-B2FE-F0DE7E4A0D1E}" name="Column9699"/>
    <tableColumn id="9705" xr3:uid="{1DDA1C15-C3C0-496A-ADEF-B8AD09D6BDE6}" name="Column9700"/>
    <tableColumn id="9706" xr3:uid="{72D8FBB1-A3DB-4556-8A6D-C3837199A5E6}" name="Column9701"/>
    <tableColumn id="9707" xr3:uid="{4412D9D6-5268-4583-A984-6D74F27AE9B4}" name="Column9702"/>
    <tableColumn id="9708" xr3:uid="{77113782-A3F5-4B25-91A5-9BBE95BDFBF5}" name="Column9703"/>
    <tableColumn id="9709" xr3:uid="{392CB1BA-5FE8-471F-A481-36CD24CEF789}" name="Column9704"/>
    <tableColumn id="9710" xr3:uid="{2CBDD3BE-9BDC-4D0D-B84B-85F0F39572D2}" name="Column9705"/>
    <tableColumn id="9711" xr3:uid="{319EA150-770E-4ED1-869A-0996973908F4}" name="Column9706"/>
    <tableColumn id="9712" xr3:uid="{6BF6AA5B-D2FD-4E2F-869B-9C231AE32CBC}" name="Column9707"/>
    <tableColumn id="9713" xr3:uid="{DFF41C4D-18F8-4DC9-AB99-B70D4971E0CB}" name="Column9708"/>
    <tableColumn id="9714" xr3:uid="{29BCE296-C6BA-4EE3-AE9E-6ACCCD04A638}" name="Column9709"/>
    <tableColumn id="9715" xr3:uid="{376C51FE-6C9A-4793-9E48-5CBD660039E4}" name="Column9710"/>
    <tableColumn id="9716" xr3:uid="{CD09365E-F219-4875-9C92-C8B82301EE11}" name="Column9711"/>
    <tableColumn id="9717" xr3:uid="{6C016769-2A48-46CE-A1AD-2DBEDB81F635}" name="Column9712"/>
    <tableColumn id="9718" xr3:uid="{0C855308-A000-4E30-9B5C-A5D8020BEA33}" name="Column9713"/>
    <tableColumn id="9719" xr3:uid="{7267A23C-EC3E-431F-9B58-EED6DAA5A55A}" name="Column9714"/>
    <tableColumn id="9720" xr3:uid="{F85CBCA9-004D-4C24-A802-6B18B44FABA9}" name="Column9715"/>
    <tableColumn id="9721" xr3:uid="{2E12EAB2-3795-4681-A7FB-FCA6675A94DE}" name="Column9716"/>
    <tableColumn id="9722" xr3:uid="{E7B0BA11-1A14-4530-88B6-505E96682DED}" name="Column9717"/>
    <tableColumn id="9723" xr3:uid="{A2F7B028-21A8-44EC-950A-90DD0D6B53CD}" name="Column9718"/>
    <tableColumn id="9724" xr3:uid="{AF189F05-611F-48C5-B82F-00BD8A320555}" name="Column9719"/>
    <tableColumn id="9725" xr3:uid="{94437F28-5A42-4469-AFEE-966487485DF5}" name="Column9720"/>
    <tableColumn id="9726" xr3:uid="{AE0BDD4B-1D8C-4945-A380-DC7AFE985322}" name="Column9721"/>
    <tableColumn id="9727" xr3:uid="{4D13F0F0-43DD-4073-8072-3F2CBAD06C8E}" name="Column9722"/>
    <tableColumn id="9728" xr3:uid="{8E452E41-C59B-4B7B-B63A-AC5C67E20A0F}" name="Column9723"/>
    <tableColumn id="9729" xr3:uid="{0CC52014-0432-4A7F-BB0B-A4CB64F2064B}" name="Column9724"/>
    <tableColumn id="9730" xr3:uid="{0153DE56-D75B-4557-9AAB-84001A9CEBC0}" name="Column9725"/>
    <tableColumn id="9731" xr3:uid="{6E659E3D-A3C5-42E0-A747-C5AB919F9FA1}" name="Column9726"/>
    <tableColumn id="9732" xr3:uid="{F914BB5A-72E2-4115-9C52-F89ED4010312}" name="Column9727"/>
    <tableColumn id="9733" xr3:uid="{7DC931EE-BEEF-4067-AAC9-60DEA86F459B}" name="Column9728"/>
    <tableColumn id="9734" xr3:uid="{EBF54F86-C242-467B-8919-70AF104B2499}" name="Column9729"/>
    <tableColumn id="9735" xr3:uid="{0F1531B2-7609-42D5-AA87-F38D7B3ABA03}" name="Column9730"/>
    <tableColumn id="9736" xr3:uid="{28FC9303-AFC7-4FF8-9155-6C0A719CDD9B}" name="Column9731"/>
    <tableColumn id="9737" xr3:uid="{36FB6029-7835-4024-9C8D-8EB291421E66}" name="Column9732"/>
    <tableColumn id="9738" xr3:uid="{A2AAA2CA-622E-4A45-B0AA-658A3B5B75EF}" name="Column9733"/>
    <tableColumn id="9739" xr3:uid="{A6F9A627-F7B9-41A4-996F-FE291B2BBE99}" name="Column9734"/>
    <tableColumn id="9740" xr3:uid="{60F62E7A-5FA4-4F40-8DA8-887CFA23C7B5}" name="Column9735"/>
    <tableColumn id="9741" xr3:uid="{31879BC2-7384-47CA-95C9-4BA91B9B83AA}" name="Column9736"/>
    <tableColumn id="9742" xr3:uid="{71672EE5-3481-4541-851A-5C9D408BD618}" name="Column9737"/>
    <tableColumn id="9743" xr3:uid="{B80E1538-91C8-42DE-93FF-6B64012F688F}" name="Column9738"/>
    <tableColumn id="9744" xr3:uid="{78349EE4-E548-4A30-B137-F13617736518}" name="Column9739"/>
    <tableColumn id="9745" xr3:uid="{8D3E74B2-3EC2-4A2B-B3F1-8188751463DC}" name="Column9740"/>
    <tableColumn id="9746" xr3:uid="{ED0B57CE-4AAB-4189-8B8D-638D3CA0E35F}" name="Column9741"/>
    <tableColumn id="9747" xr3:uid="{690765BD-0813-4CE0-A479-61D8C759CB30}" name="Column9742"/>
    <tableColumn id="9748" xr3:uid="{0EA038F5-65EA-40C2-B61B-C4E52EEC998D}" name="Column9743"/>
    <tableColumn id="9749" xr3:uid="{E769785D-0CE5-4334-AE9C-06EA4F9F92CA}" name="Column9744"/>
    <tableColumn id="9750" xr3:uid="{DB2206A8-D1D1-4089-8BB2-A20F7AB08E7B}" name="Column9745"/>
    <tableColumn id="9751" xr3:uid="{07AC71D5-EB48-404B-BDF7-D8EB79CCE5F7}" name="Column9746"/>
    <tableColumn id="9752" xr3:uid="{4C8D9337-9AEF-4C05-A8AB-440041F698A6}" name="Column9747"/>
    <tableColumn id="9753" xr3:uid="{818E7611-57C5-447E-872E-F20EB04F7E99}" name="Column9748"/>
    <tableColumn id="9754" xr3:uid="{BCFDDEC8-B592-4B6D-A8AB-5758BB24E3D0}" name="Column9749"/>
    <tableColumn id="9755" xr3:uid="{31BD0918-A394-415B-AED5-193CEEE02664}" name="Column9750"/>
    <tableColumn id="9756" xr3:uid="{5670C921-A76E-4D5E-BB76-67CF81FDFFA9}" name="Column9751"/>
    <tableColumn id="9757" xr3:uid="{DA06A184-CD36-4F42-AC68-DCAC986225E8}" name="Column9752"/>
    <tableColumn id="9758" xr3:uid="{DCA14BF1-65F1-407C-9D1E-F5B74F229F75}" name="Column9753"/>
    <tableColumn id="9759" xr3:uid="{9BC0483B-CBD5-43D3-A5B3-F7B7CDD6E03A}" name="Column9754"/>
    <tableColumn id="9760" xr3:uid="{29990072-DB66-4A14-BD7B-E3D25CE4D312}" name="Column9755"/>
    <tableColumn id="9761" xr3:uid="{074D4D48-D3F4-4593-B80B-38B6BC7C70D6}" name="Column9756"/>
    <tableColumn id="9762" xr3:uid="{64E94A19-71E3-42F2-920F-C5CE427B5C4B}" name="Column9757"/>
    <tableColumn id="9763" xr3:uid="{D24EFD8C-87F7-40D7-9040-41D20E54A5DE}" name="Column9758"/>
    <tableColumn id="9764" xr3:uid="{9DF6046D-5FE8-4336-8643-4DA975A8AE87}" name="Column9759"/>
    <tableColumn id="9765" xr3:uid="{A2BC7920-DA03-45D7-A34E-E2F4545BDA13}" name="Column9760"/>
    <tableColumn id="9766" xr3:uid="{42C9BAFF-637F-46B3-9CB8-4C9A6E8B208F}" name="Column9761"/>
    <tableColumn id="9767" xr3:uid="{AAA54CFD-1E4E-4807-8307-DA92E5ED0833}" name="Column9762"/>
    <tableColumn id="9768" xr3:uid="{236AA9D5-4645-40DF-8AD7-DD3BA77C3451}" name="Column9763"/>
    <tableColumn id="9769" xr3:uid="{C4E0B786-DBC8-4246-BAD8-568A6AFF710A}" name="Column9764"/>
    <tableColumn id="9770" xr3:uid="{DEA51A65-4424-43BD-96FF-4090A9B5B889}" name="Column9765"/>
    <tableColumn id="9771" xr3:uid="{070BDC69-1EF8-4553-9271-3E2A3E47C603}" name="Column9766"/>
    <tableColumn id="9772" xr3:uid="{2D290F15-BFDC-4DAE-97AB-B6142B1C685A}" name="Column9767"/>
    <tableColumn id="9773" xr3:uid="{12FF53C3-02F1-48C8-BBE7-0F8B4A58E0A0}" name="Column9768"/>
    <tableColumn id="9774" xr3:uid="{978EA6E4-3CF9-4AED-9AC7-51C0651F97CF}" name="Column9769"/>
    <tableColumn id="9775" xr3:uid="{C0BE1851-3EC7-431F-ADCE-5EDCCB81A82E}" name="Column9770"/>
    <tableColumn id="9776" xr3:uid="{D1CCB83D-6B6A-4BDC-9E45-5DF1DA2BE926}" name="Column9771"/>
    <tableColumn id="9777" xr3:uid="{E4522E32-A0B9-4A31-AC3D-AF80EE549CB0}" name="Column9772"/>
    <tableColumn id="9778" xr3:uid="{1AAAE839-AF09-419B-89EF-435D554B3040}" name="Column9773"/>
    <tableColumn id="9779" xr3:uid="{126C8D48-BAC1-40C3-BA2C-97F528415456}" name="Column9774"/>
    <tableColumn id="9780" xr3:uid="{5C676DA1-0532-44CE-9F9E-B375A0BC460C}" name="Column9775"/>
    <tableColumn id="9781" xr3:uid="{5FAD5E25-1715-48FD-A4BB-C638CA66C9A2}" name="Column9776"/>
    <tableColumn id="9782" xr3:uid="{56D52FA2-BE71-434E-B47E-F21FCDE13A64}" name="Column9777"/>
    <tableColumn id="9783" xr3:uid="{8AA6468E-8806-4DDB-A63F-472B58FC0D7E}" name="Column9778"/>
    <tableColumn id="9784" xr3:uid="{9DB2AA04-6D13-4E84-9CE5-622DBA7C3BF8}" name="Column9779"/>
    <tableColumn id="9785" xr3:uid="{753D6076-C3DC-4E3A-979A-685811E98B7A}" name="Column9780"/>
    <tableColumn id="9786" xr3:uid="{4806D801-A526-49BD-9277-47005E70ABA7}" name="Column9781"/>
    <tableColumn id="9787" xr3:uid="{D55D8942-743B-4577-9D47-CDC5B07444E3}" name="Column9782"/>
    <tableColumn id="9788" xr3:uid="{BDD40A1E-5554-4DB8-9D1A-84B7A2509393}" name="Column9783"/>
    <tableColumn id="9789" xr3:uid="{F49C348B-8639-4425-BBF2-17022D7150AD}" name="Column9784"/>
    <tableColumn id="9790" xr3:uid="{9079E18C-FEE2-45A6-88A2-B21B35A16546}" name="Column9785"/>
    <tableColumn id="9791" xr3:uid="{945619F6-6AC3-4EC9-B374-ADDAEEF3AD81}" name="Column9786"/>
    <tableColumn id="9792" xr3:uid="{9188A1DC-DA27-4AD2-9932-39020F579433}" name="Column9787"/>
    <tableColumn id="9793" xr3:uid="{FFBC25EE-2955-4F8B-922F-0EAF50134D63}" name="Column9788"/>
    <tableColumn id="9794" xr3:uid="{F318BFA1-F0B7-4DC8-AF0C-0036482109A4}" name="Column9789"/>
    <tableColumn id="9795" xr3:uid="{CDA4F9F8-EDF3-4EB1-949C-46A74C167216}" name="Column9790"/>
    <tableColumn id="9796" xr3:uid="{A36F4C4A-53B5-4019-B307-09CD2E1DFBBD}" name="Column9791"/>
    <tableColumn id="9797" xr3:uid="{B7281C2A-5203-4AF0-B805-8534A1AD1852}" name="Column9792"/>
    <tableColumn id="9798" xr3:uid="{79450C21-E733-48C6-AB30-B161E37C648F}" name="Column9793"/>
    <tableColumn id="9799" xr3:uid="{280F0403-A80F-4E64-820C-7EAC50411B6F}" name="Column9794"/>
    <tableColumn id="9800" xr3:uid="{7932F18D-41E9-4808-B202-14790AEA5D8D}" name="Column9795"/>
    <tableColumn id="9801" xr3:uid="{428B844F-7635-46B8-A44C-4CAA1ABC278E}" name="Column9796"/>
    <tableColumn id="9802" xr3:uid="{8601292F-8ACE-4CBB-979D-880D1B9EA97B}" name="Column9797"/>
    <tableColumn id="9803" xr3:uid="{6520C204-F661-4394-B7A5-97F336D515E8}" name="Column9798"/>
    <tableColumn id="9804" xr3:uid="{CFD4A4C1-56A8-46EA-961C-73BDC586A0FB}" name="Column9799"/>
    <tableColumn id="9805" xr3:uid="{9E425DFE-A10E-47C3-B60F-3182C3FB3CEA}" name="Column9800"/>
    <tableColumn id="9806" xr3:uid="{5288FC49-42BF-4C15-B8DE-D1364A71C4A0}" name="Column9801"/>
    <tableColumn id="9807" xr3:uid="{F919737C-0AA4-45CE-8766-520BDD10BC86}" name="Column9802"/>
    <tableColumn id="9808" xr3:uid="{62A570EB-B0B8-438A-9D53-0A6621FDC34F}" name="Column9803"/>
    <tableColumn id="9809" xr3:uid="{1AF27473-1204-42EC-A84A-1D5B304E76FE}" name="Column9804"/>
    <tableColumn id="9810" xr3:uid="{A7DC26C8-9144-4392-BA18-9F8A50CDF96D}" name="Column9805"/>
    <tableColumn id="9811" xr3:uid="{CBA35F28-C0E7-4217-BC2D-17A822A9CD87}" name="Column9806"/>
    <tableColumn id="9812" xr3:uid="{3E6A7736-0D12-4E60-A472-D25733339A4A}" name="Column9807"/>
    <tableColumn id="9813" xr3:uid="{B6C63FAE-5D74-4410-8E75-14F0C764FB2C}" name="Column9808"/>
    <tableColumn id="9814" xr3:uid="{7974112A-C856-48A4-80C0-8B41DF8485DF}" name="Column9809"/>
    <tableColumn id="9815" xr3:uid="{574E37F9-84AD-45A7-8185-A2AB73DE9CF1}" name="Column9810"/>
    <tableColumn id="9816" xr3:uid="{29045320-ED34-401F-9724-0B8F7B8B4595}" name="Column9811"/>
    <tableColumn id="9817" xr3:uid="{1DF37492-EAF0-4D30-94E4-B78A7FE02C41}" name="Column9812"/>
    <tableColumn id="9818" xr3:uid="{9ED56D6E-AAA9-41D2-95D2-94D507EAAF2D}" name="Column9813"/>
    <tableColumn id="9819" xr3:uid="{053DA700-40DF-4067-A744-CE736A543C83}" name="Column9814"/>
    <tableColumn id="9820" xr3:uid="{BDF478D2-964D-4222-BCBC-D9EBCDC97B46}" name="Column9815"/>
    <tableColumn id="9821" xr3:uid="{B52B8FBD-8D5B-419A-9E36-0390621A039F}" name="Column9816"/>
    <tableColumn id="9822" xr3:uid="{CFA857A8-BE34-4E5E-9D4A-73484D115755}" name="Column9817"/>
    <tableColumn id="9823" xr3:uid="{D351D277-DF38-4808-9FF6-7B311AAE1D45}" name="Column9818"/>
    <tableColumn id="9824" xr3:uid="{B9BBED7C-23C9-4769-85FE-F9F7F6C103D6}" name="Column9819"/>
    <tableColumn id="9825" xr3:uid="{335F9671-CD9F-49C8-BA92-0AEB8D999CD9}" name="Column9820"/>
    <tableColumn id="9826" xr3:uid="{D4D9CE54-CE46-424C-824A-261090B2055F}" name="Column9821"/>
    <tableColumn id="9827" xr3:uid="{F8F98AB6-8C87-46B7-8A44-3B5278AE822D}" name="Column9822"/>
    <tableColumn id="9828" xr3:uid="{10BB1C2D-6B45-4014-A969-3B114EEA5213}" name="Column9823"/>
    <tableColumn id="9829" xr3:uid="{59BD49B5-21AB-4802-B01D-2CA527EAEB4F}" name="Column9824"/>
    <tableColumn id="9830" xr3:uid="{4007B3B0-F42F-4189-B083-19BD36531465}" name="Column9825"/>
    <tableColumn id="9831" xr3:uid="{9E55DF81-DD3A-4CDE-884D-B9E32A0E57B1}" name="Column9826"/>
    <tableColumn id="9832" xr3:uid="{B85257F2-35C1-4281-8C44-D35E7A0C6E82}" name="Column9827"/>
    <tableColumn id="9833" xr3:uid="{27D2960B-46C4-46D3-B991-27F490ABDEE9}" name="Column9828"/>
    <tableColumn id="9834" xr3:uid="{C5B3E64F-C996-4185-94BB-4C031588741A}" name="Column9829"/>
    <tableColumn id="9835" xr3:uid="{E37BB977-6B8B-4550-87FA-FE6FEF84EF73}" name="Column9830"/>
    <tableColumn id="9836" xr3:uid="{F94C740C-9912-43C3-9451-D72940739387}" name="Column9831"/>
    <tableColumn id="9837" xr3:uid="{ABF0B5D1-8F1C-465B-B6C2-66EBBEE41504}" name="Column9832"/>
    <tableColumn id="9838" xr3:uid="{2240C109-CC5B-4E69-8494-4037262E13D2}" name="Column9833"/>
    <tableColumn id="9839" xr3:uid="{B36528C8-466A-4C62-9D6A-7997D006899A}" name="Column9834"/>
    <tableColumn id="9840" xr3:uid="{F6D931E1-5083-476B-A736-DD06C9755AB7}" name="Column9835"/>
    <tableColumn id="9841" xr3:uid="{97E0FB92-2271-42F8-8993-8836890F9486}" name="Column9836"/>
    <tableColumn id="9842" xr3:uid="{BD9731C6-6B25-464A-8183-EC225CBBC0FA}" name="Column9837"/>
    <tableColumn id="9843" xr3:uid="{5FED5DB4-EE45-4BBE-8355-43E26C7D95C2}" name="Column9838"/>
    <tableColumn id="9844" xr3:uid="{5052E2BC-2DB3-40E0-A6F4-B861EB98F2A2}" name="Column9839"/>
    <tableColumn id="9845" xr3:uid="{C54058CC-08D1-46F4-8B71-C7C1BE1FD052}" name="Column9840"/>
    <tableColumn id="9846" xr3:uid="{261BF42F-F442-4906-AB55-08C1254272D0}" name="Column9841"/>
    <tableColumn id="9847" xr3:uid="{5EFD8243-FFB2-49ED-9599-E8767DA02BE5}" name="Column9842"/>
    <tableColumn id="9848" xr3:uid="{BFDFF6EF-C9BA-4F66-90F3-533CB6D9E61E}" name="Column9843"/>
    <tableColumn id="9849" xr3:uid="{075BA6AA-2777-4C70-B549-EBAF339FF8F5}" name="Column9844"/>
    <tableColumn id="9850" xr3:uid="{7D00CA71-3ABF-47AF-8D77-3946E7453E4E}" name="Column9845"/>
    <tableColumn id="9851" xr3:uid="{CC955B39-5062-438F-B66B-7F0B2E229510}" name="Column9846"/>
    <tableColumn id="9852" xr3:uid="{D3793044-84A1-4527-99FD-765176479026}" name="Column9847"/>
    <tableColumn id="9853" xr3:uid="{3306AB6B-42C6-458E-AC8D-70C43B43DA81}" name="Column9848"/>
    <tableColumn id="9854" xr3:uid="{59373240-37B4-466F-90D8-D632A62B50FA}" name="Column9849"/>
    <tableColumn id="9855" xr3:uid="{E31ED5B9-8044-4FBC-BC7B-4B6A4FBCBB3D}" name="Column9850"/>
    <tableColumn id="9856" xr3:uid="{ABE1995D-CE71-49F2-9A3F-B2FCC5BD455C}" name="Column9851"/>
    <tableColumn id="9857" xr3:uid="{74560610-6F74-4627-9AC3-3896D15BD9D9}" name="Column9852"/>
    <tableColumn id="9858" xr3:uid="{CFB8B7E0-D38B-4669-939F-095FF1240366}" name="Column9853"/>
    <tableColumn id="9859" xr3:uid="{861A90AA-40F1-41ED-BC41-12B2F49C5878}" name="Column9854"/>
    <tableColumn id="9860" xr3:uid="{5E1C5CDC-C88F-490B-BA00-03D9A284F04F}" name="Column9855"/>
    <tableColumn id="9861" xr3:uid="{E3D53581-224E-4FCD-81BC-A36E23B08EB3}" name="Column9856"/>
    <tableColumn id="9862" xr3:uid="{DC82A4AD-AC8A-4819-9707-236376A49F1B}" name="Column9857"/>
    <tableColumn id="9863" xr3:uid="{B3BA17C7-9667-4AEC-94DB-F0C846001B92}" name="Column9858"/>
    <tableColumn id="9864" xr3:uid="{450C2B27-D79A-47A2-89B2-9449BE0A8873}" name="Column9859"/>
    <tableColumn id="9865" xr3:uid="{B7419CEF-63D1-4F2E-9CE7-CEE04A24F15D}" name="Column9860"/>
    <tableColumn id="9866" xr3:uid="{1A7CEBBD-77D4-4D4F-898C-9CE717786AB0}" name="Column9861"/>
    <tableColumn id="9867" xr3:uid="{930D124B-0B21-4D7D-9EB2-D1988D9B9EE9}" name="Column9862"/>
    <tableColumn id="9868" xr3:uid="{86BA0402-48AE-4641-9249-138640055E37}" name="Column9863"/>
    <tableColumn id="9869" xr3:uid="{9696B692-66A2-4E43-809B-140C042AF70C}" name="Column9864"/>
    <tableColumn id="9870" xr3:uid="{5EE1E27D-0BA3-4560-B93F-B85F32D6CB21}" name="Column9865"/>
    <tableColumn id="9871" xr3:uid="{4AC1F593-1041-41AC-B36F-545AAE417256}" name="Column9866"/>
    <tableColumn id="9872" xr3:uid="{7AA02640-A279-45C4-AB44-C7C940F252E2}" name="Column9867"/>
    <tableColumn id="9873" xr3:uid="{8520FF44-8634-41BF-9DB3-19E578600346}" name="Column9868"/>
    <tableColumn id="9874" xr3:uid="{C410F3A8-BC6E-4ABC-9999-5E1384D466EC}" name="Column9869"/>
    <tableColumn id="9875" xr3:uid="{90F6D30A-0A20-4E75-9ECF-0B0EBBE6893D}" name="Column9870"/>
    <tableColumn id="9876" xr3:uid="{3FF47F81-99B0-4A97-8592-FFF76AA9BC29}" name="Column9871"/>
    <tableColumn id="9877" xr3:uid="{29857770-F5A5-4461-87A8-2A63279DB695}" name="Column9872"/>
    <tableColumn id="9878" xr3:uid="{B0B647A1-C7F3-4BB7-8D9E-1CA7295CA04E}" name="Column9873"/>
    <tableColumn id="9879" xr3:uid="{CF1A20F7-FE2D-4011-BDB2-D4D1F9295882}" name="Column9874"/>
    <tableColumn id="9880" xr3:uid="{D86544AB-D673-411E-BB2B-6370771CEEE2}" name="Column9875"/>
    <tableColumn id="9881" xr3:uid="{A679492C-0D07-4ADB-A4D3-CDF2673CD77D}" name="Column9876"/>
    <tableColumn id="9882" xr3:uid="{804DFA6E-4B83-4E11-ADDD-48F49C32055F}" name="Column9877"/>
    <tableColumn id="9883" xr3:uid="{A469EC6C-FB45-4E59-87AF-3D3A36B3CDC1}" name="Column9878"/>
    <tableColumn id="9884" xr3:uid="{1A202775-AF2F-40A8-A0AB-8F4212E71A5B}" name="Column9879"/>
    <tableColumn id="9885" xr3:uid="{449389CB-5A16-42D1-8944-9E67DF796C3F}" name="Column9880"/>
    <tableColumn id="9886" xr3:uid="{A623A5E5-532E-41A9-959D-A6100ECEF800}" name="Column9881"/>
    <tableColumn id="9887" xr3:uid="{37F873FB-C0F8-45D3-8B9F-6DAD8DC2C8C8}" name="Column9882"/>
    <tableColumn id="9888" xr3:uid="{2F83999D-039E-428A-927B-D5A4C520BA96}" name="Column9883"/>
    <tableColumn id="9889" xr3:uid="{1154E602-257F-4CCF-87C3-FC13643EB97B}" name="Column9884"/>
    <tableColumn id="9890" xr3:uid="{41D94F77-DACA-4B48-9FA4-8A05A66800C9}" name="Column9885"/>
    <tableColumn id="9891" xr3:uid="{394C8C95-592C-4145-9CC4-FE209EA4FC99}" name="Column9886"/>
    <tableColumn id="9892" xr3:uid="{009C9765-6E07-4CA5-8B8B-811B014FD650}" name="Column9887"/>
    <tableColumn id="9893" xr3:uid="{7A387838-32CE-4C7E-84D8-9DB8D80AA721}" name="Column9888"/>
    <tableColumn id="9894" xr3:uid="{CAC79E6D-8E05-42ED-BD77-13F9B60F411C}" name="Column9889"/>
    <tableColumn id="9895" xr3:uid="{84A887DD-0DB9-4E2D-9EDD-2C107FA69C02}" name="Column9890"/>
    <tableColumn id="9896" xr3:uid="{42AFF833-49A0-475C-AC8D-FCECF7C33399}" name="Column9891"/>
    <tableColumn id="9897" xr3:uid="{01FE950A-A580-4C2A-A93C-D06535D31393}" name="Column9892"/>
    <tableColumn id="9898" xr3:uid="{A9B4F020-4B25-446B-AFD6-21D7E5DA5E91}" name="Column9893"/>
    <tableColumn id="9899" xr3:uid="{6F2236DC-4336-42FF-AF9C-5C2CD0DD298F}" name="Column9894"/>
    <tableColumn id="9900" xr3:uid="{E1847794-491E-4A9C-9395-6A43900F7646}" name="Column9895"/>
    <tableColumn id="9901" xr3:uid="{E57908A8-5CE4-40A8-A466-4D8FB41D309B}" name="Column9896"/>
    <tableColumn id="9902" xr3:uid="{5D52185B-E72D-4358-8B63-B6D88116F8EC}" name="Column9897"/>
    <tableColumn id="9903" xr3:uid="{34D4CE2A-FF7C-4E78-A0C0-BC6029E87A6B}" name="Column9898"/>
    <tableColumn id="9904" xr3:uid="{BFAF81E8-7DE8-422D-A51A-8B121DB128B8}" name="Column9899"/>
    <tableColumn id="9905" xr3:uid="{8A9A23FD-21CE-49E5-8416-C01118FFDC20}" name="Column9900"/>
    <tableColumn id="9906" xr3:uid="{DA3AD724-E141-4719-9C61-90157C23246A}" name="Column9901"/>
    <tableColumn id="9907" xr3:uid="{16C11F64-5680-4C49-B5B6-D36B30C886A5}" name="Column9902"/>
    <tableColumn id="9908" xr3:uid="{B64EBC2D-E928-41DA-98F3-33F04F31537E}" name="Column9903"/>
    <tableColumn id="9909" xr3:uid="{8CA25E11-37B4-413A-84BA-6F49A67DBA95}" name="Column9904"/>
    <tableColumn id="9910" xr3:uid="{3D21BC36-5675-4B9D-AAB7-43E853CB2C12}" name="Column9905"/>
    <tableColumn id="9911" xr3:uid="{8243EB54-FE22-40AA-815A-8A9A2CDD568D}" name="Column9906"/>
    <tableColumn id="9912" xr3:uid="{2C2AD05A-7FE0-4C9E-9DB6-D9FB2BE67B4A}" name="Column9907"/>
    <tableColumn id="9913" xr3:uid="{8890505F-A120-45F3-BAF8-FC926E64FB92}" name="Column9908"/>
    <tableColumn id="9914" xr3:uid="{F539FF39-7F0A-435B-B457-8D36CCE2F013}" name="Column9909"/>
    <tableColumn id="9915" xr3:uid="{45686FF8-73A0-4B62-B9A3-CD5131DD6789}" name="Column9910"/>
    <tableColumn id="9916" xr3:uid="{55AF0C62-9ECD-4ABE-9D51-A8C8EEACD619}" name="Column9911"/>
    <tableColumn id="9917" xr3:uid="{DE81BBE6-6D2C-4AD2-9ACB-5BDC33F386A0}" name="Column9912"/>
    <tableColumn id="9918" xr3:uid="{683B1B0D-3148-4D40-A804-31A023A3BF1B}" name="Column9913"/>
    <tableColumn id="9919" xr3:uid="{4EE4B656-4D1D-47AD-8DA0-AA82C80005FB}" name="Column9914"/>
    <tableColumn id="9920" xr3:uid="{F65ED3CB-617D-4BDD-8542-BA9EBC4DC774}" name="Column9915"/>
    <tableColumn id="9921" xr3:uid="{5EE1CF40-BAEE-45CA-9FA5-1B90408BFF16}" name="Column9916"/>
    <tableColumn id="9922" xr3:uid="{613A6077-2355-4E79-A5DB-52CE8356FDC1}" name="Column9917"/>
    <tableColumn id="9923" xr3:uid="{59367F78-1C62-46D8-B58A-99FC282CC906}" name="Column9918"/>
    <tableColumn id="9924" xr3:uid="{E8E1FB2A-3155-41FF-BB9F-67F9D7E3604A}" name="Column9919"/>
    <tableColumn id="9925" xr3:uid="{CA6FEE67-3915-494E-8FA7-E9E7035C1FFA}" name="Column9920"/>
    <tableColumn id="9926" xr3:uid="{0F4BE607-1FFD-4386-ADD5-423C2C2658A3}" name="Column9921"/>
    <tableColumn id="9927" xr3:uid="{8D1558D9-9DB0-46E9-B2E0-6B8267802AC3}" name="Column9922"/>
    <tableColumn id="9928" xr3:uid="{1FDB75ED-0AEA-43F3-A04E-0D344FA58236}" name="Column9923"/>
    <tableColumn id="9929" xr3:uid="{5691FC09-54B1-453B-AB52-3D327BE8F43F}" name="Column9924"/>
    <tableColumn id="9930" xr3:uid="{C0AF55D3-A811-457C-9F26-2EC202D880D1}" name="Column9925"/>
    <tableColumn id="9931" xr3:uid="{FE609C46-00FC-4AAF-9BEC-DB72D6B7BD10}" name="Column9926"/>
    <tableColumn id="9932" xr3:uid="{F174D604-9804-47AD-9D09-6F0A505F5742}" name="Column9927"/>
    <tableColumn id="9933" xr3:uid="{82B4C8BA-FE01-4687-912C-36442396D13B}" name="Column9928"/>
    <tableColumn id="9934" xr3:uid="{A8C0C82F-6CBD-4124-95B2-8B5E191A0010}" name="Column9929"/>
    <tableColumn id="9935" xr3:uid="{00B9B027-8B2B-40F8-B770-96E7530520BA}" name="Column9930"/>
    <tableColumn id="9936" xr3:uid="{1EE41AAA-73D7-4C5F-BBFD-DE858B22F364}" name="Column9931"/>
    <tableColumn id="9937" xr3:uid="{FE70FC83-0C60-4424-92E3-F8A1544D51C2}" name="Column9932"/>
    <tableColumn id="9938" xr3:uid="{B3240105-927C-4E9F-95BC-9BE701150958}" name="Column9933"/>
    <tableColumn id="9939" xr3:uid="{636A5962-689E-4502-9E5F-0A9AC5DE109B}" name="Column9934"/>
    <tableColumn id="9940" xr3:uid="{A52AA683-74EC-4DF5-9910-A0C8124EEA0C}" name="Column9935"/>
    <tableColumn id="9941" xr3:uid="{3B4CE4B3-FB8D-43D5-AEBC-6DC006666162}" name="Column9936"/>
    <tableColumn id="9942" xr3:uid="{CE894336-6B31-428F-97EB-A3A2E5641DC8}" name="Column9937"/>
    <tableColumn id="9943" xr3:uid="{53A48572-FF2B-4545-8199-6AA40816FAFE}" name="Column9938"/>
    <tableColumn id="9944" xr3:uid="{1F9609C6-496C-459E-B4B0-D1811172C6D2}" name="Column9939"/>
    <tableColumn id="9945" xr3:uid="{A66DAE2E-57F8-4509-AE3C-4C4A6FD9EA32}" name="Column9940"/>
    <tableColumn id="9946" xr3:uid="{09B6158B-D0F3-44F9-B986-A4C104A3BDCF}" name="Column9941"/>
    <tableColumn id="9947" xr3:uid="{FDA339D6-D849-4896-AD4D-DCFE4AB2B980}" name="Column9942"/>
    <tableColumn id="9948" xr3:uid="{06A80D04-7280-475A-87FA-1C17C1856B8D}" name="Column9943"/>
    <tableColumn id="9949" xr3:uid="{3455B023-6F26-44D3-A70D-DE2366E66BA9}" name="Column9944"/>
    <tableColumn id="9950" xr3:uid="{1F91014B-BBE6-461F-AB68-134E09688F38}" name="Column9945"/>
    <tableColumn id="9951" xr3:uid="{BAFE30F1-9B7D-41FE-A136-979E1EE28F41}" name="Column9946"/>
    <tableColumn id="9952" xr3:uid="{B49C09CB-DC89-4DA6-93FF-8FDD204CE96B}" name="Column9947"/>
    <tableColumn id="9953" xr3:uid="{72BEB182-12BF-4443-A688-C2BC95A20F0C}" name="Column9948"/>
    <tableColumn id="9954" xr3:uid="{5E31ACB3-B0E4-454E-A81B-1F0212E070F0}" name="Column9949"/>
    <tableColumn id="9955" xr3:uid="{1A3528FF-7AD8-42E8-86A4-A23393786019}" name="Column9950"/>
    <tableColumn id="9956" xr3:uid="{4CB27B76-9598-460E-AE60-B1DCEE6CAF56}" name="Column9951"/>
    <tableColumn id="9957" xr3:uid="{33225E50-04C5-47EA-BF77-AFCA54940E8C}" name="Column9952"/>
    <tableColumn id="9958" xr3:uid="{490CBCC4-E5FC-40B1-AB54-32D388D9EA76}" name="Column9953"/>
    <tableColumn id="9959" xr3:uid="{6B9A0090-F4F9-415C-9172-E923D7EC3635}" name="Column9954"/>
    <tableColumn id="9960" xr3:uid="{0FE3E7A6-718E-44E3-8032-3A4E7CD26773}" name="Column9955"/>
    <tableColumn id="9961" xr3:uid="{41C6A589-CF94-4706-A2DE-5E0761F1C856}" name="Column9956"/>
    <tableColumn id="9962" xr3:uid="{97614D3D-2911-4EB0-A7BD-E2FF43572298}" name="Column9957"/>
    <tableColumn id="9963" xr3:uid="{04B3A07E-03A3-4738-8ECF-E65CF2692861}" name="Column9958"/>
    <tableColumn id="9964" xr3:uid="{8D41E1AD-8177-4932-B64E-052EFCBFFAB4}" name="Column9959"/>
    <tableColumn id="9965" xr3:uid="{DF0BD0C0-8B46-4E30-8B68-B54E60CF5885}" name="Column9960"/>
    <tableColumn id="9966" xr3:uid="{4BB1FE83-38E8-4402-ACAE-EAABA9EBF694}" name="Column9961"/>
    <tableColumn id="9967" xr3:uid="{BA2D7975-61B1-4747-9C78-76029CFF6C61}" name="Column9962"/>
    <tableColumn id="9968" xr3:uid="{E0A8AA29-5632-4D14-9802-2152BC9B8F8E}" name="Column9963"/>
    <tableColumn id="9969" xr3:uid="{CDEA4482-A20A-4490-B425-84ACC4BA4BFB}" name="Column9964"/>
    <tableColumn id="9970" xr3:uid="{78EE1FF4-B402-4470-BED7-BF7EB2AC28AA}" name="Column9965"/>
    <tableColumn id="9971" xr3:uid="{63D0DB7A-933F-435D-A8D6-436E079C6A96}" name="Column9966"/>
    <tableColumn id="9972" xr3:uid="{1B6CC4DF-F492-4001-9E6F-07379605CE6E}" name="Column9967"/>
    <tableColumn id="9973" xr3:uid="{D7D66031-0D73-4DC8-B1A8-980CCDC2F38F}" name="Column9968"/>
    <tableColumn id="9974" xr3:uid="{AD5DD5A2-0DCD-458B-AE6F-241ABEFB498F}" name="Column9969"/>
    <tableColumn id="9975" xr3:uid="{2BC65633-9A4A-4026-AD49-0FAC6E163478}" name="Column9970"/>
    <tableColumn id="9976" xr3:uid="{C53B766D-7152-455E-9A57-884731533600}" name="Column9971"/>
    <tableColumn id="9977" xr3:uid="{DEF8A6F2-5109-4165-8F51-8C5242F4FC08}" name="Column9972"/>
    <tableColumn id="9978" xr3:uid="{2B6DA8D6-4DF6-4382-8901-6C8E4D6BAF58}" name="Column9973"/>
    <tableColumn id="9979" xr3:uid="{00EF4733-0F11-42F8-8F26-58EDFD6E8942}" name="Column9974"/>
    <tableColumn id="9980" xr3:uid="{585412CC-74D8-4ADB-9014-5B240C056BA0}" name="Column9975"/>
    <tableColumn id="9981" xr3:uid="{D03492E8-1244-4C95-9686-67749C6EE369}" name="Column9976"/>
    <tableColumn id="9982" xr3:uid="{68D6DC54-94B6-414F-B4DA-A9477F1965FA}" name="Column9977"/>
    <tableColumn id="9983" xr3:uid="{5D3F1FA2-DB34-4007-BFCC-75D8ED09F3D9}" name="Column9978"/>
    <tableColumn id="9984" xr3:uid="{D7AA2281-31FD-4083-8922-883246D03476}" name="Column9979"/>
    <tableColumn id="9985" xr3:uid="{D8AD47E7-60F5-4ACE-A636-52C5C8C845E2}" name="Column9980"/>
    <tableColumn id="9986" xr3:uid="{570D1CAD-2FF2-4D2D-B12A-6287C231EFAB}" name="Column9981"/>
    <tableColumn id="9987" xr3:uid="{874F12A2-9D0E-485F-B999-C7A19AD5D7EA}" name="Column9982"/>
    <tableColumn id="9988" xr3:uid="{0888564F-2E76-49CA-A09F-88D7E7AEC1E8}" name="Column9983"/>
    <tableColumn id="9989" xr3:uid="{F178E826-806A-4136-B471-6BD499588B98}" name="Column9984"/>
    <tableColumn id="9990" xr3:uid="{3142011B-2EAE-4D59-94B8-13D46848F771}" name="Column9985"/>
    <tableColumn id="9991" xr3:uid="{3EB5B64E-78BD-4CC9-82C8-3A936397709D}" name="Column9986"/>
    <tableColumn id="9992" xr3:uid="{188B324A-6D83-471D-A261-8C49A0F88C58}" name="Column9987"/>
    <tableColumn id="9993" xr3:uid="{5C13F0F9-7D28-4D8F-8B7A-6168CCC6F8C5}" name="Column9988"/>
    <tableColumn id="9994" xr3:uid="{459D5DAC-95B3-46EF-9BF0-E2E7F2680EE2}" name="Column9989"/>
    <tableColumn id="9995" xr3:uid="{750084AB-C87F-49B7-AD5C-7B4390E2BCDD}" name="Column9990"/>
    <tableColumn id="9996" xr3:uid="{976B14C0-77DB-44B5-ABAA-36656A9F8BEA}" name="Column9991"/>
    <tableColumn id="9997" xr3:uid="{57F1B573-C4C9-484D-B505-FA573E0073DC}" name="Column9992"/>
    <tableColumn id="9998" xr3:uid="{76D83B22-3AB4-43CC-A8DB-90E82B2B5A7A}" name="Column9993"/>
    <tableColumn id="9999" xr3:uid="{DF7CA81E-F8AA-49F7-93A2-3AFE5E5D6F30}" name="Column9994"/>
    <tableColumn id="10000" xr3:uid="{46371FEE-0C11-4E4C-9613-7F2A73955C26}" name="Column9995"/>
    <tableColumn id="10001" xr3:uid="{AD6C061D-91E7-4D48-9CE8-9C9BC85138C8}" name="Column9996"/>
    <tableColumn id="10002" xr3:uid="{6A9CEE31-E574-4F62-A21E-962F1332431F}" name="Column9997"/>
    <tableColumn id="10003" xr3:uid="{A3A8336E-0D36-4A78-98E0-C2F9F6759EDB}" name="Column9998"/>
    <tableColumn id="10004" xr3:uid="{323E23FA-AA09-459A-9EBE-A8925CBA153E}" name="Column9999"/>
    <tableColumn id="10005" xr3:uid="{3C0572A6-D922-4337-87D3-01483EF0E070}" name="Column10000"/>
    <tableColumn id="10006" xr3:uid="{143432C1-7DAD-475D-A04B-591AF2AA5659}" name="Column10001"/>
    <tableColumn id="10007" xr3:uid="{D99DB11F-2054-4A9B-9062-951D05F4B9B6}" name="Column10002"/>
    <tableColumn id="10008" xr3:uid="{DC31C74E-525E-4A22-A008-4C8FA36F961F}" name="Column10003"/>
    <tableColumn id="10009" xr3:uid="{E716CD8B-2E3B-49F6-BD97-130F01125B75}" name="Column10004"/>
    <tableColumn id="10010" xr3:uid="{AC95D3B8-281F-48F9-97A1-E2814014F43D}" name="Column10005"/>
    <tableColumn id="10011" xr3:uid="{77EE3690-0DD3-4ADC-9FCC-766933379B08}" name="Column10006"/>
    <tableColumn id="10012" xr3:uid="{0A3F1796-279E-4385-8D37-F24ECE2CB584}" name="Column10007"/>
    <tableColumn id="10013" xr3:uid="{19539C2B-9EF5-40D3-90F5-243542640914}" name="Column10008"/>
    <tableColumn id="10014" xr3:uid="{7AAC4C41-FB7F-4C09-BA0C-D1DB0E064A56}" name="Column10009"/>
    <tableColumn id="10015" xr3:uid="{07110F71-7A78-49D5-B8BC-8BF1DC3898B3}" name="Column10010"/>
    <tableColumn id="10016" xr3:uid="{B418008E-E302-425E-B3AE-EB4E4C7DC681}" name="Column10011"/>
    <tableColumn id="10017" xr3:uid="{1C173F26-0424-4B15-AD15-4A81B122C479}" name="Column10012"/>
    <tableColumn id="10018" xr3:uid="{F46567F6-3822-44E0-BD7E-A11AC6302069}" name="Column10013"/>
    <tableColumn id="10019" xr3:uid="{7F115479-9BF0-4000-BBF1-9182E48E4491}" name="Column10014"/>
    <tableColumn id="10020" xr3:uid="{BA68E480-2A97-4A19-A356-BCEA71319E86}" name="Column10015"/>
    <tableColumn id="10021" xr3:uid="{4165489C-BEFA-4164-8032-51AB838941A8}" name="Column10016"/>
    <tableColumn id="10022" xr3:uid="{3B08BD35-CF0C-4FA0-902A-657348CA98B6}" name="Column10017"/>
    <tableColumn id="10023" xr3:uid="{33A76241-E212-4511-A546-3C68A7309139}" name="Column10018"/>
    <tableColumn id="10024" xr3:uid="{29CAC419-449C-4BC1-8F0F-BED123F14C00}" name="Column10019"/>
    <tableColumn id="10025" xr3:uid="{DA7CB466-7E47-409D-B77A-99DBC5BEE3B3}" name="Column10020"/>
    <tableColumn id="10026" xr3:uid="{EC20671C-9A79-4348-A876-40B9A5982EAB}" name="Column10021"/>
    <tableColumn id="10027" xr3:uid="{3312D51A-4C7F-464B-9259-21652D96BAF8}" name="Column10022"/>
    <tableColumn id="10028" xr3:uid="{CAE455D0-7E9E-4986-B2DB-72C6CCD41B72}" name="Column10023"/>
    <tableColumn id="10029" xr3:uid="{D7B995A9-9CD6-4BFB-8858-EC397CFF0A93}" name="Column10024"/>
    <tableColumn id="10030" xr3:uid="{B974A321-E851-4E6D-B0E6-CD2F428A7836}" name="Column10025"/>
    <tableColumn id="10031" xr3:uid="{F5591107-AF32-4F0D-A5B9-87870E756D4E}" name="Column10026"/>
    <tableColumn id="10032" xr3:uid="{EC4AD242-0746-44A3-952E-900E33DAE261}" name="Column10027"/>
    <tableColumn id="10033" xr3:uid="{2898189C-A871-4D2C-B924-C06B49B78BD0}" name="Column10028"/>
    <tableColumn id="10034" xr3:uid="{87C8FA2E-7C0A-4AB1-B68D-7BA9D3B5DCB7}" name="Column10029"/>
    <tableColumn id="10035" xr3:uid="{F72CE808-923F-41E7-8A5D-AC5CF6D676AD}" name="Column10030"/>
    <tableColumn id="10036" xr3:uid="{25955B98-72D1-4915-B78B-3E8530EA6B62}" name="Column10031"/>
    <tableColumn id="10037" xr3:uid="{10AE926F-59C8-437E-992B-82262BD62CFE}" name="Column10032"/>
    <tableColumn id="10038" xr3:uid="{B91756EC-DB4A-4BA2-BA48-42D08B36293A}" name="Column10033"/>
    <tableColumn id="10039" xr3:uid="{1C07E0B3-CE71-4373-ACEF-A63626ACD96A}" name="Column10034"/>
    <tableColumn id="10040" xr3:uid="{E4F1F528-4C0E-4ACB-A8A0-A631DC697149}" name="Column10035"/>
    <tableColumn id="10041" xr3:uid="{D2D99888-5280-418E-8B74-025C046879FA}" name="Column10036"/>
    <tableColumn id="10042" xr3:uid="{58F4287B-B8A4-4A71-AF84-4947BDF18F7E}" name="Column10037"/>
    <tableColumn id="10043" xr3:uid="{97D18B51-D53F-476C-9C67-4D7CE364768A}" name="Column10038"/>
    <tableColumn id="10044" xr3:uid="{BEA950EC-6A15-416B-8993-55BCDD1E907C}" name="Column10039"/>
    <tableColumn id="10045" xr3:uid="{E737201B-6B66-48E6-B214-3433CE288C10}" name="Column10040"/>
    <tableColumn id="10046" xr3:uid="{5295D7DC-5AA8-416B-8C0E-F6B453B3E860}" name="Column10041"/>
    <tableColumn id="10047" xr3:uid="{584F4D7F-4306-477D-B3A7-2CA0E3C21BC5}" name="Column10042"/>
    <tableColumn id="10048" xr3:uid="{2A6D21E0-3985-4F15-82D9-2888077DFBC3}" name="Column10043"/>
    <tableColumn id="10049" xr3:uid="{62503F47-F56A-494F-A08A-7A364E104C94}" name="Column10044"/>
    <tableColumn id="10050" xr3:uid="{22239805-0011-42B0-985F-1083D95DDEF7}" name="Column10045"/>
    <tableColumn id="10051" xr3:uid="{2D525AE2-049E-4DF9-972A-6CABB50F3CDA}" name="Column10046"/>
    <tableColumn id="10052" xr3:uid="{3EB7DE45-D1EB-4905-8EF5-A9F0028CD14B}" name="Column10047"/>
    <tableColumn id="10053" xr3:uid="{D1D5BA8D-FDAD-48BC-A2A5-D71BC357BF18}" name="Column10048"/>
    <tableColumn id="10054" xr3:uid="{310BDF9B-CBA8-4BFE-918E-E865F557E477}" name="Column10049"/>
    <tableColumn id="10055" xr3:uid="{EBC411A7-44AC-46AF-A83B-58E749B6A3DD}" name="Column10050"/>
    <tableColumn id="10056" xr3:uid="{62BFC950-C6DC-435E-A083-E2B0C91745A7}" name="Column10051"/>
    <tableColumn id="10057" xr3:uid="{4B2DF889-E981-4015-ADAD-F828FDC339A7}" name="Column10052"/>
    <tableColumn id="10058" xr3:uid="{4B92DA54-2382-4CBD-9A0C-D062C639E251}" name="Column10053"/>
    <tableColumn id="10059" xr3:uid="{3FDF1F23-4BC3-4ADA-8649-223CA1F98EA4}" name="Column10054"/>
    <tableColumn id="10060" xr3:uid="{E9D7E854-FAAD-40E4-AFBD-010D06AD6D99}" name="Column10055"/>
    <tableColumn id="10061" xr3:uid="{7C5FB575-318D-4493-8C96-8ED36DFE8CA2}" name="Column10056"/>
    <tableColumn id="10062" xr3:uid="{C5FE4DC5-72E6-4609-BEFF-40D807570EDE}" name="Column10057"/>
    <tableColumn id="10063" xr3:uid="{A8F3D8B6-96F0-4505-98A8-0D945E82F885}" name="Column10058"/>
    <tableColumn id="10064" xr3:uid="{7BB81F49-F31C-488E-A780-512D9BFEBEB0}" name="Column10059"/>
    <tableColumn id="10065" xr3:uid="{1A7BA1A8-3FA0-4074-A5E6-BF8B644D5839}" name="Column10060"/>
    <tableColumn id="10066" xr3:uid="{8FF3E90E-5984-446E-93CE-6D79F6084507}" name="Column10061"/>
    <tableColumn id="10067" xr3:uid="{F0F402DA-9276-4ED8-BFBA-EAEF18405067}" name="Column10062"/>
    <tableColumn id="10068" xr3:uid="{42BDD417-EC06-4E1C-AFDA-1EDD312CC528}" name="Column10063"/>
    <tableColumn id="10069" xr3:uid="{EC5B49FD-0B20-4F2D-AD53-ABEE3858CB29}" name="Column10064"/>
    <tableColumn id="10070" xr3:uid="{57BE082B-65A0-4CD5-A9B1-D2E2E433993E}" name="Column10065"/>
    <tableColumn id="10071" xr3:uid="{C0203557-DC25-45FB-8FB1-29BFF1CCC674}" name="Column10066"/>
    <tableColumn id="10072" xr3:uid="{EE5F5C04-B0CC-4B08-B0DB-1DDC37EF66BD}" name="Column10067"/>
    <tableColumn id="10073" xr3:uid="{99488120-BF7B-4A0F-8EDF-1508E25A326F}" name="Column10068"/>
    <tableColumn id="10074" xr3:uid="{145A074A-1225-4505-BB12-4B53CBAD3437}" name="Column10069"/>
    <tableColumn id="10075" xr3:uid="{D86A6933-D55C-4DCE-90F8-F960B8A1B7BE}" name="Column10070"/>
    <tableColumn id="10076" xr3:uid="{2D3E7B93-D0C4-407F-8A7E-994526C70715}" name="Column10071"/>
    <tableColumn id="10077" xr3:uid="{D4311522-AF02-4A4C-901E-657CB0CB91FE}" name="Column10072"/>
    <tableColumn id="10078" xr3:uid="{A2CC63B7-2E8C-4801-B773-E7AFF9765802}" name="Column10073"/>
    <tableColumn id="10079" xr3:uid="{98E0FAB1-47B4-4462-A93B-5AAA8563411C}" name="Column10074"/>
    <tableColumn id="10080" xr3:uid="{77D96574-23C2-45CB-B782-4A4BFBE6FFA5}" name="Column10075"/>
    <tableColumn id="10081" xr3:uid="{495C3494-B72E-43E9-9FE0-A49DECAC1F76}" name="Column10076"/>
    <tableColumn id="10082" xr3:uid="{52365A38-07B3-48B2-954B-3EA918A23799}" name="Column10077"/>
    <tableColumn id="10083" xr3:uid="{2DB9549D-E769-4913-9906-8EDE911C9803}" name="Column10078"/>
    <tableColumn id="10084" xr3:uid="{A5D46303-84F4-4F48-8925-8A2ADE700789}" name="Column10079"/>
    <tableColumn id="10085" xr3:uid="{F1F1AFE2-81B3-49D4-BF54-E6E0312D1BE6}" name="Column10080"/>
    <tableColumn id="10086" xr3:uid="{3385003E-B533-4DF8-B3FA-96A80D09A401}" name="Column10081"/>
    <tableColumn id="10087" xr3:uid="{7B7840DD-C676-4A4C-89C0-547FFE2677B5}" name="Column10082"/>
    <tableColumn id="10088" xr3:uid="{F8A91564-CEC3-48A9-A2FD-A6D9101C6D55}" name="Column10083"/>
    <tableColumn id="10089" xr3:uid="{69CBA7DD-85B0-47CF-8298-F5FC03875519}" name="Column10084"/>
    <tableColumn id="10090" xr3:uid="{68E324B5-A3C7-489B-9CDE-A94BCF6C7903}" name="Column10085"/>
    <tableColumn id="10091" xr3:uid="{450A008C-3468-436F-B924-5629A81786BD}" name="Column10086"/>
    <tableColumn id="10092" xr3:uid="{2B4CB2DF-89DA-4AA2-B3BD-9F39B1E4EF30}" name="Column10087"/>
    <tableColumn id="10093" xr3:uid="{E320C0FE-B458-447B-89C0-CF0235E53873}" name="Column10088"/>
    <tableColumn id="10094" xr3:uid="{EA09EA33-DB90-4947-AD98-313ECF43C994}" name="Column10089"/>
    <tableColumn id="10095" xr3:uid="{3F86A69E-B612-4E7A-A9D1-6A936162D6A0}" name="Column10090"/>
    <tableColumn id="10096" xr3:uid="{0B643B09-A989-40ED-BB34-6DC21F94B9CF}" name="Column10091"/>
    <tableColumn id="10097" xr3:uid="{9454CFB2-4ED5-44F1-A05F-9CA4F0DDAFC6}" name="Column10092"/>
    <tableColumn id="10098" xr3:uid="{7150024E-BD88-4CAB-9D20-7B95DD871691}" name="Column10093"/>
    <tableColumn id="10099" xr3:uid="{BA1D0A46-5B21-48CE-8BFF-C0A34B19D713}" name="Column10094"/>
    <tableColumn id="10100" xr3:uid="{7EAE386D-EB9E-4561-8A13-06F6E5E9E058}" name="Column10095"/>
    <tableColumn id="10101" xr3:uid="{725A305C-A555-41AF-A102-36BB062A2183}" name="Column10096"/>
    <tableColumn id="10102" xr3:uid="{3879B516-DC33-4C04-A229-EA356FDE0D6D}" name="Column10097"/>
    <tableColumn id="10103" xr3:uid="{DB903920-2AB2-4A4E-A14F-51E1D7F99121}" name="Column10098"/>
    <tableColumn id="10104" xr3:uid="{A811E322-D4AF-4276-864D-A67A86A8E901}" name="Column10099"/>
    <tableColumn id="10105" xr3:uid="{5531801F-A3EC-4FDD-86E7-D8F8627975D7}" name="Column10100"/>
    <tableColumn id="10106" xr3:uid="{6CD774D0-2EBC-4D01-BDAC-9294C7DB9A54}" name="Column10101"/>
    <tableColumn id="10107" xr3:uid="{BCFD31CA-4A11-4C3F-A221-E59BFB19034D}" name="Column10102"/>
    <tableColumn id="10108" xr3:uid="{6AAC4361-20B7-459E-8764-F1E73E04C596}" name="Column10103"/>
    <tableColumn id="10109" xr3:uid="{97D0C799-E987-47CE-8451-DCC2151CEFE4}" name="Column10104"/>
    <tableColumn id="10110" xr3:uid="{AF208F1B-8C0F-449C-AB26-8B22EFE246FA}" name="Column10105"/>
    <tableColumn id="10111" xr3:uid="{E6825027-EB6F-4BEC-9CAB-CB9502F88514}" name="Column10106"/>
    <tableColumn id="10112" xr3:uid="{A29DBEA2-4796-4685-AF92-A3B13EC14A41}" name="Column10107"/>
    <tableColumn id="10113" xr3:uid="{FCA30357-CC91-4D30-946B-DBA5DE6FF49D}" name="Column10108"/>
    <tableColumn id="10114" xr3:uid="{08B9AEEF-54AF-4DF5-9C33-7F02082EE0A1}" name="Column10109"/>
    <tableColumn id="10115" xr3:uid="{C6FCE414-84E4-4A53-A05C-01900FB0A553}" name="Column10110"/>
    <tableColumn id="10116" xr3:uid="{681F7A53-CBA5-45D5-BAAD-52AC97C1EE7A}" name="Column10111"/>
    <tableColumn id="10117" xr3:uid="{3717315F-C1D5-49AF-B9DB-CDB0C41F4604}" name="Column10112"/>
    <tableColumn id="10118" xr3:uid="{F94DFA3B-67AD-4993-B88D-EE200271FD59}" name="Column10113"/>
    <tableColumn id="10119" xr3:uid="{4FFB58FD-A771-439F-B47E-B7F46BB9149A}" name="Column10114"/>
    <tableColumn id="10120" xr3:uid="{91D35C81-5280-4CF5-B2F5-F4CAD03498FB}" name="Column10115"/>
    <tableColumn id="10121" xr3:uid="{53265625-CB5E-4A98-AAF5-3E7891540CCD}" name="Column10116"/>
    <tableColumn id="10122" xr3:uid="{3E840422-62ED-4740-8B68-0CFF896659C7}" name="Column10117"/>
    <tableColumn id="10123" xr3:uid="{00754CEA-C85D-46BD-AF4F-1F73EBB219D3}" name="Column10118"/>
    <tableColumn id="10124" xr3:uid="{B673177F-A1E3-47E0-B4BB-86E80014B46D}" name="Column10119"/>
    <tableColumn id="10125" xr3:uid="{FA559428-B07C-42EA-B5A0-4D3635BF444E}" name="Column10120"/>
    <tableColumn id="10126" xr3:uid="{8A71982E-8D74-430E-821A-D89DA07E1E25}" name="Column10121"/>
    <tableColumn id="10127" xr3:uid="{8AC77BA1-E587-48C4-BBC7-E6750E7A74C8}" name="Column10122"/>
    <tableColumn id="10128" xr3:uid="{2F56CAF1-9957-4BB0-9818-0406E7FF124C}" name="Column10123"/>
    <tableColumn id="10129" xr3:uid="{A42B432B-EDD0-4B5D-8358-F16345582C47}" name="Column10124"/>
    <tableColumn id="10130" xr3:uid="{96C12EA6-3057-455B-8D4A-5E63A0491720}" name="Column10125"/>
    <tableColumn id="10131" xr3:uid="{C43D7AA5-AD86-41AD-AA8A-EF085B7F846D}" name="Column10126"/>
    <tableColumn id="10132" xr3:uid="{262D5211-C8ED-4BA4-AB5A-9AF008A6EED6}" name="Column10127"/>
    <tableColumn id="10133" xr3:uid="{57CA1996-CFA4-40F1-B65B-4CC888554EBE}" name="Column10128"/>
    <tableColumn id="10134" xr3:uid="{1D393838-9A47-4F6B-997A-071405EEF2E1}" name="Column10129"/>
    <tableColumn id="10135" xr3:uid="{F89687F5-2F75-46BB-9C8E-33B3D012DFB3}" name="Column10130"/>
    <tableColumn id="10136" xr3:uid="{4F555D4B-0D64-4BA7-9FF2-E9D027336C21}" name="Column10131"/>
    <tableColumn id="10137" xr3:uid="{B155DF67-D540-491A-867D-CB5431279AC2}" name="Column10132"/>
    <tableColumn id="10138" xr3:uid="{4EAA5880-1A7D-41EB-BCD8-B5EF97B365D1}" name="Column10133"/>
    <tableColumn id="10139" xr3:uid="{36304E3C-237E-4E1A-B763-23EDB80905F9}" name="Column10134"/>
    <tableColumn id="10140" xr3:uid="{8540D0B7-E298-404B-90A5-852A7496A714}" name="Column10135"/>
    <tableColumn id="10141" xr3:uid="{96C40468-237A-4110-93C4-F55C72F79A34}" name="Column10136"/>
    <tableColumn id="10142" xr3:uid="{8B2DDEB6-6B48-44A6-BFBF-726FC15A69D2}" name="Column10137"/>
    <tableColumn id="10143" xr3:uid="{2A783675-8A3A-46A4-96D8-5057DBDF8A39}" name="Column10138"/>
    <tableColumn id="10144" xr3:uid="{CA29B949-FA93-4FB3-BD52-8C6EA81958FB}" name="Column10139"/>
    <tableColumn id="10145" xr3:uid="{2E799DB3-AFB3-4531-8591-E62324C5D217}" name="Column10140"/>
    <tableColumn id="10146" xr3:uid="{2C9279E9-83D5-4CC0-A599-F7D79743F195}" name="Column10141"/>
    <tableColumn id="10147" xr3:uid="{A35D9A1C-F1B4-4087-9F49-0C977F6A6F2E}" name="Column10142"/>
    <tableColumn id="10148" xr3:uid="{6148C3D2-D453-4D97-BFD5-A3699A8F6B81}" name="Column10143"/>
    <tableColumn id="10149" xr3:uid="{307E0E68-80D3-4520-AC57-7C35BAF04EAE}" name="Column10144"/>
    <tableColumn id="10150" xr3:uid="{71653B74-486B-4517-B34A-35E010E667AB}" name="Column10145"/>
    <tableColumn id="10151" xr3:uid="{5E88AA6B-0F36-4BBC-BA73-6BE6A57B3E51}" name="Column10146"/>
    <tableColumn id="10152" xr3:uid="{478FD40C-ACA0-48B0-AD60-9B78C71F5161}" name="Column10147"/>
    <tableColumn id="10153" xr3:uid="{C9EFC226-1078-4FD7-90A5-7F835E44FCE8}" name="Column10148"/>
    <tableColumn id="10154" xr3:uid="{87CD1A64-D451-4AF2-A988-80D8E817F423}" name="Column10149"/>
    <tableColumn id="10155" xr3:uid="{ADBA8838-9FC0-4303-8103-3972E938EA89}" name="Column10150"/>
    <tableColumn id="10156" xr3:uid="{AB46476F-53C5-4F98-8F2C-18B4A0E8D26C}" name="Column10151"/>
    <tableColumn id="10157" xr3:uid="{E162D057-7876-4D73-93FE-9921D57EBBB6}" name="Column10152"/>
    <tableColumn id="10158" xr3:uid="{212709AF-0F09-45CD-A027-6FA7E36F37AF}" name="Column10153"/>
    <tableColumn id="10159" xr3:uid="{5C44F30B-47DC-432F-848A-DB059523C884}" name="Column10154"/>
    <tableColumn id="10160" xr3:uid="{60EB2C42-50F6-4AFF-B9F7-C15DE3095454}" name="Column10155"/>
    <tableColumn id="10161" xr3:uid="{37E9A524-29E2-4A29-9A7F-9127B1E1CF44}" name="Column10156"/>
    <tableColumn id="10162" xr3:uid="{80B60312-DC75-4CA2-B1C3-D8669821D8EF}" name="Column10157"/>
    <tableColumn id="10163" xr3:uid="{68E7C8E1-17F1-4B53-B586-8E37EB6B7917}" name="Column10158"/>
    <tableColumn id="10164" xr3:uid="{5D64E607-D317-435C-81E2-6AB1FAD3E431}" name="Column10159"/>
    <tableColumn id="10165" xr3:uid="{F5CEF8E9-3FC2-4692-A93B-804576D85C78}" name="Column10160"/>
    <tableColumn id="10166" xr3:uid="{008EAB2E-D3ED-408D-9408-B4497268BEEF}" name="Column10161"/>
    <tableColumn id="10167" xr3:uid="{6EE304F0-DD59-4B7A-9C1F-D06905FFA54A}" name="Column10162"/>
    <tableColumn id="10168" xr3:uid="{E4A38FCF-F036-4ED0-BFE4-EF2ADB5347BC}" name="Column10163"/>
    <tableColumn id="10169" xr3:uid="{7982ACDD-B174-4DE9-9424-FF9DCBB9F925}" name="Column10164"/>
    <tableColumn id="10170" xr3:uid="{C0305171-0FEB-4F74-A458-580123614928}" name="Column10165"/>
    <tableColumn id="10171" xr3:uid="{D6E11CCB-9CED-4199-A4E3-01DE1BF98BF4}" name="Column10166"/>
    <tableColumn id="10172" xr3:uid="{190CDE7A-7D92-49EF-B091-4DA9C0F7EB8B}" name="Column10167"/>
    <tableColumn id="10173" xr3:uid="{975E6630-B155-44EB-AEE3-DFA149305B1C}" name="Column10168"/>
    <tableColumn id="10174" xr3:uid="{39C97070-8B25-4029-B60B-E47517706384}" name="Column10169"/>
    <tableColumn id="10175" xr3:uid="{8663CEAF-CF42-48E5-99AA-7D9C5BF146EF}" name="Column10170"/>
    <tableColumn id="10176" xr3:uid="{ED4AEFDC-E8F5-4A71-B47D-AE2060FA4455}" name="Column10171"/>
    <tableColumn id="10177" xr3:uid="{A086E5B4-C081-4633-9219-88E6D0B9D406}" name="Column10172"/>
    <tableColumn id="10178" xr3:uid="{4E7BA2D3-7AD5-4AF5-8D70-7BBE4A5F94D0}" name="Column10173"/>
    <tableColumn id="10179" xr3:uid="{03B7FB29-2BF6-4B0C-A00A-04A0BB8C4598}" name="Column10174"/>
    <tableColumn id="10180" xr3:uid="{E6AA6EAC-63FF-49C4-B78C-7403BAF3B16D}" name="Column10175"/>
    <tableColumn id="10181" xr3:uid="{6BC3D03E-3A7B-429C-911D-E51F1001496B}" name="Column10176"/>
    <tableColumn id="10182" xr3:uid="{7735145C-B196-49D7-8BFB-33244C3A5BA2}" name="Column10177"/>
    <tableColumn id="10183" xr3:uid="{D3D0CB2F-7548-4967-ABE3-07F776D692BF}" name="Column10178"/>
    <tableColumn id="10184" xr3:uid="{C91CB0D2-8491-4CBA-9F20-E72897AEF4A5}" name="Column10179"/>
    <tableColumn id="10185" xr3:uid="{FFCB73C4-9432-44EE-8570-490EEB1BFA17}" name="Column10180"/>
    <tableColumn id="10186" xr3:uid="{BD499ADA-DA99-4C4A-A2E3-E7314BFAF144}" name="Column10181"/>
    <tableColumn id="10187" xr3:uid="{9D014733-9FA8-468A-B999-C80990099C6E}" name="Column10182"/>
    <tableColumn id="10188" xr3:uid="{EB1AFA39-6AF8-47F5-9A0E-F0CA170B2B6B}" name="Column10183"/>
    <tableColumn id="10189" xr3:uid="{14935407-6474-4CD2-AFE5-ECE53D2490AA}" name="Column10184"/>
    <tableColumn id="10190" xr3:uid="{ECE19793-B4AD-41FD-99D6-F9EDACD94EAD}" name="Column10185"/>
    <tableColumn id="10191" xr3:uid="{BCC9FD55-708B-42E9-ADA7-4651D8100A43}" name="Column10186"/>
    <tableColumn id="10192" xr3:uid="{0A8AFAD4-BF38-4E35-A7F3-B820406D322B}" name="Column10187"/>
    <tableColumn id="10193" xr3:uid="{F4FF6741-5DF9-4451-BE0D-663DDE83A03D}" name="Column10188"/>
    <tableColumn id="10194" xr3:uid="{E9DECF15-EB89-4F35-98AD-AD30C70A9D0D}" name="Column10189"/>
    <tableColumn id="10195" xr3:uid="{626C9305-72A1-456C-BBE2-750570B9678F}" name="Column10190"/>
    <tableColumn id="10196" xr3:uid="{CBBC8570-1BCD-48F0-B3B9-8EA9AC7D5C65}" name="Column10191"/>
    <tableColumn id="10197" xr3:uid="{AE942D5D-FBD8-4D9A-A4FD-81BF36765749}" name="Column10192"/>
    <tableColumn id="10198" xr3:uid="{67F4551A-C244-44A1-8287-FA31C856D2E4}" name="Column10193"/>
    <tableColumn id="10199" xr3:uid="{AEF46960-4358-460B-B083-01A951BB3A3B}" name="Column10194"/>
    <tableColumn id="10200" xr3:uid="{B97644A5-A188-4AF4-8B8E-47CAB782B1DC}" name="Column10195"/>
    <tableColumn id="10201" xr3:uid="{DA4BF532-0043-42CD-87EE-CC97FAFEF400}" name="Column10196"/>
    <tableColumn id="10202" xr3:uid="{D7A3FE3C-A3DA-4E18-A0FD-E0CBC38AD70F}" name="Column10197"/>
    <tableColumn id="10203" xr3:uid="{191D909A-4588-4432-A6CD-DC1130A8902C}" name="Column10198"/>
    <tableColumn id="10204" xr3:uid="{349D583B-7124-4531-BB95-D536BC8877C0}" name="Column10199"/>
    <tableColumn id="10205" xr3:uid="{6D1FACE1-68E9-4E34-87F5-4B362EF12764}" name="Column10200"/>
    <tableColumn id="10206" xr3:uid="{990D21DF-A6BB-456C-A762-907F277B917D}" name="Column10201"/>
    <tableColumn id="10207" xr3:uid="{938E2483-BF69-4F13-B5C3-3DE6DBC8EF0D}" name="Column10202"/>
    <tableColumn id="10208" xr3:uid="{CB9DE17F-5774-4A6D-B12D-B02D942ED467}" name="Column10203"/>
    <tableColumn id="10209" xr3:uid="{68E403DD-9A62-4B89-AF87-65F73E092C62}" name="Column10204"/>
    <tableColumn id="10210" xr3:uid="{496CCB42-F58F-4BD1-9C71-883B04180D17}" name="Column10205"/>
    <tableColumn id="10211" xr3:uid="{CCB9284E-0696-4EBA-A358-D487F513C609}" name="Column10206"/>
    <tableColumn id="10212" xr3:uid="{0A684E44-F4B7-40C9-95A0-6B5204DA2519}" name="Column10207"/>
    <tableColumn id="10213" xr3:uid="{E746F5F6-E3F0-4B1C-B0AC-EE0E3648E6B2}" name="Column10208"/>
    <tableColumn id="10214" xr3:uid="{EE12332F-0B37-498B-B3BB-D8D3A69E8A41}" name="Column10209"/>
    <tableColumn id="10215" xr3:uid="{A716EB71-7DCA-4036-AD28-EDD59773866F}" name="Column10210"/>
    <tableColumn id="10216" xr3:uid="{96D40AE5-D323-41C0-8734-3D5001DF2112}" name="Column10211"/>
    <tableColumn id="10217" xr3:uid="{988168D9-81D8-4A63-BAE7-E368F4E6EC5B}" name="Column10212"/>
    <tableColumn id="10218" xr3:uid="{22EFDE5A-8DDA-4975-8656-F564C19BC887}" name="Column10213"/>
    <tableColumn id="10219" xr3:uid="{F9AC72CD-FB16-4FEB-9DD6-D02B148FF1FF}" name="Column10214"/>
    <tableColumn id="10220" xr3:uid="{333120A0-3FF4-4FC2-8F32-CA6B46C88457}" name="Column10215"/>
    <tableColumn id="10221" xr3:uid="{6B8F3BCD-AB54-4A8C-B928-A743304BD625}" name="Column10216"/>
    <tableColumn id="10222" xr3:uid="{915BF63C-0CC5-4D26-B529-7A38785FDFA5}" name="Column10217"/>
    <tableColumn id="10223" xr3:uid="{9E42E423-0875-48C7-8EDE-8277D18585DC}" name="Column10218"/>
    <tableColumn id="10224" xr3:uid="{EBC18FD2-5925-4D60-9CF1-0761B12F6EC0}" name="Column10219"/>
    <tableColumn id="10225" xr3:uid="{42199515-4CC9-4A22-9D5E-2D200980E817}" name="Column10220"/>
    <tableColumn id="10226" xr3:uid="{9E6AF8B0-F23D-4AE5-AEF9-F8DCB20D0637}" name="Column10221"/>
    <tableColumn id="10227" xr3:uid="{10273C41-334D-46F0-B653-6C8A4694E0A3}" name="Column10222"/>
    <tableColumn id="10228" xr3:uid="{69F96EC3-6A9F-47BC-BC58-129119509048}" name="Column10223"/>
    <tableColumn id="10229" xr3:uid="{3E89BECF-E999-4AA8-A61A-F67045BA443B}" name="Column10224"/>
    <tableColumn id="10230" xr3:uid="{3CED45F1-DBC7-43B2-8327-4F83D91B638B}" name="Column10225"/>
    <tableColumn id="10231" xr3:uid="{715B748C-4AE1-41ED-A46A-D20BA171672D}" name="Column10226"/>
    <tableColumn id="10232" xr3:uid="{E96C7FE4-8817-4416-A242-674D9A5B9ED6}" name="Column10227"/>
    <tableColumn id="10233" xr3:uid="{752AEB22-EE29-4341-BFF4-66147CACF979}" name="Column10228"/>
    <tableColumn id="10234" xr3:uid="{1EF9F560-8E36-4815-B56F-363DFF0DCFDD}" name="Column10229"/>
    <tableColumn id="10235" xr3:uid="{6BD7FAE3-B3DD-4F1D-963F-E24BB0D9B48C}" name="Column10230"/>
    <tableColumn id="10236" xr3:uid="{E3825924-70E4-40B1-B5D0-493843DA6AC4}" name="Column10231"/>
    <tableColumn id="10237" xr3:uid="{8C180AEE-4E20-4669-8620-9B0E8725C7AB}" name="Column10232"/>
    <tableColumn id="10238" xr3:uid="{7D1D5BB2-70AB-4701-9601-E766AE15946C}" name="Column10233"/>
    <tableColumn id="10239" xr3:uid="{BBAE5A90-8000-4617-A3C8-3CE66481E2D1}" name="Column10234"/>
    <tableColumn id="10240" xr3:uid="{86DD7A54-7733-438B-9716-0FB34CE713BC}" name="Column10235"/>
    <tableColumn id="10241" xr3:uid="{5A756F77-DF22-4A65-BF68-0A53C0E58EE3}" name="Column10236"/>
    <tableColumn id="10242" xr3:uid="{04D9DB26-C2FB-4E85-A433-BF768894EFCD}" name="Column10237"/>
    <tableColumn id="10243" xr3:uid="{EA111B8C-AA8D-4B88-845D-FF5EB5A6081F}" name="Column10238"/>
    <tableColumn id="10244" xr3:uid="{F1017BE4-E7FB-4D32-A73E-EF7F60B99187}" name="Column10239"/>
    <tableColumn id="10245" xr3:uid="{7D48C297-E502-4F53-AA32-6E03E6F013AF}" name="Column10240"/>
    <tableColumn id="10246" xr3:uid="{0CDCEFC5-6C67-40D2-993F-8ED4EB4393EB}" name="Column10241"/>
    <tableColumn id="10247" xr3:uid="{9D6AD652-F096-4079-9B0E-9C9FD61C4F51}" name="Column10242"/>
    <tableColumn id="10248" xr3:uid="{C85D3D7D-22DF-4830-95CE-B8446B62509F}" name="Column10243"/>
    <tableColumn id="10249" xr3:uid="{2A9BC5D2-E5C5-44A6-B3E7-9694488FD0D7}" name="Column10244"/>
    <tableColumn id="10250" xr3:uid="{1CC0D9D5-E96D-4EE0-8918-09A1DA8FFBB3}" name="Column10245"/>
    <tableColumn id="10251" xr3:uid="{02AD255F-80CB-4EFD-A48B-27A083D5AA52}" name="Column10246"/>
    <tableColumn id="10252" xr3:uid="{11032F22-78F8-4251-BE82-691B840ED4B2}" name="Column10247"/>
    <tableColumn id="10253" xr3:uid="{BEE97507-B535-46DF-A095-18A991167837}" name="Column10248"/>
    <tableColumn id="10254" xr3:uid="{A7D24E93-3643-4CFB-91B8-A1B5FE7BD92A}" name="Column10249"/>
    <tableColumn id="10255" xr3:uid="{ADDE2D16-3714-4B16-9D70-5B5B573FA596}" name="Column10250"/>
    <tableColumn id="10256" xr3:uid="{E8F59E17-5479-49C7-9BEC-5EAC6D67CF16}" name="Column10251"/>
    <tableColumn id="10257" xr3:uid="{CA3174A9-3A6A-44E0-8EB0-45A5598A549F}" name="Column10252"/>
    <tableColumn id="10258" xr3:uid="{7C7DD48C-FF68-4662-9C6C-6EF26B936857}" name="Column10253"/>
    <tableColumn id="10259" xr3:uid="{42F35B49-05A5-413E-BB4A-6C18080DFB53}" name="Column10254"/>
    <tableColumn id="10260" xr3:uid="{775FADC3-5E25-4143-AC62-84B3F15C9D8C}" name="Column10255"/>
    <tableColumn id="10261" xr3:uid="{07CE7E90-F22E-41F7-86FC-401D2F414C33}" name="Column10256"/>
    <tableColumn id="10262" xr3:uid="{5617CE38-7C56-4443-9918-52D524F512D4}" name="Column10257"/>
    <tableColumn id="10263" xr3:uid="{C0A9D6CE-D4B4-450D-85A9-A7FA047A8F8D}" name="Column10258"/>
    <tableColumn id="10264" xr3:uid="{44C5C265-04A3-43E2-92BA-CDB6B34BB44C}" name="Column10259"/>
    <tableColumn id="10265" xr3:uid="{440DBFEE-E17F-4F55-805B-07F0CB654C82}" name="Column10260"/>
    <tableColumn id="10266" xr3:uid="{62718E42-66BC-417B-9D39-38A3FA71B247}" name="Column10261"/>
    <tableColumn id="10267" xr3:uid="{1A31EAC2-173A-48BD-8ABE-FB81427C245F}" name="Column10262"/>
    <tableColumn id="10268" xr3:uid="{C59D5F6B-15BE-4290-B76D-66F8B3AFFB37}" name="Column10263"/>
    <tableColumn id="10269" xr3:uid="{4D2F2770-CDC0-4E0A-B2CB-E37C87FD011D}" name="Column10264"/>
    <tableColumn id="10270" xr3:uid="{D263C497-076E-43C2-8C75-E7810B8B7DE0}" name="Column10265"/>
    <tableColumn id="10271" xr3:uid="{4F1613BD-42CA-426C-A481-36FB3091980F}" name="Column10266"/>
    <tableColumn id="10272" xr3:uid="{9BAD03C7-51ED-4B9B-A27A-325281C4410B}" name="Column10267"/>
    <tableColumn id="10273" xr3:uid="{0A063C29-DFE2-40EF-ACB5-3ADA6D0D5B94}" name="Column10268"/>
    <tableColumn id="10274" xr3:uid="{79D0A69F-1859-4BF1-8EC0-D29CF51FF5FD}" name="Column10269"/>
    <tableColumn id="10275" xr3:uid="{D5DF1829-EB34-45E4-9E50-37151AD3CE2F}" name="Column10270"/>
    <tableColumn id="10276" xr3:uid="{B7D7FDB6-2870-482F-8266-CBDCB86C12CA}" name="Column10271"/>
    <tableColumn id="10277" xr3:uid="{876AB0C9-52C1-4CB8-BE1A-F441889BFA4A}" name="Column10272"/>
    <tableColumn id="10278" xr3:uid="{CF1DA7DA-C45C-4FCB-BE5D-DFAC75CE0BF5}" name="Column10273"/>
    <tableColumn id="10279" xr3:uid="{C1E6D312-0CBB-449E-BC0F-EFE56F281C21}" name="Column10274"/>
    <tableColumn id="10280" xr3:uid="{87C7554B-9DD0-43B1-82FE-B83C0C648B4B}" name="Column10275"/>
    <tableColumn id="10281" xr3:uid="{FD7B945D-7DCD-436B-8D45-0758B9CA4EA1}" name="Column10276"/>
    <tableColumn id="10282" xr3:uid="{B8C4C163-2DB2-42EF-848A-1DB0D42A321C}" name="Column10277"/>
    <tableColumn id="10283" xr3:uid="{2169BBDB-E67B-4D2F-A9C5-5730A09FE23F}" name="Column10278"/>
    <tableColumn id="10284" xr3:uid="{D403B12F-A402-4510-9EE6-6378516733F9}" name="Column10279"/>
    <tableColumn id="10285" xr3:uid="{62D6A324-0675-44A0-9904-7CFA78B8DB7E}" name="Column10280"/>
    <tableColumn id="10286" xr3:uid="{E8634D4E-428A-4357-8F03-17544A12543D}" name="Column10281"/>
    <tableColumn id="10287" xr3:uid="{9D790404-AFF4-440D-A293-F54386FF3B9A}" name="Column10282"/>
    <tableColumn id="10288" xr3:uid="{E37D8BAA-968C-4C75-9858-99CF66BAE68A}" name="Column10283"/>
    <tableColumn id="10289" xr3:uid="{49230E01-CABC-4A2B-B273-3A68B9E90D21}" name="Column10284"/>
    <tableColumn id="10290" xr3:uid="{D26474D1-BD95-4E13-A92B-E1A19EC7EBCA}" name="Column10285"/>
    <tableColumn id="10291" xr3:uid="{25AFED3A-12B6-444D-8233-CF257BCE9E21}" name="Column10286"/>
    <tableColumn id="10292" xr3:uid="{ACBD5582-8FF9-4575-99E0-D8D1DB20B23D}" name="Column10287"/>
    <tableColumn id="10293" xr3:uid="{04911BC3-B94E-4CE7-AD22-CC2C478B7220}" name="Column10288"/>
    <tableColumn id="10294" xr3:uid="{E7E18641-61DC-45A5-8861-4908DC0B2FF4}" name="Column10289"/>
    <tableColumn id="10295" xr3:uid="{8F57ED8A-4DFE-4DF3-A15E-71055E93BBB2}" name="Column10290"/>
    <tableColumn id="10296" xr3:uid="{0CCC36E1-4FE6-4F12-8E3F-B8153462ADE4}" name="Column10291"/>
    <tableColumn id="10297" xr3:uid="{DD35C699-176E-45BF-A4E7-7DC1AE552262}" name="Column10292"/>
    <tableColumn id="10298" xr3:uid="{6B86B19B-93BD-46FF-86BC-76396D57BACF}" name="Column10293"/>
    <tableColumn id="10299" xr3:uid="{CE9BCF78-48A9-45E2-AE3E-14507C682914}" name="Column10294"/>
    <tableColumn id="10300" xr3:uid="{15F2B620-8A38-43FE-B1BE-BCB548187FE7}" name="Column10295"/>
    <tableColumn id="10301" xr3:uid="{76E61170-95F4-4E5B-9F38-65F61EE4D1E2}" name="Column10296"/>
    <tableColumn id="10302" xr3:uid="{929C719F-D251-47E9-A6BD-26D6A94D574F}" name="Column10297"/>
    <tableColumn id="10303" xr3:uid="{AD41E2FE-0F0D-4D25-8F56-2A80807433FE}" name="Column10298"/>
    <tableColumn id="10304" xr3:uid="{E3C02A7B-0BFB-437E-86E6-1CC4AC43D0A3}" name="Column10299"/>
    <tableColumn id="10305" xr3:uid="{DD86C114-98CB-4701-B935-4C8B79080267}" name="Column10300"/>
    <tableColumn id="10306" xr3:uid="{E0A29347-8EDB-4C05-B747-998563D9C55A}" name="Column10301"/>
    <tableColumn id="10307" xr3:uid="{44BF7FD8-CCD4-4F3F-B05F-F8F5E3DAA34D}" name="Column10302"/>
    <tableColumn id="10308" xr3:uid="{46009692-3B8F-4A0D-847C-4D595BE39CA9}" name="Column10303"/>
    <tableColumn id="10309" xr3:uid="{ED62A9B7-6931-4131-A204-BD159C477708}" name="Column10304"/>
    <tableColumn id="10310" xr3:uid="{022F5F08-8ABD-4567-8A22-79E4A199C58D}" name="Column10305"/>
    <tableColumn id="10311" xr3:uid="{3EFAAA0F-1ADA-4559-B115-95B9C7F44B33}" name="Column10306"/>
    <tableColumn id="10312" xr3:uid="{E94B21F4-2365-4BC7-9071-6414F399FC95}" name="Column10307"/>
    <tableColumn id="10313" xr3:uid="{391F2B40-6F36-4A06-8DBD-52F0ED54F4EB}" name="Column10308"/>
    <tableColumn id="10314" xr3:uid="{BE70E407-8FEA-4A45-AED1-2A2CB7F6BAF6}" name="Column10309"/>
    <tableColumn id="10315" xr3:uid="{44BFA7CB-CA59-4D24-BB68-E13173A6C061}" name="Column10310"/>
    <tableColumn id="10316" xr3:uid="{0FF4CFB0-3557-454F-A6A0-3CB85A9F6C12}" name="Column10311"/>
    <tableColumn id="10317" xr3:uid="{6A912FD8-FD3E-4AEE-8E06-FE41D82B8C77}" name="Column10312"/>
    <tableColumn id="10318" xr3:uid="{7FC33F2A-21AF-40B0-B5E2-C0BECD8BC094}" name="Column10313"/>
    <tableColumn id="10319" xr3:uid="{CE624AA9-C990-44C8-B53C-3DB74B40EB31}" name="Column10314"/>
    <tableColumn id="10320" xr3:uid="{E4F44A33-71D6-4CDE-906D-26BD6D052313}" name="Column10315"/>
    <tableColumn id="10321" xr3:uid="{E6759274-9B06-4B6C-B8A5-99A448A2B568}" name="Column10316"/>
    <tableColumn id="10322" xr3:uid="{985A9D66-7032-46BA-A9B5-C75FEBA85774}" name="Column10317"/>
    <tableColumn id="10323" xr3:uid="{48CDEE74-0A7D-42CB-BD2A-F669649E7926}" name="Column10318"/>
    <tableColumn id="10324" xr3:uid="{9F782E7A-7DD6-4234-80E4-5ABF9710CAC4}" name="Column10319"/>
    <tableColumn id="10325" xr3:uid="{7DD7CF2B-9D4C-4962-A626-5BE4C3B8263F}" name="Column10320"/>
    <tableColumn id="10326" xr3:uid="{DCDA2778-42AD-4848-9233-A97189CAE76E}" name="Column10321"/>
    <tableColumn id="10327" xr3:uid="{CF072348-1F08-417E-8B9F-3A3A2750240D}" name="Column10322"/>
    <tableColumn id="10328" xr3:uid="{FA2802E2-30ED-4F92-951B-13DF813F0C38}" name="Column10323"/>
    <tableColumn id="10329" xr3:uid="{703AEA1E-03FA-410A-908F-B2E295550DB3}" name="Column10324"/>
    <tableColumn id="10330" xr3:uid="{79DE7587-F5B2-4396-976B-AF16ABD7FC90}" name="Column10325"/>
    <tableColumn id="10331" xr3:uid="{44375888-F018-4730-9DEE-98FC09C7C0FA}" name="Column10326"/>
    <tableColumn id="10332" xr3:uid="{E82CFC6F-BC2D-46D4-9234-0716F33A6C5A}" name="Column10327"/>
    <tableColumn id="10333" xr3:uid="{90801F57-92AC-4653-95C3-C88DE2BFA314}" name="Column10328"/>
    <tableColumn id="10334" xr3:uid="{D9E6FBC6-918A-418F-B059-07901F8B24C4}" name="Column10329"/>
    <tableColumn id="10335" xr3:uid="{2C24F970-DFC6-436A-BB30-DDFD38B9F483}" name="Column10330"/>
    <tableColumn id="10336" xr3:uid="{6811CDFF-0D56-4A4F-83BC-01159177B20E}" name="Column10331"/>
    <tableColumn id="10337" xr3:uid="{FD5142E3-870E-4E06-A2CA-D97602DAD3F4}" name="Column10332"/>
    <tableColumn id="10338" xr3:uid="{92AEF322-1F76-4B71-8C00-8730FFF8FE84}" name="Column10333"/>
    <tableColumn id="10339" xr3:uid="{8FC645D7-B7DE-4F72-811B-E42838EE90B7}" name="Column10334"/>
    <tableColumn id="10340" xr3:uid="{D418ABEC-E08A-426E-8741-B5B61C6A66BA}" name="Column10335"/>
    <tableColumn id="10341" xr3:uid="{7AE4C229-42F4-4510-B6B4-E31A1BC12777}" name="Column10336"/>
    <tableColumn id="10342" xr3:uid="{52B9B1CD-4607-4E1D-9137-D5992ABDD7C1}" name="Column10337"/>
    <tableColumn id="10343" xr3:uid="{7C6E26F7-2E9C-451F-B2A8-B46252F8D9EC}" name="Column10338"/>
    <tableColumn id="10344" xr3:uid="{AF445790-44E7-428E-B502-AFC5D01B9F9D}" name="Column10339"/>
    <tableColumn id="10345" xr3:uid="{FB7C2B94-DAED-4E04-BFE8-0FF6D0E59FB6}" name="Column10340"/>
    <tableColumn id="10346" xr3:uid="{3881C9C6-B0B8-4E25-A10D-1E92A62FF694}" name="Column10341"/>
    <tableColumn id="10347" xr3:uid="{FE92EA94-B9A6-4D79-87B3-80609792F4A5}" name="Column10342"/>
    <tableColumn id="10348" xr3:uid="{996F729F-4428-4DE1-811F-F6808FE70AD7}" name="Column10343"/>
    <tableColumn id="10349" xr3:uid="{719A839A-0C55-44CF-B5A1-0C75C486D979}" name="Column10344"/>
    <tableColumn id="10350" xr3:uid="{0E16E468-E4BB-469E-8C60-0E6C5501342B}" name="Column10345"/>
    <tableColumn id="10351" xr3:uid="{9F760598-512D-4969-8393-B89364B3F7B3}" name="Column10346"/>
    <tableColumn id="10352" xr3:uid="{B61C1BBE-6022-4B7B-8CC9-EC7FA06E148C}" name="Column10347"/>
    <tableColumn id="10353" xr3:uid="{B387DA7F-1CD3-4BB6-8772-B3AD2B0B71A3}" name="Column10348"/>
    <tableColumn id="10354" xr3:uid="{E2731718-ECAA-41A7-A14A-DD0A59F27C75}" name="Column10349"/>
    <tableColumn id="10355" xr3:uid="{04C36600-FD62-4B97-8031-446B271CE0A4}" name="Column10350"/>
    <tableColumn id="10356" xr3:uid="{FBE72F48-E77B-4070-9F05-B60BFF4413FB}" name="Column10351"/>
    <tableColumn id="10357" xr3:uid="{780BA41D-30B1-41DB-89E7-1714E091B664}" name="Column10352"/>
    <tableColumn id="10358" xr3:uid="{4F44316A-06F7-437A-87C4-75921A407C8E}" name="Column10353"/>
    <tableColumn id="10359" xr3:uid="{7C181688-5C45-40B6-BB1E-BA154417FB4F}" name="Column10354"/>
    <tableColumn id="10360" xr3:uid="{548C599F-6798-4D0E-875C-2FBE418A19BB}" name="Column10355"/>
    <tableColumn id="10361" xr3:uid="{07408316-4402-4FD0-B41B-8A2A520ED6EE}" name="Column10356"/>
    <tableColumn id="10362" xr3:uid="{56A21C4D-1D6E-4275-816E-F6AE3F110A3C}" name="Column10357"/>
    <tableColumn id="10363" xr3:uid="{AF134B03-3D8D-4B2D-B597-7C5D0AC5D8E1}" name="Column10358"/>
    <tableColumn id="10364" xr3:uid="{BADAB6A7-F717-4B92-B5B1-6EA24A61C3FF}" name="Column10359"/>
    <tableColumn id="10365" xr3:uid="{521C7C2E-675C-4C4A-8AE7-BE2E2017AE54}" name="Column10360"/>
    <tableColumn id="10366" xr3:uid="{1FF32C98-7672-4F07-86A8-69BC58B7DAC4}" name="Column10361"/>
    <tableColumn id="10367" xr3:uid="{FDC64C65-9391-4F72-BE5E-CD37795AAF1E}" name="Column10362"/>
    <tableColumn id="10368" xr3:uid="{E7CB1BA7-2931-4DFE-B2A2-181EE6BE910A}" name="Column10363"/>
    <tableColumn id="10369" xr3:uid="{5F3032FF-45F6-43AB-9C85-7275FF1CE3A0}" name="Column10364"/>
    <tableColumn id="10370" xr3:uid="{69D28F63-A523-40B7-9EAD-51BCB5830C71}" name="Column10365"/>
    <tableColumn id="10371" xr3:uid="{D8DD0079-C527-47D4-9097-849C36DAA367}" name="Column10366"/>
    <tableColumn id="10372" xr3:uid="{E81652EF-C67A-4E04-AD72-AFF14CBBADC0}" name="Column10367"/>
    <tableColumn id="10373" xr3:uid="{1530D9EB-16DE-4263-922A-649B9B394614}" name="Column10368"/>
    <tableColumn id="10374" xr3:uid="{B8A2A06E-CB05-429B-8579-2FDA52DD1B1F}" name="Column10369"/>
    <tableColumn id="10375" xr3:uid="{F671503D-B1F0-4BBE-94D5-70939B72F59B}" name="Column10370"/>
    <tableColumn id="10376" xr3:uid="{62CAA487-6D1E-4510-8356-B37294F29429}" name="Column10371"/>
    <tableColumn id="10377" xr3:uid="{3851D002-065B-4E67-8C7E-F9A3DF01329F}" name="Column10372"/>
    <tableColumn id="10378" xr3:uid="{A0F72C94-2A5B-4497-8205-B8367B38591E}" name="Column10373"/>
    <tableColumn id="10379" xr3:uid="{37FF230E-742C-4702-A100-4C483FD0D353}" name="Column10374"/>
    <tableColumn id="10380" xr3:uid="{7EF15FBC-166D-4DC5-A583-CB51EC58F703}" name="Column10375"/>
    <tableColumn id="10381" xr3:uid="{D627A65D-8710-4643-B469-F55368343297}" name="Column10376"/>
    <tableColumn id="10382" xr3:uid="{03AD4A8A-E6C5-41EF-9EBD-FA954FA58F95}" name="Column10377"/>
    <tableColumn id="10383" xr3:uid="{689A25A3-745C-4DC2-9C43-837E3FEEE9BB}" name="Column10378"/>
    <tableColumn id="10384" xr3:uid="{665A10BB-8813-4E4B-81D9-70C3F27B5C40}" name="Column10379"/>
    <tableColumn id="10385" xr3:uid="{E82838DC-1782-4515-B7BF-F100B46FF741}" name="Column10380"/>
    <tableColumn id="10386" xr3:uid="{B8648CA0-9AA1-4238-AC0F-AF89429F3043}" name="Column10381"/>
    <tableColumn id="10387" xr3:uid="{40470A3B-641B-4463-9BD4-5E4FD7C19198}" name="Column10382"/>
    <tableColumn id="10388" xr3:uid="{CCC3C0AB-B942-4132-8F67-3A39A3B9C523}" name="Column10383"/>
    <tableColumn id="10389" xr3:uid="{3FBE7820-2C81-452C-B7F4-813F746C71F9}" name="Column10384"/>
    <tableColumn id="10390" xr3:uid="{D2A20E3A-F71A-4484-8AF9-2F1D70233C23}" name="Column10385"/>
    <tableColumn id="10391" xr3:uid="{9C2F2868-756F-4C93-803F-A5958587AA86}" name="Column10386"/>
    <tableColumn id="10392" xr3:uid="{E499D9D0-E37F-4CBC-8071-0E0DA6D7BC67}" name="Column10387"/>
    <tableColumn id="10393" xr3:uid="{2788E8AE-8956-4730-A063-59981D73C147}" name="Column10388"/>
    <tableColumn id="10394" xr3:uid="{735D93A1-9FE7-4B66-ABF4-E7F1B6F5FF27}" name="Column10389"/>
    <tableColumn id="10395" xr3:uid="{6C274A3A-6987-4410-A281-5D73C2763B97}" name="Column10390"/>
    <tableColumn id="10396" xr3:uid="{FA1A2CFB-8637-4E73-B0BD-E9ECB2B314F7}" name="Column10391"/>
    <tableColumn id="10397" xr3:uid="{F8DFE322-D831-443D-A23D-C34194AC9FA3}" name="Column10392"/>
    <tableColumn id="10398" xr3:uid="{20DC5EFC-521D-4236-BEA9-C613F0A22C2D}" name="Column10393"/>
    <tableColumn id="10399" xr3:uid="{190C62BD-E2D0-468F-8769-17EC2EBFA80E}" name="Column10394"/>
    <tableColumn id="10400" xr3:uid="{3FF66E4D-BAE2-45D7-90E3-6740D9795F51}" name="Column10395"/>
    <tableColumn id="10401" xr3:uid="{BF6DB81F-C4B3-4D13-81D3-A0A73084E094}" name="Column10396"/>
    <tableColumn id="10402" xr3:uid="{CE1596BC-BB67-4CA5-A6EC-258B55FB7983}" name="Column10397"/>
    <tableColumn id="10403" xr3:uid="{584C2415-515A-4D8C-B19D-BFE3790CCE99}" name="Column10398"/>
    <tableColumn id="10404" xr3:uid="{01FE9CE1-1C7E-4DA9-A79B-15C6133D5E2B}" name="Column10399"/>
    <tableColumn id="10405" xr3:uid="{111CF9CB-8C56-4F7C-B64B-A1A8EE3B30C8}" name="Column10400"/>
    <tableColumn id="10406" xr3:uid="{8EF31943-C96C-4DB3-8FB8-B4C12318CAA6}" name="Column10401"/>
    <tableColumn id="10407" xr3:uid="{997BC3A0-C663-4D90-8DD9-A7B661757E8A}" name="Column10402"/>
    <tableColumn id="10408" xr3:uid="{628B4647-2FCD-46A1-875C-7FA7949183AE}" name="Column10403"/>
    <tableColumn id="10409" xr3:uid="{6D9894B0-F310-4025-B78A-B3F67C7A61DE}" name="Column10404"/>
    <tableColumn id="10410" xr3:uid="{A433239F-6C68-4FE8-A455-64D8C0ABB91F}" name="Column10405"/>
    <tableColumn id="10411" xr3:uid="{D42786E6-AF40-4B11-AD47-063E7361769A}" name="Column10406"/>
    <tableColumn id="10412" xr3:uid="{D1D47225-18AB-415B-A185-B130DE51EF2F}" name="Column10407"/>
    <tableColumn id="10413" xr3:uid="{89DE752C-DC48-437A-A40A-126DAD082691}" name="Column10408"/>
    <tableColumn id="10414" xr3:uid="{5D638EDE-A72A-4B7F-80B8-315CC77FD794}" name="Column10409"/>
    <tableColumn id="10415" xr3:uid="{E8BDF129-4DEB-45C4-9506-4088EE9DE947}" name="Column10410"/>
    <tableColumn id="10416" xr3:uid="{2582B8E3-470E-4F31-AB89-4D015E6540A4}" name="Column10411"/>
    <tableColumn id="10417" xr3:uid="{AECD4A73-E2DA-403B-8C49-44BE313F1796}" name="Column10412"/>
    <tableColumn id="10418" xr3:uid="{D10436BC-8DF0-4864-ACA3-255F637EEACD}" name="Column10413"/>
    <tableColumn id="10419" xr3:uid="{3BCC7CA7-D7E4-4A69-8E20-C7E172B77DAB}" name="Column10414"/>
    <tableColumn id="10420" xr3:uid="{B63488DF-EAAA-4DED-BD21-60883E3F00E0}" name="Column10415"/>
    <tableColumn id="10421" xr3:uid="{BB9E2399-D858-49A0-88B8-06FCBA155DBB}" name="Column10416"/>
    <tableColumn id="10422" xr3:uid="{9016209C-9305-47D0-B1B0-C67E62FC594E}" name="Column10417"/>
    <tableColumn id="10423" xr3:uid="{73EB71F1-47DD-4EDB-BDAD-25794EC7E905}" name="Column10418"/>
    <tableColumn id="10424" xr3:uid="{A582B140-24F1-490D-A609-02A7969C1D03}" name="Column10419"/>
    <tableColumn id="10425" xr3:uid="{B922F798-B171-438E-9B3B-8C08562F64D0}" name="Column10420"/>
    <tableColumn id="10426" xr3:uid="{0E00F62D-0D3B-47C7-AD85-58A0BB1AA889}" name="Column10421"/>
    <tableColumn id="10427" xr3:uid="{2CEBF56A-C6EB-4AD9-84B3-17C31F3F58A4}" name="Column10422"/>
    <tableColumn id="10428" xr3:uid="{B3D9FFCC-7DFF-4AC5-A577-5CFA25D9AD83}" name="Column10423"/>
    <tableColumn id="10429" xr3:uid="{1A9458D0-1D95-49AD-9032-4207E5B7990F}" name="Column10424"/>
    <tableColumn id="10430" xr3:uid="{57154FCF-C21F-49E8-A592-B03A594EFF2A}" name="Column10425"/>
    <tableColumn id="10431" xr3:uid="{1D2BEB0E-E64B-4FE6-8A1C-DAB437E32E6B}" name="Column10426"/>
    <tableColumn id="10432" xr3:uid="{7EE9D523-5B7B-44CA-A91C-A6A3003C7E53}" name="Column10427"/>
    <tableColumn id="10433" xr3:uid="{4E3C0EA8-7905-4ADA-9AD7-C7EE3C5E782A}" name="Column10428"/>
    <tableColumn id="10434" xr3:uid="{82C92948-1C67-4856-9E4F-53950FFDB1DA}" name="Column10429"/>
    <tableColumn id="10435" xr3:uid="{618FC2B9-76B0-4C43-856E-32B1E7A2049A}" name="Column10430"/>
    <tableColumn id="10436" xr3:uid="{CB8235DF-8DCC-474B-8868-ED0447CCF4AE}" name="Column10431"/>
    <tableColumn id="10437" xr3:uid="{B400A08D-A47B-4C34-83B6-431FECCF63FE}" name="Column10432"/>
    <tableColumn id="10438" xr3:uid="{1B454B56-906F-473E-B238-A37A4CC342B7}" name="Column10433"/>
    <tableColumn id="10439" xr3:uid="{C0622DF8-7433-468C-94F4-C8E32497AF64}" name="Column10434"/>
    <tableColumn id="10440" xr3:uid="{0C279989-1A08-406E-A8DF-AC185937AB58}" name="Column10435"/>
    <tableColumn id="10441" xr3:uid="{194123FE-AD78-4B4B-8DA9-F551623E5ABD}" name="Column10436"/>
    <tableColumn id="10442" xr3:uid="{E6CFAB26-2BA2-43E1-B681-112732B5B875}" name="Column10437"/>
    <tableColumn id="10443" xr3:uid="{0D6A5027-8782-48BE-8614-11ACBB450258}" name="Column10438"/>
    <tableColumn id="10444" xr3:uid="{06D85981-28A0-45E1-A97C-6C187AD94D56}" name="Column10439"/>
    <tableColumn id="10445" xr3:uid="{1F958366-08A0-4254-B9C3-F2351F56AFCC}" name="Column10440"/>
    <tableColumn id="10446" xr3:uid="{E4B06C0D-5CC2-44B6-A1B1-3C64B36051B7}" name="Column10441"/>
    <tableColumn id="10447" xr3:uid="{FAD64251-62A3-4069-961E-C1D69486FF6A}" name="Column10442"/>
    <tableColumn id="10448" xr3:uid="{057D033D-A125-41D5-8337-3CF01874D6FD}" name="Column10443"/>
    <tableColumn id="10449" xr3:uid="{3F0A4AA5-88F4-4105-987E-A9B7898F801A}" name="Column10444"/>
    <tableColumn id="10450" xr3:uid="{58F195B9-8B6D-40A2-806B-7CC4F96C7072}" name="Column10445"/>
    <tableColumn id="10451" xr3:uid="{3B87E055-D625-4117-A852-38C927E922F0}" name="Column10446"/>
    <tableColumn id="10452" xr3:uid="{D1DFE72D-E097-4A65-BE5F-7F7C1BB59F4B}" name="Column10447"/>
    <tableColumn id="10453" xr3:uid="{2147CFE8-1448-46C0-8A3F-4DDB2F6A09D0}" name="Column10448"/>
    <tableColumn id="10454" xr3:uid="{3890FB41-37D7-41CD-820E-D42CB3B7A5B6}" name="Column10449"/>
    <tableColumn id="10455" xr3:uid="{A1D4F472-AFA6-44AA-A9A7-F9C0801DEBCB}" name="Column10450"/>
    <tableColumn id="10456" xr3:uid="{ECAC7A03-614C-4B66-951F-B8B0A1863535}" name="Column10451"/>
    <tableColumn id="10457" xr3:uid="{C89D6140-6E07-471D-9936-37A48D512B55}" name="Column10452"/>
    <tableColumn id="10458" xr3:uid="{400D017D-3CD5-4BAB-B76F-B600A548989D}" name="Column10453"/>
    <tableColumn id="10459" xr3:uid="{6CB0E905-1396-44A0-A09B-B5D9977F3475}" name="Column10454"/>
    <tableColumn id="10460" xr3:uid="{F27A44C5-E4EE-4C3E-BE32-A46CDF10007F}" name="Column10455"/>
    <tableColumn id="10461" xr3:uid="{E4BCD3A3-DC6B-4C89-AF93-C7229E81E412}" name="Column10456"/>
    <tableColumn id="10462" xr3:uid="{0E0C8CE0-43D4-4791-A168-EB067CC1C00B}" name="Column10457"/>
    <tableColumn id="10463" xr3:uid="{6B23CE93-E834-40E5-990A-4657020E309E}" name="Column10458"/>
    <tableColumn id="10464" xr3:uid="{E0A58C81-3C96-4601-9A82-D1B1C96C3EEB}" name="Column10459"/>
    <tableColumn id="10465" xr3:uid="{8D48C4B8-0CAF-45A5-ACD9-2E0185C57DE0}" name="Column10460"/>
    <tableColumn id="10466" xr3:uid="{0557DC8D-DDBE-4F06-8560-861607BD6B70}" name="Column10461"/>
    <tableColumn id="10467" xr3:uid="{3B1AE1AC-190E-456F-80E7-830D4860AC9D}" name="Column10462"/>
    <tableColumn id="10468" xr3:uid="{C41C1A42-996B-414B-8371-536C606453F1}" name="Column10463"/>
    <tableColumn id="10469" xr3:uid="{AF0EF36F-5E48-4E20-84D7-ACF3447552CD}" name="Column10464"/>
    <tableColumn id="10470" xr3:uid="{468175BA-CC72-4776-9855-7F41AEEA0C42}" name="Column10465"/>
    <tableColumn id="10471" xr3:uid="{30192BDF-2168-4710-A3D3-47007C83C3E5}" name="Column10466"/>
    <tableColumn id="10472" xr3:uid="{E05EB438-6FF6-4F62-948C-B8FD90568C61}" name="Column10467"/>
    <tableColumn id="10473" xr3:uid="{04CFD06A-FA6A-4428-A5A6-34A656C9E9DB}" name="Column10468"/>
    <tableColumn id="10474" xr3:uid="{C3103AF7-C173-44B2-8A75-3898D96A6DA3}" name="Column10469"/>
    <tableColumn id="10475" xr3:uid="{D537D648-55C4-4002-8B8E-75E8B68E2163}" name="Column10470"/>
    <tableColumn id="10476" xr3:uid="{35C33635-E136-46F9-B810-87D51CFB0F3B}" name="Column10471"/>
    <tableColumn id="10477" xr3:uid="{104A7A69-217A-4FB3-9509-C3F3EDD1D2B9}" name="Column10472"/>
    <tableColumn id="10478" xr3:uid="{CF5D8891-55EA-4D77-BC7A-1F22DFDEADE2}" name="Column10473"/>
    <tableColumn id="10479" xr3:uid="{6422BC63-C3DE-4797-9B57-2FC2F7A5DB4C}" name="Column10474"/>
    <tableColumn id="10480" xr3:uid="{2CBE5B30-408E-4B15-A585-AC4C595F86AD}" name="Column10475"/>
    <tableColumn id="10481" xr3:uid="{053A5452-C2EB-4FE2-914A-07B7E8CAFC01}" name="Column10476"/>
    <tableColumn id="10482" xr3:uid="{E04C39BD-0369-4D37-92AF-7A8A7770911D}" name="Column10477"/>
    <tableColumn id="10483" xr3:uid="{C4A11F56-A733-4519-A725-312FACA2DC54}" name="Column10478"/>
    <tableColumn id="10484" xr3:uid="{7070C2D2-C2FB-4FC3-BC9A-9AD690EFF99A}" name="Column10479"/>
    <tableColumn id="10485" xr3:uid="{8B7644CE-CCEA-4D6D-9454-F0623718B936}" name="Column10480"/>
    <tableColumn id="10486" xr3:uid="{611A5AF7-C683-4323-8A06-61A43661D8D9}" name="Column10481"/>
    <tableColumn id="10487" xr3:uid="{FEED51BD-2342-4FB9-A301-FCA4671CC14C}" name="Column10482"/>
    <tableColumn id="10488" xr3:uid="{FDC1C1BF-DDF4-4E99-AC51-61FB8BCEDAE0}" name="Column10483"/>
    <tableColumn id="10489" xr3:uid="{7E43EF53-AB35-4ED4-94F7-FFF183131A55}" name="Column10484"/>
    <tableColumn id="10490" xr3:uid="{4C23CC94-84C0-4855-8EAA-756386200199}" name="Column10485"/>
    <tableColumn id="10491" xr3:uid="{1F0AA6D5-5F96-409C-88D1-67FD00BB7E3F}" name="Column10486"/>
    <tableColumn id="10492" xr3:uid="{36453302-459E-4BBC-9101-8BDBC1132809}" name="Column10487"/>
    <tableColumn id="10493" xr3:uid="{FDB3E6E6-EC39-4A2A-9BE7-98A29CE12E32}" name="Column10488"/>
    <tableColumn id="10494" xr3:uid="{A04D61F9-7880-424B-8397-BFA5DBC3706A}" name="Column10489"/>
    <tableColumn id="10495" xr3:uid="{1036FF33-1218-4F72-8EAB-95AD94C5D279}" name="Column10490"/>
    <tableColumn id="10496" xr3:uid="{7F27A413-F9E6-4517-8174-E3056F9DDAA8}" name="Column10491"/>
    <tableColumn id="10497" xr3:uid="{70817709-8241-46DE-BDA4-DD8373EB7B76}" name="Column10492"/>
    <tableColumn id="10498" xr3:uid="{7DE6803A-10A8-49AE-900C-5F52AA7F1FFB}" name="Column10493"/>
    <tableColumn id="10499" xr3:uid="{713BB414-8AC5-49A0-AD07-01B959987FC6}" name="Column10494"/>
    <tableColumn id="10500" xr3:uid="{A4CA7EC6-FD6B-4E44-BE66-C601D54F2916}" name="Column10495"/>
    <tableColumn id="10501" xr3:uid="{F2FA66D0-26DD-4662-BEC2-BFAC71658969}" name="Column10496"/>
    <tableColumn id="10502" xr3:uid="{8101413B-D00A-4A6B-BCBA-EAA78E50385E}" name="Column10497"/>
    <tableColumn id="10503" xr3:uid="{2BE3427C-4F14-46AA-9C5E-E48085C75DC0}" name="Column10498"/>
    <tableColumn id="10504" xr3:uid="{7C5AF9F5-1809-43BB-971A-781B361EF696}" name="Column10499"/>
    <tableColumn id="10505" xr3:uid="{ACF632BD-1065-47E6-A71F-CD41AAF9E0C4}" name="Column10500"/>
    <tableColumn id="10506" xr3:uid="{573E0FE0-2944-493D-A0FA-A22BDE191A8D}" name="Column10501"/>
    <tableColumn id="10507" xr3:uid="{23ADE119-C852-4402-9939-1D69E3FD68FF}" name="Column10502"/>
    <tableColumn id="10508" xr3:uid="{376273A6-3D67-46A2-B6BB-340F1632BC49}" name="Column10503"/>
    <tableColumn id="10509" xr3:uid="{29F1C8C9-F183-4B88-B51A-AEFD5446CD4F}" name="Column10504"/>
    <tableColumn id="10510" xr3:uid="{00673D54-0BA4-48B8-A954-A9CE94CB9A20}" name="Column10505"/>
    <tableColumn id="10511" xr3:uid="{E623CD2D-A764-4759-89AB-71E84C91672D}" name="Column10506"/>
    <tableColumn id="10512" xr3:uid="{2DAC6968-C343-4E30-884C-BEFEB712F274}" name="Column10507"/>
    <tableColumn id="10513" xr3:uid="{4160FD1B-5AA6-430A-9081-B0B10509E5BF}" name="Column10508"/>
    <tableColumn id="10514" xr3:uid="{A48D9F7F-5C72-4F83-9287-3944AA7BFC38}" name="Column10509"/>
    <tableColumn id="10515" xr3:uid="{3482E164-87F2-46B1-A7C4-8349083E0EAD}" name="Column10510"/>
    <tableColumn id="10516" xr3:uid="{8BF8EB69-4F4B-4A48-B0A7-5A239C020326}" name="Column10511"/>
    <tableColumn id="10517" xr3:uid="{6E863D00-1A56-4AD3-9432-66A4DDCF47BE}" name="Column10512"/>
    <tableColumn id="10518" xr3:uid="{3A92937B-E212-400E-94E2-DD8495349540}" name="Column10513"/>
    <tableColumn id="10519" xr3:uid="{9D9D9B5B-A917-48AD-8E9D-C88F3C6428CB}" name="Column10514"/>
    <tableColumn id="10520" xr3:uid="{6CF396A2-080C-4DA1-A589-E4296D80803D}" name="Column10515"/>
    <tableColumn id="10521" xr3:uid="{47ED23C0-C866-46D0-9237-150494F3C4A1}" name="Column10516"/>
    <tableColumn id="10522" xr3:uid="{EC198215-0FC8-41BE-9AC5-78EBF0F859CC}" name="Column10517"/>
    <tableColumn id="10523" xr3:uid="{7F90F6AA-CD40-4383-9F42-29A998DC908B}" name="Column10518"/>
    <tableColumn id="10524" xr3:uid="{6A662779-E639-4362-A0C5-EDEEC65582E6}" name="Column10519"/>
    <tableColumn id="10525" xr3:uid="{8D4EA624-46C8-4CC2-8724-23651757C256}" name="Column10520"/>
    <tableColumn id="10526" xr3:uid="{B490AB2D-DA7C-46DD-99A4-E3A8F1F1EFBC}" name="Column10521"/>
    <tableColumn id="10527" xr3:uid="{649A961D-32E1-4BE4-AF12-F659C37C8AF1}" name="Column10522"/>
    <tableColumn id="10528" xr3:uid="{D70C5C74-9DC9-4D6E-B3E8-50599DACD70C}" name="Column10523"/>
    <tableColumn id="10529" xr3:uid="{29754613-5B32-41F7-9C42-24FE270FEE1F}" name="Column10524"/>
    <tableColumn id="10530" xr3:uid="{11C7F1C5-4E38-4014-9F2F-DA0AF2187C1E}" name="Column10525"/>
    <tableColumn id="10531" xr3:uid="{A09C678F-547F-4544-BAA9-8C7F1BF0C97C}" name="Column10526"/>
    <tableColumn id="10532" xr3:uid="{A85871B0-37C5-406D-9C8A-995F3164DD5E}" name="Column10527"/>
    <tableColumn id="10533" xr3:uid="{9E41A8CC-1793-41E9-AA5E-DB327E272B13}" name="Column10528"/>
    <tableColumn id="10534" xr3:uid="{88D8E47C-2424-4ADB-8206-C60F57CAD5D3}" name="Column10529"/>
    <tableColumn id="10535" xr3:uid="{A2BB7FC9-60C5-43E5-94C5-3A2D8DC9BAE3}" name="Column10530"/>
    <tableColumn id="10536" xr3:uid="{A4536B0B-344B-44E2-B000-9748A7C3744B}" name="Column10531"/>
    <tableColumn id="10537" xr3:uid="{A0250931-8AA7-4283-9A5C-A935E33943B0}" name="Column10532"/>
    <tableColumn id="10538" xr3:uid="{8E9F80B0-7F54-4A1B-BFA0-2AD04ABADCCE}" name="Column10533"/>
    <tableColumn id="10539" xr3:uid="{A94CD9A9-42B0-4126-A6E1-D896610F6F9A}" name="Column10534"/>
    <tableColumn id="10540" xr3:uid="{46F7EAFF-2365-4D74-B54E-FA3C90208CD9}" name="Column10535"/>
    <tableColumn id="10541" xr3:uid="{2821B37B-13C4-4399-8B6C-0432BB27E6AD}" name="Column10536"/>
    <tableColumn id="10542" xr3:uid="{89AAFB91-D98A-4324-AF9E-E1900E228A31}" name="Column10537"/>
    <tableColumn id="10543" xr3:uid="{644A53B1-955A-4F4D-BC5B-DFEC00A47A9E}" name="Column10538"/>
    <tableColumn id="10544" xr3:uid="{9DC4B861-4890-4E8B-AD37-EB40D9976EA5}" name="Column10539"/>
    <tableColumn id="10545" xr3:uid="{39FBCA0F-A6B3-4F20-B212-BF236E83C451}" name="Column10540"/>
    <tableColumn id="10546" xr3:uid="{7A9F9729-A436-4B0D-9034-B3591207658A}" name="Column10541"/>
    <tableColumn id="10547" xr3:uid="{9491A9C6-CBB4-457D-90AA-9742B7539993}" name="Column10542"/>
    <tableColumn id="10548" xr3:uid="{F53C5257-67A5-4C05-9E7A-D00202E700F5}" name="Column10543"/>
    <tableColumn id="10549" xr3:uid="{83B1144E-7E68-4C1F-91E0-63794AEB1EFF}" name="Column10544"/>
    <tableColumn id="10550" xr3:uid="{E181A2D0-FB74-4740-B28F-153558DB024C}" name="Column10545"/>
    <tableColumn id="10551" xr3:uid="{A5224ADB-AB37-4DCB-A51E-C6EF735BED84}" name="Column10546"/>
    <tableColumn id="10552" xr3:uid="{8338CD9F-26ED-4F98-9C62-802EFA14152F}" name="Column10547"/>
    <tableColumn id="10553" xr3:uid="{57F47772-EB68-4144-AF28-3741F1436E7E}" name="Column10548"/>
    <tableColumn id="10554" xr3:uid="{847003B9-77D0-42EE-A7DF-0AB8152C569B}" name="Column10549"/>
    <tableColumn id="10555" xr3:uid="{64D2F462-F99B-4FBE-AE6C-58517E89B707}" name="Column10550"/>
    <tableColumn id="10556" xr3:uid="{D8CA8A7A-F289-40FB-BDB3-4C3A37ADF843}" name="Column10551"/>
    <tableColumn id="10557" xr3:uid="{8E3E1332-BBC6-412D-ACF9-478712F91136}" name="Column10552"/>
    <tableColumn id="10558" xr3:uid="{89AC91DE-A1CB-45D5-89EE-0BC6BADF3C8D}" name="Column10553"/>
    <tableColumn id="10559" xr3:uid="{5D03433C-C98F-4775-9B1C-95CA4A97A18D}" name="Column10554"/>
    <tableColumn id="10560" xr3:uid="{0C0E64CA-9695-486E-9427-C3F8753BB6C4}" name="Column10555"/>
    <tableColumn id="10561" xr3:uid="{8B9091EF-1137-4326-86F5-D951EF5AC3B8}" name="Column10556"/>
    <tableColumn id="10562" xr3:uid="{C9DFC56F-E27E-473E-BF13-CCB497082CC0}" name="Column10557"/>
    <tableColumn id="10563" xr3:uid="{FA6A2D02-F172-4C96-A14B-AA7F24FAEC45}" name="Column10558"/>
    <tableColumn id="10564" xr3:uid="{E2426112-2D6A-40C3-8E0E-FA49C1AD8AAC}" name="Column10559"/>
    <tableColumn id="10565" xr3:uid="{C8022898-06BB-44B6-B717-245D35D62B10}" name="Column10560"/>
    <tableColumn id="10566" xr3:uid="{8F046ECC-1973-4F1E-88E7-FC3A0E05A63F}" name="Column10561"/>
    <tableColumn id="10567" xr3:uid="{9A6FD0DD-FC17-4310-A2D7-E9526BF95FBF}" name="Column10562"/>
    <tableColumn id="10568" xr3:uid="{D5B9FBA5-DCB1-4633-8322-F155AD6747D5}" name="Column10563"/>
    <tableColumn id="10569" xr3:uid="{4827B19E-AF4D-4F2F-B783-CD2BAEEC979C}" name="Column10564"/>
    <tableColumn id="10570" xr3:uid="{2BAF9D31-C752-42A3-A335-67FEAF276D8A}" name="Column10565"/>
    <tableColumn id="10571" xr3:uid="{0B0736E6-E17B-4063-80B1-2C16BDD61855}" name="Column10566"/>
    <tableColumn id="10572" xr3:uid="{D70E0F51-780D-4827-8F26-B28140DB6B18}" name="Column10567"/>
    <tableColumn id="10573" xr3:uid="{88C3BE1E-FD1A-4FCB-95A9-41FB82A1566F}" name="Column10568"/>
    <tableColumn id="10574" xr3:uid="{B60C62AD-B923-4AAE-9EDE-B0D9FF15FC3F}" name="Column10569"/>
    <tableColumn id="10575" xr3:uid="{E607753B-04F9-477B-B539-EAD41C4E10F7}" name="Column10570"/>
    <tableColumn id="10576" xr3:uid="{E2D21884-0727-40F0-A0F6-6CECEB36B2D3}" name="Column10571"/>
    <tableColumn id="10577" xr3:uid="{9892878E-D0FC-4B38-9756-F180A4F977B5}" name="Column10572"/>
    <tableColumn id="10578" xr3:uid="{10753E67-3F21-4EC6-B0DB-8B3A8FCC2A4C}" name="Column10573"/>
    <tableColumn id="10579" xr3:uid="{B73970CB-BA5F-4364-9922-3D471D888053}" name="Column10574"/>
    <tableColumn id="10580" xr3:uid="{2A47BEEB-A6A0-45A6-80D8-364391313EF6}" name="Column10575"/>
    <tableColumn id="10581" xr3:uid="{F0BD9374-DC91-4EC9-9533-D1E2F13AF820}" name="Column10576"/>
    <tableColumn id="10582" xr3:uid="{F2ED49B5-E395-4D4B-BDE1-DBBCB8C174DF}" name="Column10577"/>
    <tableColumn id="10583" xr3:uid="{6C54753F-B3C5-4E7F-9055-426FC05BC1AE}" name="Column10578"/>
    <tableColumn id="10584" xr3:uid="{7E134BF6-0E42-4C64-AE1D-81AA79D9898E}" name="Column10579"/>
    <tableColumn id="10585" xr3:uid="{52DDB01C-977C-456C-85C9-788214C55CC1}" name="Column10580"/>
    <tableColumn id="10586" xr3:uid="{1DF37CDB-6489-406F-B7AF-4781C6540654}" name="Column10581"/>
    <tableColumn id="10587" xr3:uid="{E5900660-17E2-4D08-96E6-DC0805F1C8B5}" name="Column10582"/>
    <tableColumn id="10588" xr3:uid="{56A08929-7F88-4ADE-B0FA-1A8C6C3CE58C}" name="Column10583"/>
    <tableColumn id="10589" xr3:uid="{1A40CD90-ADFB-4BDD-9CF1-661647775C77}" name="Column10584"/>
    <tableColumn id="10590" xr3:uid="{426CE48B-F667-422D-B00C-B4BD6F6A010C}" name="Column10585"/>
    <tableColumn id="10591" xr3:uid="{82FE1175-2949-4654-AC87-62F219198EAE}" name="Column10586"/>
    <tableColumn id="10592" xr3:uid="{2588D6FB-EA7F-4455-9830-3F39ECFDB605}" name="Column10587"/>
    <tableColumn id="10593" xr3:uid="{A3AE1105-6CEB-4E2A-AA59-D0FC2099945A}" name="Column10588"/>
    <tableColumn id="10594" xr3:uid="{08093E75-D640-4F5F-A6DF-1AA845D53773}" name="Column10589"/>
    <tableColumn id="10595" xr3:uid="{B1AA8006-B2C0-429F-A75D-983D73483D84}" name="Column10590"/>
    <tableColumn id="10596" xr3:uid="{FD0D55CC-266F-475B-85DB-E762A8CADBE8}" name="Column10591"/>
    <tableColumn id="10597" xr3:uid="{FBAF3E9C-FADB-46FC-9E00-A6B58B72C811}" name="Column10592"/>
    <tableColumn id="10598" xr3:uid="{DA9019CB-28EF-496C-A5F8-2E879BA71B56}" name="Column10593"/>
    <tableColumn id="10599" xr3:uid="{969C28E4-EDDA-4A72-9392-CB4804C77566}" name="Column10594"/>
    <tableColumn id="10600" xr3:uid="{04D8879B-F8AA-497E-AF27-460D01D0FA93}" name="Column10595"/>
    <tableColumn id="10601" xr3:uid="{0547B3C1-F09F-41D7-9253-92371047875A}" name="Column10596"/>
    <tableColumn id="10602" xr3:uid="{AC8D6AD4-7988-4EA8-ACC0-3E796A4A67EB}" name="Column10597"/>
    <tableColumn id="10603" xr3:uid="{FEFA2115-E3D4-439C-9843-88C6430F1B85}" name="Column10598"/>
    <tableColumn id="10604" xr3:uid="{025EE513-6D27-472F-BCDB-F52523A1CB50}" name="Column10599"/>
    <tableColumn id="10605" xr3:uid="{E7D28834-8B25-421B-844C-9DFE758C1ECD}" name="Column10600"/>
    <tableColumn id="10606" xr3:uid="{4F07A846-7AA5-481A-883F-E3F1FFEA1E46}" name="Column10601"/>
    <tableColumn id="10607" xr3:uid="{E4B541D8-F924-4781-BC8F-4EA9C4218340}" name="Column10602"/>
    <tableColumn id="10608" xr3:uid="{B3ABDCAD-DA16-4966-990B-AC3D8DC75F1E}" name="Column10603"/>
    <tableColumn id="10609" xr3:uid="{22A98E1C-B073-4C6B-B393-1872D37A626E}" name="Column10604"/>
    <tableColumn id="10610" xr3:uid="{E27464D8-DF83-46C7-8166-C0BC1D2AE50B}" name="Column10605"/>
    <tableColumn id="10611" xr3:uid="{86C1D739-158C-4B28-9BED-91CB10EA4B1F}" name="Column10606"/>
    <tableColumn id="10612" xr3:uid="{72D635DB-E716-4F56-8771-DE1FF6CBAEA4}" name="Column10607"/>
    <tableColumn id="10613" xr3:uid="{903231D9-B9FA-4C83-83CE-C68EC60FB83B}" name="Column10608"/>
    <tableColumn id="10614" xr3:uid="{23675B21-9E25-4397-964B-323D03F83040}" name="Column10609"/>
    <tableColumn id="10615" xr3:uid="{6A517BAD-6100-45DB-B798-300BD0761F54}" name="Column10610"/>
    <tableColumn id="10616" xr3:uid="{3B0ED617-5338-400D-BB9C-9BE098CFA6F5}" name="Column10611"/>
    <tableColumn id="10617" xr3:uid="{7FCA502C-209A-476C-8AE2-E14AF052CFFD}" name="Column10612"/>
    <tableColumn id="10618" xr3:uid="{0A009A40-CD1A-42B4-BD2F-EDA0AE7C2581}" name="Column10613"/>
    <tableColumn id="10619" xr3:uid="{C7BD1D4B-0D67-4E85-A42E-226AEF14E4F4}" name="Column10614"/>
    <tableColumn id="10620" xr3:uid="{461C0CE7-0FFD-4866-9E79-C0DEEC5C0FCC}" name="Column10615"/>
    <tableColumn id="10621" xr3:uid="{EDF68FC8-9C42-42D8-B644-D1218A003B90}" name="Column10616"/>
    <tableColumn id="10622" xr3:uid="{7AC49FC8-76E8-411C-8695-017DEBBB2E79}" name="Column10617"/>
    <tableColumn id="10623" xr3:uid="{9D385018-2D5E-45E5-A10D-F489A501A88C}" name="Column10618"/>
    <tableColumn id="10624" xr3:uid="{510B8C7B-1A9C-4722-8492-047531AA137E}" name="Column10619"/>
    <tableColumn id="10625" xr3:uid="{DAAC34D8-6FC3-4CD0-9B8C-75F5FC63D702}" name="Column10620"/>
    <tableColumn id="10626" xr3:uid="{2A7F840B-7ABA-4DBE-82F5-FF51D87DE2B6}" name="Column10621"/>
    <tableColumn id="10627" xr3:uid="{F92FBEDD-6113-4910-98E1-9594C74A3CA4}" name="Column10622"/>
    <tableColumn id="10628" xr3:uid="{805234C5-9EAD-43E5-A1A3-9CD52EDDA46B}" name="Column10623"/>
    <tableColumn id="10629" xr3:uid="{84442A85-CF8F-4C5C-A965-F5806A585D4B}" name="Column10624"/>
    <tableColumn id="10630" xr3:uid="{35A23771-94A9-44A9-B0F0-0D7DAF392024}" name="Column10625"/>
    <tableColumn id="10631" xr3:uid="{7EDEF083-BF3C-45EF-B1C4-AC23E7C92FB7}" name="Column10626"/>
    <tableColumn id="10632" xr3:uid="{461D52F2-20F7-4ED5-8E41-3859B466376E}" name="Column10627"/>
    <tableColumn id="10633" xr3:uid="{BC5A39DA-2E9C-4636-BF44-92D9B19F042A}" name="Column10628"/>
    <tableColumn id="10634" xr3:uid="{1E204C93-55BA-4D7E-8433-550845B24DF5}" name="Column10629"/>
    <tableColumn id="10635" xr3:uid="{948CA770-ADA9-4F76-B6A5-D7CA41506352}" name="Column10630"/>
    <tableColumn id="10636" xr3:uid="{6CA11E1F-631C-435B-AD7E-1D20504C3F03}" name="Column10631"/>
    <tableColumn id="10637" xr3:uid="{E26F8BAC-3580-4360-A853-C3F07B81230A}" name="Column10632"/>
    <tableColumn id="10638" xr3:uid="{BC456569-7D6D-4EBE-8EF9-3920A11EC7A5}" name="Column10633"/>
    <tableColumn id="10639" xr3:uid="{64BD5C4F-3C08-4370-802A-5AAE582ECE32}" name="Column10634"/>
    <tableColumn id="10640" xr3:uid="{48AFBF2A-CEA5-40EE-A385-D33435E460BA}" name="Column10635"/>
    <tableColumn id="10641" xr3:uid="{6394FF48-4A0B-433B-B06D-46130A0F5911}" name="Column10636"/>
    <tableColumn id="10642" xr3:uid="{5786A9FD-5EE2-4E97-9EEF-F577B7E61CD1}" name="Column10637"/>
    <tableColumn id="10643" xr3:uid="{2058C021-C1FF-447F-A2FC-2DC264C439E7}" name="Column10638"/>
    <tableColumn id="10644" xr3:uid="{D9F30F64-AAF4-421D-A962-75023096CE86}" name="Column10639"/>
    <tableColumn id="10645" xr3:uid="{4127870C-DBFF-45C6-9271-7FCD5DA5767D}" name="Column10640"/>
    <tableColumn id="10646" xr3:uid="{348DEAE7-FDF1-401D-BBFC-9AF3CE043ADC}" name="Column10641"/>
    <tableColumn id="10647" xr3:uid="{9D7A5ABB-E7FA-4FB4-A78D-EED43BA792F5}" name="Column10642"/>
    <tableColumn id="10648" xr3:uid="{6704E087-7F6D-445D-9CDD-E10DEA76EE46}" name="Column10643"/>
    <tableColumn id="10649" xr3:uid="{C8D6EA4C-CC04-4949-8DD5-DD963285907B}" name="Column10644"/>
    <tableColumn id="10650" xr3:uid="{D2B1500F-AEF3-4622-99BB-0E6E69AD1156}" name="Column10645"/>
    <tableColumn id="10651" xr3:uid="{6BAB0EE6-E3A8-40DB-B554-BBD650A1C3D9}" name="Column10646"/>
    <tableColumn id="10652" xr3:uid="{1CA3A8FC-DAB7-4CC6-910F-77B5AE25A69C}" name="Column10647"/>
    <tableColumn id="10653" xr3:uid="{24D43E4C-6850-4814-AEDE-D92077B2D826}" name="Column10648"/>
    <tableColumn id="10654" xr3:uid="{E13F5532-F9A5-41F0-A60F-5AD1C7A450DA}" name="Column10649"/>
    <tableColumn id="10655" xr3:uid="{A4115B0D-475B-4ABC-A671-1F037365CFAB}" name="Column10650"/>
    <tableColumn id="10656" xr3:uid="{A09EE939-5978-4809-A346-5FB33594D86E}" name="Column10651"/>
    <tableColumn id="10657" xr3:uid="{823FB7CA-DFDC-46B4-8C0A-160BD7A771DE}" name="Column10652"/>
    <tableColumn id="10658" xr3:uid="{D8E94245-32A1-4B05-A90D-971753DE81EE}" name="Column10653"/>
    <tableColumn id="10659" xr3:uid="{A613BB77-4853-4A79-9F27-9C1DA3F4A51E}" name="Column10654"/>
    <tableColumn id="10660" xr3:uid="{8BD32098-306C-4A07-907B-48C354E76B04}" name="Column10655"/>
    <tableColumn id="10661" xr3:uid="{EFC920EA-F935-4338-9387-55160E285ACB}" name="Column10656"/>
    <tableColumn id="10662" xr3:uid="{1B05115A-D082-4E3A-B4A5-359EF67535B5}" name="Column10657"/>
    <tableColumn id="10663" xr3:uid="{4C1087E1-8B23-4A9A-B664-010E77CB76D4}" name="Column10658"/>
    <tableColumn id="10664" xr3:uid="{A8B1478E-AF77-4880-B13D-BBFF490DBFB3}" name="Column10659"/>
    <tableColumn id="10665" xr3:uid="{75B7DEC7-3467-4EBB-8BBE-8D3B883B7211}" name="Column10660"/>
    <tableColumn id="10666" xr3:uid="{CA9541C0-A47B-4E64-91FC-1F6A19FA307F}" name="Column10661"/>
    <tableColumn id="10667" xr3:uid="{315A1F6B-B986-4F48-96E8-5887CAEEA8D0}" name="Column10662"/>
    <tableColumn id="10668" xr3:uid="{97F3A445-25F7-493F-8D47-F3012FD68794}" name="Column10663"/>
    <tableColumn id="10669" xr3:uid="{E8D71DE1-92E1-467E-AA9A-D87C07B2E838}" name="Column10664"/>
    <tableColumn id="10670" xr3:uid="{EB28718B-D7D8-4AC3-92A3-4B54B3A60CC9}" name="Column10665"/>
    <tableColumn id="10671" xr3:uid="{F572D0ED-0182-4B05-896D-ACC28E9BA58C}" name="Column10666"/>
    <tableColumn id="10672" xr3:uid="{D0B23396-9821-4CA7-80FA-948D0987C5FA}" name="Column10667"/>
    <tableColumn id="10673" xr3:uid="{0D126C45-D62D-4DD7-8164-9A73F5A2C540}" name="Column10668"/>
    <tableColumn id="10674" xr3:uid="{CEBE9AC2-19B8-4C8F-8381-568E4CD3F68E}" name="Column10669"/>
    <tableColumn id="10675" xr3:uid="{9B99DC83-1350-49B3-A1A5-87FE3725FE71}" name="Column10670"/>
    <tableColumn id="10676" xr3:uid="{5E58BD45-AC44-4C71-B08B-7E50D787A4E4}" name="Column10671"/>
    <tableColumn id="10677" xr3:uid="{4D81C55B-2B34-4D7B-8214-82989D3E1300}" name="Column10672"/>
    <tableColumn id="10678" xr3:uid="{9C6B6BF6-CA5E-4E80-82BD-D88399616C3D}" name="Column10673"/>
    <tableColumn id="10679" xr3:uid="{3C4B9EC7-3A54-4626-96EC-EEDCB04510FB}" name="Column10674"/>
    <tableColumn id="10680" xr3:uid="{842843ED-6E33-4659-8E11-8D2D93E30F7A}" name="Column10675"/>
    <tableColumn id="10681" xr3:uid="{5A98E23F-D348-4E1B-9AF5-CAD9ADA65D37}" name="Column10676"/>
    <tableColumn id="10682" xr3:uid="{FCA5FE52-4D26-4576-B6D8-5AAFB713D236}" name="Column10677"/>
    <tableColumn id="10683" xr3:uid="{2D5FE81B-F3BF-49FE-B3A1-8DE59ECFCFDB}" name="Column10678"/>
    <tableColumn id="10684" xr3:uid="{16370D1B-0629-40BF-93C1-D442090DBB2F}" name="Column10679"/>
    <tableColumn id="10685" xr3:uid="{A321D3A7-6604-41DA-9CA0-36202EADB516}" name="Column10680"/>
    <tableColumn id="10686" xr3:uid="{06A568D8-2764-420A-A488-DA0D99C24295}" name="Column10681"/>
    <tableColumn id="10687" xr3:uid="{F9F05FB7-5471-4281-A20F-968737D5F192}" name="Column10682"/>
    <tableColumn id="10688" xr3:uid="{988181EF-E464-4E7F-BE22-EE7A78ECB98F}" name="Column10683"/>
    <tableColumn id="10689" xr3:uid="{D1DACB0C-CF5C-4C59-8304-C4A9B70E8816}" name="Column10684"/>
    <tableColumn id="10690" xr3:uid="{FB43FC84-D9CD-4F9E-9324-1F79BEA63D20}" name="Column10685"/>
    <tableColumn id="10691" xr3:uid="{07099757-9BD1-4F89-9C80-30F72B91232B}" name="Column10686"/>
    <tableColumn id="10692" xr3:uid="{3E6E5923-03E7-4F3B-AF51-F9AE890D5DD9}" name="Column10687"/>
    <tableColumn id="10693" xr3:uid="{FF4AF8FE-6B3D-4D97-AC00-6FD27FCF51AF}" name="Column10688"/>
    <tableColumn id="10694" xr3:uid="{F9052685-CE21-4E14-9753-58C84C333E0E}" name="Column10689"/>
    <tableColumn id="10695" xr3:uid="{0C298C56-423F-49E1-94FC-FE8DF8BECAF6}" name="Column10690"/>
    <tableColumn id="10696" xr3:uid="{186EF6C5-AD87-4AAF-B771-9A917A9C2F16}" name="Column10691"/>
    <tableColumn id="10697" xr3:uid="{48B8D1BD-2EDB-4102-826B-8F90BD4CF734}" name="Column10692"/>
    <tableColumn id="10698" xr3:uid="{4C66B087-F0FA-49A1-8CC4-93A52C4D3295}" name="Column10693"/>
    <tableColumn id="10699" xr3:uid="{2BDB48AB-EDC5-48EA-A02E-F536CF960B63}" name="Column10694"/>
    <tableColumn id="10700" xr3:uid="{E7D6D5FE-29B8-45B5-AA7C-424B8917A321}" name="Column10695"/>
    <tableColumn id="10701" xr3:uid="{7AC88DEF-27D2-47BE-942F-8BF772C674C4}" name="Column10696"/>
    <tableColumn id="10702" xr3:uid="{E86B77FC-2D20-404C-A777-4B4D60C031A7}" name="Column10697"/>
    <tableColumn id="10703" xr3:uid="{8CA5402D-A565-4F4A-B70C-DB51598CE4BC}" name="Column10698"/>
    <tableColumn id="10704" xr3:uid="{92790713-4A16-430D-B5C6-599CD22B0CF8}" name="Column10699"/>
    <tableColumn id="10705" xr3:uid="{574EE4E7-03F4-4832-A583-DCC0E0A50398}" name="Column10700"/>
    <tableColumn id="10706" xr3:uid="{656B66A7-CED2-44A3-A42F-89E26EF5138E}" name="Column10701"/>
    <tableColumn id="10707" xr3:uid="{9E58345A-53B4-4FE2-BFB2-07B51D77C04B}" name="Column10702"/>
    <tableColumn id="10708" xr3:uid="{B24B5871-8A90-4B5C-AFA0-04FC175B50FF}" name="Column10703"/>
    <tableColumn id="10709" xr3:uid="{55B0F9D4-1073-4DD9-B3B6-B689652E5214}" name="Column10704"/>
    <tableColumn id="10710" xr3:uid="{1F7675A4-8152-48EB-9D8E-D4FD5F4C33F4}" name="Column10705"/>
    <tableColumn id="10711" xr3:uid="{A53BA441-C007-43C5-879C-F8A8348B5320}" name="Column10706"/>
    <tableColumn id="10712" xr3:uid="{7A588677-F86C-4E2C-821A-E7A901836DB0}" name="Column10707"/>
    <tableColumn id="10713" xr3:uid="{C27C134D-70F1-48CF-B862-A2C1DD62EBF0}" name="Column10708"/>
    <tableColumn id="10714" xr3:uid="{68E00671-E091-4AF1-9580-7E8EB6EB4557}" name="Column10709"/>
    <tableColumn id="10715" xr3:uid="{CA52DE3B-4FAD-4EEA-B93F-FD40C12EB547}" name="Column10710"/>
    <tableColumn id="10716" xr3:uid="{300B9A5C-3A48-4E2B-9FCC-3E5270211AC9}" name="Column10711"/>
    <tableColumn id="10717" xr3:uid="{2A1D9A42-247E-4FE4-B148-9E63B0B8DB45}" name="Column10712"/>
    <tableColumn id="10718" xr3:uid="{BBEDB0A8-6110-47D8-A7C1-A8A7C3E5B363}" name="Column10713"/>
    <tableColumn id="10719" xr3:uid="{998B860F-90AE-4DAC-9D6C-257A18F4D024}" name="Column10714"/>
    <tableColumn id="10720" xr3:uid="{F6B5A04B-6F25-4119-B8F3-F6FE0E17D0FF}" name="Column10715"/>
    <tableColumn id="10721" xr3:uid="{C5141F34-D62C-46B1-9139-393C34A6A7B6}" name="Column10716"/>
    <tableColumn id="10722" xr3:uid="{8227FBCC-F4EC-45DB-8473-C0CB1BF24855}" name="Column10717"/>
    <tableColumn id="10723" xr3:uid="{F813A9A8-F39F-409D-8446-E627383B24FF}" name="Column10718"/>
    <tableColumn id="10724" xr3:uid="{04695337-4C6E-44F5-B057-682188609BE4}" name="Column10719"/>
    <tableColumn id="10725" xr3:uid="{03194319-2062-4AA4-AE3E-EDE9B2E337BB}" name="Column10720"/>
    <tableColumn id="10726" xr3:uid="{7A5695CE-1012-4DD4-AE52-D5A13C959E5A}" name="Column10721"/>
    <tableColumn id="10727" xr3:uid="{83E6A67B-CE9F-4FA3-AF74-25CCFFA57668}" name="Column10722"/>
    <tableColumn id="10728" xr3:uid="{F972FBF9-A74C-4DDE-8EA4-CEFEB21CB90A}" name="Column10723"/>
    <tableColumn id="10729" xr3:uid="{6AC30D68-5B4A-493C-A9C4-A2B8193F537E}" name="Column10724"/>
    <tableColumn id="10730" xr3:uid="{8583ADC6-34C0-4E76-9226-7F58AB2F55F5}" name="Column10725"/>
    <tableColumn id="10731" xr3:uid="{DBB895FE-A8AE-4721-A696-CA0CB48C9B4E}" name="Column10726"/>
    <tableColumn id="10732" xr3:uid="{7396ACFA-40B2-4201-A317-D3F7D456D434}" name="Column10727"/>
    <tableColumn id="10733" xr3:uid="{7C05F710-A896-4AB4-8728-9648D203FBBA}" name="Column10728"/>
    <tableColumn id="10734" xr3:uid="{3EC979CD-671F-46C9-9847-17DEA7570745}" name="Column10729"/>
    <tableColumn id="10735" xr3:uid="{D8372BA1-1D67-4B0B-A279-A6E0B858993C}" name="Column10730"/>
    <tableColumn id="10736" xr3:uid="{36197DF4-06A8-451C-88C0-8919653C480F}" name="Column10731"/>
    <tableColumn id="10737" xr3:uid="{09DAF2C2-BF4C-4094-A10F-041D56872615}" name="Column10732"/>
    <tableColumn id="10738" xr3:uid="{751B627D-E29C-40C4-9486-2EC3BA2BCD37}" name="Column10733"/>
    <tableColumn id="10739" xr3:uid="{7C9DF97E-AB28-4AD5-8146-D6EAA2BB423B}" name="Column10734"/>
    <tableColumn id="10740" xr3:uid="{8F1E1551-9BA3-40AC-9F4B-8A85A0554E41}" name="Column10735"/>
    <tableColumn id="10741" xr3:uid="{0818A943-5B31-409D-82A9-BC9C253A1ED5}" name="Column10736"/>
    <tableColumn id="10742" xr3:uid="{CB804830-5CFC-4E46-BD44-7B34474EDE7B}" name="Column10737"/>
    <tableColumn id="10743" xr3:uid="{408C2ACC-687B-4689-9C39-B4AD60730269}" name="Column10738"/>
    <tableColumn id="10744" xr3:uid="{B168FC24-A8FC-4194-806A-1EB6B1E05129}" name="Column10739"/>
    <tableColumn id="10745" xr3:uid="{8217C918-92EB-4303-91EB-E23F4F6CB392}" name="Column10740"/>
    <tableColumn id="10746" xr3:uid="{C3647C24-A3CC-4178-B448-F6807DE43EAD}" name="Column10741"/>
    <tableColumn id="10747" xr3:uid="{23A5BBE9-F060-4EF8-AACF-FF9D449FE665}" name="Column10742"/>
    <tableColumn id="10748" xr3:uid="{41649830-DA68-463E-A4CA-81EAFD785197}" name="Column10743"/>
    <tableColumn id="10749" xr3:uid="{7445D31B-202E-4E68-8760-65C94FB8B504}" name="Column10744"/>
    <tableColumn id="10750" xr3:uid="{88FE3C87-7528-4A5B-83D9-6479A6BDCDA8}" name="Column10745"/>
    <tableColumn id="10751" xr3:uid="{705D8199-AA82-4361-8AE2-0FA08733976D}" name="Column10746"/>
    <tableColumn id="10752" xr3:uid="{D03747D6-9EBF-4021-AF3A-D0162D5EF8A4}" name="Column10747"/>
    <tableColumn id="10753" xr3:uid="{E14A2C70-4BE5-4573-B363-968B2DE66057}" name="Column10748"/>
    <tableColumn id="10754" xr3:uid="{2749CA0D-ABB5-4178-A961-F675BC398F37}" name="Column10749"/>
    <tableColumn id="10755" xr3:uid="{319BE268-298D-478C-85E2-51A2973300C7}" name="Column10750"/>
    <tableColumn id="10756" xr3:uid="{48CC4B2C-F665-4253-9CF4-57F3E183453C}" name="Column10751"/>
    <tableColumn id="10757" xr3:uid="{377B9A22-3338-4B53-A519-6B20474A86B6}" name="Column10752"/>
    <tableColumn id="10758" xr3:uid="{A26D9C09-EC88-40BA-907B-273337E442E1}" name="Column10753"/>
    <tableColumn id="10759" xr3:uid="{7BAB710D-B9C8-4507-846C-6DB1C854AB20}" name="Column10754"/>
    <tableColumn id="10760" xr3:uid="{DF9A5A57-50BB-4C22-9970-38A4BA88B29D}" name="Column10755"/>
    <tableColumn id="10761" xr3:uid="{19D5C7CB-1317-45D2-BF0F-A96EACE198BD}" name="Column10756"/>
    <tableColumn id="10762" xr3:uid="{EB8DCD47-77A6-4BB0-ABAD-9F82BCF191C1}" name="Column10757"/>
    <tableColumn id="10763" xr3:uid="{AFFEB4F2-5F8D-41B7-B016-3901D600E546}" name="Column10758"/>
    <tableColumn id="10764" xr3:uid="{98436D00-6C2D-44AA-B72C-74268C40B09B}" name="Column10759"/>
    <tableColumn id="10765" xr3:uid="{E9D4BF8A-F7A2-4DD1-9985-7F08725C38CD}" name="Column10760"/>
    <tableColumn id="10766" xr3:uid="{8C49476A-14B2-40F7-859F-E892F5C4B045}" name="Column10761"/>
    <tableColumn id="10767" xr3:uid="{259E2F8F-6580-4603-8459-3A0A5F96EF20}" name="Column10762"/>
    <tableColumn id="10768" xr3:uid="{9D92A82F-C949-445C-85BD-47CB903E383E}" name="Column10763"/>
    <tableColumn id="10769" xr3:uid="{6574876B-7963-41F5-BAC8-8C25716298CC}" name="Column10764"/>
    <tableColumn id="10770" xr3:uid="{DDA83BED-816F-427E-8FAF-9927A26573D5}" name="Column10765"/>
    <tableColumn id="10771" xr3:uid="{3CDD9E07-88A2-49AA-B283-22C59DCA8475}" name="Column10766"/>
    <tableColumn id="10772" xr3:uid="{A1A233D2-DADC-4D84-9C34-A32037381D1E}" name="Column10767"/>
    <tableColumn id="10773" xr3:uid="{29CB9246-0B11-4D7D-BF6B-8F741021696D}" name="Column10768"/>
    <tableColumn id="10774" xr3:uid="{2852A423-67B0-417D-ACCF-DF2E76153A16}" name="Column10769"/>
    <tableColumn id="10775" xr3:uid="{F9531DA3-7D8A-4A89-98F2-67095A8C9920}" name="Column10770"/>
    <tableColumn id="10776" xr3:uid="{1C0366C6-3AAE-434C-AEBB-3EDE042BC54A}" name="Column10771"/>
    <tableColumn id="10777" xr3:uid="{DAD975E1-880A-4130-BA1C-20249C12E194}" name="Column10772"/>
    <tableColumn id="10778" xr3:uid="{72D8628B-782B-48C5-98D4-21638A21E6D7}" name="Column10773"/>
    <tableColumn id="10779" xr3:uid="{E3F889AA-5117-4E88-8D77-2CFBDCA8CE78}" name="Column10774"/>
    <tableColumn id="10780" xr3:uid="{9BB6C510-7259-4180-9D9D-72FF764C879B}" name="Column10775"/>
    <tableColumn id="10781" xr3:uid="{D6D67A8C-1E17-418F-ACCB-00442C10F425}" name="Column10776"/>
    <tableColumn id="10782" xr3:uid="{66EFA021-65ED-4965-A734-F27C689C0F9D}" name="Column10777"/>
    <tableColumn id="10783" xr3:uid="{CAC5C3D4-4BA7-42D3-B846-91B089581E64}" name="Column10778"/>
    <tableColumn id="10784" xr3:uid="{35EE6949-B30D-4200-B00D-DE3D1A81C57A}" name="Column10779"/>
    <tableColumn id="10785" xr3:uid="{2D10291E-89A7-457F-944B-675364D14D41}" name="Column10780"/>
    <tableColumn id="10786" xr3:uid="{F37FBB8A-B7DC-48F5-B0FD-1B97B06FBF3D}" name="Column10781"/>
    <tableColumn id="10787" xr3:uid="{1E3EB1EB-416D-4A1F-96A7-E4A62C353475}" name="Column10782"/>
    <tableColumn id="10788" xr3:uid="{5C803D2F-90F1-489B-9D03-31BADC6BF964}" name="Column10783"/>
    <tableColumn id="10789" xr3:uid="{B410F090-6117-4CEB-86A8-493CE83487DE}" name="Column10784"/>
    <tableColumn id="10790" xr3:uid="{001DCE43-B4C1-44BB-9F1A-1D09D14ABD81}" name="Column10785"/>
    <tableColumn id="10791" xr3:uid="{61178BBB-532D-45A5-BFC8-3180613CCE2F}" name="Column10786"/>
    <tableColumn id="10792" xr3:uid="{C2719D7E-CBA2-4CAC-8CE7-824E11DFD556}" name="Column10787"/>
    <tableColumn id="10793" xr3:uid="{E69B9FE1-28F4-4C24-9B3A-0246CD736A07}" name="Column10788"/>
    <tableColumn id="10794" xr3:uid="{B0D4B5F4-F0E4-432B-B507-13B94D2012A7}" name="Column10789"/>
    <tableColumn id="10795" xr3:uid="{1EF86636-AFD1-4679-9877-A9CAE2545D55}" name="Column10790"/>
    <tableColumn id="10796" xr3:uid="{817348CF-C538-431B-A557-75A56D199B1E}" name="Column10791"/>
    <tableColumn id="10797" xr3:uid="{7BFA07B3-89FE-4177-9586-556606F2217B}" name="Column10792"/>
    <tableColumn id="10798" xr3:uid="{732C714A-7D97-4853-82D6-353CACBC4EF1}" name="Column10793"/>
    <tableColumn id="10799" xr3:uid="{BC56EE14-0FBC-42E4-9A77-E736C53D2582}" name="Column10794"/>
    <tableColumn id="10800" xr3:uid="{A9058F9D-6C11-48B0-AB64-3E8B4543604E}" name="Column10795"/>
    <tableColumn id="10801" xr3:uid="{4D065727-1565-4CB6-9EC2-643C86D025E7}" name="Column10796"/>
    <tableColumn id="10802" xr3:uid="{BDD64B99-F118-41E9-B1D3-DDA164CDF384}" name="Column10797"/>
    <tableColumn id="10803" xr3:uid="{C22CAF78-730D-4426-A6B7-8E2EBE89F4B3}" name="Column10798"/>
    <tableColumn id="10804" xr3:uid="{A3FCA4CC-D789-4DD0-B704-52D480C7E57E}" name="Column10799"/>
    <tableColumn id="10805" xr3:uid="{FC084012-6667-41A9-A315-898A5730DD1C}" name="Column10800"/>
    <tableColumn id="10806" xr3:uid="{C765C1AF-AA64-4AD9-81A3-C62E7E477326}" name="Column10801"/>
    <tableColumn id="10807" xr3:uid="{28FC7DD6-7D2E-48D3-A9CF-13DAD14429EE}" name="Column10802"/>
    <tableColumn id="10808" xr3:uid="{9A5835E2-8C1B-4935-B9ED-D53541B6D90B}" name="Column10803"/>
    <tableColumn id="10809" xr3:uid="{662D7B77-9F70-4790-93FB-2137758D61FD}" name="Column10804"/>
    <tableColumn id="10810" xr3:uid="{64032DCF-5949-43CF-BC0A-205924E873A5}" name="Column10805"/>
    <tableColumn id="10811" xr3:uid="{65189160-6619-4084-A9C6-0AF7BB37886E}" name="Column10806"/>
    <tableColumn id="10812" xr3:uid="{86810762-52DB-4559-97E2-A5BFE9DCE1D4}" name="Column10807"/>
    <tableColumn id="10813" xr3:uid="{5527FEB8-18C1-47C6-BC75-D498D6A41450}" name="Column10808"/>
    <tableColumn id="10814" xr3:uid="{B4CAB2DC-0A63-4DBB-8FB2-D481B802AD72}" name="Column10809"/>
    <tableColumn id="10815" xr3:uid="{258386D1-88CB-4353-A931-63BFA96B3B30}" name="Column10810"/>
    <tableColumn id="10816" xr3:uid="{B9CF6660-E6D7-4A48-8D97-C4FA828FFFEA}" name="Column10811"/>
    <tableColumn id="10817" xr3:uid="{1943B00C-B996-492B-A0BB-4DDEBB342BE8}" name="Column10812"/>
    <tableColumn id="10818" xr3:uid="{44C77D51-5891-411C-A8BE-685E5FA37D01}" name="Column10813"/>
    <tableColumn id="10819" xr3:uid="{F567E1B8-0D70-427C-AE4C-0C090B2C135B}" name="Column10814"/>
    <tableColumn id="10820" xr3:uid="{EE955911-C665-4C24-9115-3877D1842D2E}" name="Column10815"/>
    <tableColumn id="10821" xr3:uid="{4AD67E00-58C9-47B8-9FC7-28E78FD66FA5}" name="Column10816"/>
    <tableColumn id="10822" xr3:uid="{C2514CED-6D73-4376-BF92-1DBE7418D7BB}" name="Column10817"/>
    <tableColumn id="10823" xr3:uid="{57B1AFFE-71F6-47CD-ACA5-6D6915A249FE}" name="Column10818"/>
    <tableColumn id="10824" xr3:uid="{9C75F91F-FA23-485E-B055-B6DDD9727428}" name="Column10819"/>
    <tableColumn id="10825" xr3:uid="{1E333FB2-122D-405C-8232-DFA21705AFBC}" name="Column10820"/>
    <tableColumn id="10826" xr3:uid="{C215EAE9-22A4-44F6-BDC0-91D814B2BD8A}" name="Column10821"/>
    <tableColumn id="10827" xr3:uid="{4EE6BF77-9D77-4C9F-AE1B-7EEF8EB6EB80}" name="Column10822"/>
    <tableColumn id="10828" xr3:uid="{CE20692B-FA40-4995-92F4-9805628D6751}" name="Column10823"/>
    <tableColumn id="10829" xr3:uid="{88CE8347-9B81-425D-AA1D-C620BADFF765}" name="Column10824"/>
    <tableColumn id="10830" xr3:uid="{AF344496-8278-4ADF-AA8F-485273CBC35B}" name="Column10825"/>
    <tableColumn id="10831" xr3:uid="{918F0F12-1564-463A-970E-F3443E4EC899}" name="Column10826"/>
    <tableColumn id="10832" xr3:uid="{C21FFE34-A5C9-4EC4-9356-1BE605D8BF7E}" name="Column10827"/>
    <tableColumn id="10833" xr3:uid="{81A70775-246C-48CF-A2B4-15554C9FCDA8}" name="Column10828"/>
    <tableColumn id="10834" xr3:uid="{63AD1F8E-7C04-488C-8C9B-461622A5775C}" name="Column10829"/>
    <tableColumn id="10835" xr3:uid="{8F4CDA54-2F49-4D51-8346-FCD7C2648B8C}" name="Column10830"/>
    <tableColumn id="10836" xr3:uid="{6DB88347-3DDD-435A-8C1C-316F67AB9A6F}" name="Column10831"/>
    <tableColumn id="10837" xr3:uid="{AF93BE33-3929-419B-9BE0-B9C5167E7C78}" name="Column10832"/>
    <tableColumn id="10838" xr3:uid="{9A769696-D7EE-4CC3-90F0-09FAA5EC65B6}" name="Column10833"/>
    <tableColumn id="10839" xr3:uid="{48018BC4-CF14-401E-8655-CC017CAA4C2A}" name="Column10834"/>
    <tableColumn id="10840" xr3:uid="{59D51D6F-011C-42FC-BA04-B15E2DC76851}" name="Column10835"/>
    <tableColumn id="10841" xr3:uid="{EA3C533F-FAB4-4541-ACF0-69A93689C930}" name="Column10836"/>
    <tableColumn id="10842" xr3:uid="{9B2A8C7D-17E9-457F-8A0E-05AC8BAD8815}" name="Column10837"/>
    <tableColumn id="10843" xr3:uid="{E86AAC5B-1003-4C40-9A7E-4E86B9C5E1C0}" name="Column10838"/>
    <tableColumn id="10844" xr3:uid="{B69D1917-AB47-47F9-A85A-35162D775F73}" name="Column10839"/>
    <tableColumn id="10845" xr3:uid="{8ECCD297-363C-4845-9FAD-B6A38E7441FA}" name="Column10840"/>
    <tableColumn id="10846" xr3:uid="{7EBFF379-1210-4F08-81D9-85DCEA635CFE}" name="Column10841"/>
    <tableColumn id="10847" xr3:uid="{730F57A0-4E13-48ED-BEBF-9C947522ED20}" name="Column10842"/>
    <tableColumn id="10848" xr3:uid="{5073B870-FCCC-4C1A-9293-C63652EC8F6C}" name="Column10843"/>
    <tableColumn id="10849" xr3:uid="{021CE28A-9115-4ABE-A455-C71DB561D723}" name="Column10844"/>
    <tableColumn id="10850" xr3:uid="{889D10C4-8679-4621-9D91-5E82A5C2D24E}" name="Column10845"/>
    <tableColumn id="10851" xr3:uid="{1EE735E3-991E-4078-9234-2BC6BDE6D952}" name="Column10846"/>
    <tableColumn id="10852" xr3:uid="{166C172F-08A6-47CD-ADAE-0B569EAB03EF}" name="Column10847"/>
    <tableColumn id="10853" xr3:uid="{B7A047D9-91C3-48EE-9C72-0C93AFF455A3}" name="Column10848"/>
    <tableColumn id="10854" xr3:uid="{C2D21046-7227-4C81-8C00-9684472BBD1A}" name="Column10849"/>
    <tableColumn id="10855" xr3:uid="{B35D6E15-E54F-4DCD-A7F9-A221788CD26D}" name="Column10850"/>
    <tableColumn id="10856" xr3:uid="{8A62484D-6D5E-4153-A121-E2B1E1F1613D}" name="Column10851"/>
    <tableColumn id="10857" xr3:uid="{5D8A5E24-D72C-4BAF-B9C8-7E145CF73D8A}" name="Column10852"/>
    <tableColumn id="10858" xr3:uid="{F1FD5437-0EA5-449E-BFC3-E28D1B986268}" name="Column10853"/>
    <tableColumn id="10859" xr3:uid="{51F6608E-14EA-43D5-908F-C059859D9966}" name="Column10854"/>
    <tableColumn id="10860" xr3:uid="{CF3851CA-F246-4DF7-96FD-AB45BD535870}" name="Column10855"/>
    <tableColumn id="10861" xr3:uid="{DBD576AD-B679-4A53-96DE-9E67CF4CAC13}" name="Column10856"/>
    <tableColumn id="10862" xr3:uid="{2BEFFEBD-A3A2-4CC0-8D22-498A435B8DF8}" name="Column10857"/>
    <tableColumn id="10863" xr3:uid="{E3D92EE4-8BD1-4182-AD6F-473893A765FC}" name="Column10858"/>
    <tableColumn id="10864" xr3:uid="{B6B11EDA-C136-4C63-921A-833A542EF3FC}" name="Column10859"/>
    <tableColumn id="10865" xr3:uid="{E7485AFD-9FD1-49C5-9311-E131489B258C}" name="Column10860"/>
    <tableColumn id="10866" xr3:uid="{EDC63905-D60C-42BE-9098-9B2EDDEE55DA}" name="Column10861"/>
    <tableColumn id="10867" xr3:uid="{6ACFB920-498B-479F-90A6-46F299BF8224}" name="Column10862"/>
    <tableColumn id="10868" xr3:uid="{3F883693-848E-4ED2-9791-70558776B089}" name="Column10863"/>
    <tableColumn id="10869" xr3:uid="{9070B9CF-C6F8-4C8A-B2BE-52EFD50AF352}" name="Column10864"/>
    <tableColumn id="10870" xr3:uid="{86C753F0-E505-4DC8-BC62-38D7D981FDFB}" name="Column10865"/>
    <tableColumn id="10871" xr3:uid="{167A65D8-4E2D-4D12-9938-70D2D7945CE5}" name="Column10866"/>
    <tableColumn id="10872" xr3:uid="{721B6C89-8BBE-4AAF-B351-4CBC5BC574CB}" name="Column10867"/>
    <tableColumn id="10873" xr3:uid="{D55A6DA1-A721-4585-9C06-3810051A0BF5}" name="Column10868"/>
    <tableColumn id="10874" xr3:uid="{92AB69B6-B762-4D72-8E32-ACE1BB9AE66B}" name="Column10869"/>
    <tableColumn id="10875" xr3:uid="{7D698B35-4DB6-436A-891B-0C307D7EE5A9}" name="Column10870"/>
    <tableColumn id="10876" xr3:uid="{68154801-340C-4A52-B2B8-46B8EAF0E2B5}" name="Column10871"/>
    <tableColumn id="10877" xr3:uid="{B92B07D8-2EBD-4781-9D75-A4A9F243E0A3}" name="Column10872"/>
    <tableColumn id="10878" xr3:uid="{FE9B246E-68EC-434D-A13D-E18F692F3489}" name="Column10873"/>
    <tableColumn id="10879" xr3:uid="{541FF79C-7E0D-4EBB-987E-4A42BDFB808B}" name="Column10874"/>
    <tableColumn id="10880" xr3:uid="{22BBD4B7-D532-445E-A13F-FC6FE5C0131B}" name="Column10875"/>
    <tableColumn id="10881" xr3:uid="{3B53D3CC-3F50-4806-AD5D-03D71839C5B1}" name="Column10876"/>
    <tableColumn id="10882" xr3:uid="{25FC03E7-87CA-44B6-A8A8-B50AD1770837}" name="Column10877"/>
    <tableColumn id="10883" xr3:uid="{F96EB511-FDAF-405B-BA21-466BEB49FE0D}" name="Column10878"/>
    <tableColumn id="10884" xr3:uid="{88128E84-EBB9-44CD-8F91-57F425089E88}" name="Column10879"/>
    <tableColumn id="10885" xr3:uid="{7F1C0D7A-15F5-4B55-8E48-48FAECFC2852}" name="Column10880"/>
    <tableColumn id="10886" xr3:uid="{29DC1A9A-AD00-4594-B88C-EB245523E047}" name="Column10881"/>
    <tableColumn id="10887" xr3:uid="{B74E786D-82E7-4DA6-B0C6-F61248A5D3E2}" name="Column10882"/>
    <tableColumn id="10888" xr3:uid="{ECEFD488-CE0F-4651-A150-C0B5902BEFC2}" name="Column10883"/>
    <tableColumn id="10889" xr3:uid="{252F7F64-2F15-4B08-840D-612586B07D9A}" name="Column10884"/>
    <tableColumn id="10890" xr3:uid="{DF38027D-B56F-4ED1-A220-4E0A1B8F7B20}" name="Column10885"/>
    <tableColumn id="10891" xr3:uid="{DF39579F-7834-4C70-B5BA-23835EC15665}" name="Column10886"/>
    <tableColumn id="10892" xr3:uid="{4B2A0803-CFAE-421C-8405-8BD5238C4B3B}" name="Column10887"/>
    <tableColumn id="10893" xr3:uid="{85FAC843-6900-4F66-8825-6341888160B8}" name="Column10888"/>
    <tableColumn id="10894" xr3:uid="{33B7E9E9-A05E-4DFD-9765-2987A760D639}" name="Column10889"/>
    <tableColumn id="10895" xr3:uid="{6B6C7183-AB9B-4498-9867-A2FEA8EDA7EC}" name="Column10890"/>
    <tableColumn id="10896" xr3:uid="{C17A806B-8595-474B-AD8F-C256FEFFFABB}" name="Column10891"/>
    <tableColumn id="10897" xr3:uid="{1FAC62AC-81C7-4918-AEAB-6AD96B67C240}" name="Column10892"/>
    <tableColumn id="10898" xr3:uid="{47130CFA-A78F-4D5F-BDB1-F1B4037FFDD8}" name="Column10893"/>
    <tableColumn id="10899" xr3:uid="{89CF364A-112F-44BA-855D-4BF8E6F123BD}" name="Column10894"/>
    <tableColumn id="10900" xr3:uid="{6E1017C9-7648-41BD-93A3-1E80872E55A8}" name="Column10895"/>
    <tableColumn id="10901" xr3:uid="{95FABBD5-F9FD-4CD6-9FD5-2D27893169FD}" name="Column10896"/>
    <tableColumn id="10902" xr3:uid="{DEC79644-DE6C-4A87-AE7F-084789609169}" name="Column10897"/>
    <tableColumn id="10903" xr3:uid="{A54E8416-7D31-4F16-90EB-DAE73BF9499C}" name="Column10898"/>
    <tableColumn id="10904" xr3:uid="{D06686C1-D29A-46A1-8926-8FDFAAB3E7B4}" name="Column10899"/>
    <tableColumn id="10905" xr3:uid="{5514719E-8C6E-4598-929D-845F683B17B5}" name="Column10900"/>
    <tableColumn id="10906" xr3:uid="{2A9C904D-1502-44FC-8223-2D289C59C679}" name="Column10901"/>
    <tableColumn id="10907" xr3:uid="{D6AF4872-B83E-4243-966E-52890F93385D}" name="Column10902"/>
    <tableColumn id="10908" xr3:uid="{D91B4FFC-1F94-425B-8FFE-06F06F52822F}" name="Column10903"/>
    <tableColumn id="10909" xr3:uid="{FDB12840-D896-4DAC-80DA-0821A20D3606}" name="Column10904"/>
    <tableColumn id="10910" xr3:uid="{D8EFBE9B-65A4-413F-88D0-3D0A33283302}" name="Column10905"/>
    <tableColumn id="10911" xr3:uid="{25E6E5B9-5D6F-4418-BF0C-9580901BB7ED}" name="Column10906"/>
    <tableColumn id="10912" xr3:uid="{79D0F8CF-570B-4F3C-BF53-F223303FD702}" name="Column10907"/>
    <tableColumn id="10913" xr3:uid="{390415A8-13C6-43DE-AA27-EF68DACB8961}" name="Column10908"/>
    <tableColumn id="10914" xr3:uid="{263A7F93-7AA4-42D3-9106-7A91C8AA1E44}" name="Column10909"/>
    <tableColumn id="10915" xr3:uid="{0AE368B4-5075-47EE-A54D-5F69D67913DC}" name="Column10910"/>
    <tableColumn id="10916" xr3:uid="{D0A51DBA-B206-4C65-A2E2-9FFDE81B3D67}" name="Column10911"/>
    <tableColumn id="10917" xr3:uid="{D876856E-AFFB-4DF9-90B8-E380970B6C46}" name="Column10912"/>
    <tableColumn id="10918" xr3:uid="{2F7C86E7-1F7A-4D3B-B8C0-3C2508976EFA}" name="Column10913"/>
    <tableColumn id="10919" xr3:uid="{62F14259-0D9E-4171-8EA4-DFC9EE3B7CF6}" name="Column10914"/>
    <tableColumn id="10920" xr3:uid="{7FDA5DD1-C5D9-4241-BF56-412EA465D52D}" name="Column10915"/>
    <tableColumn id="10921" xr3:uid="{632CCF08-5371-489E-A9BB-0C40B0A76223}" name="Column10916"/>
    <tableColumn id="10922" xr3:uid="{648DAFC0-E427-4381-BF39-DD96CF613077}" name="Column10917"/>
    <tableColumn id="10923" xr3:uid="{7C5F9690-18DE-4FC5-A2FA-849032152D16}" name="Column10918"/>
    <tableColumn id="10924" xr3:uid="{B45BB004-415E-4445-9342-BEF2D4EDC7BA}" name="Column10919"/>
    <tableColumn id="10925" xr3:uid="{BF6F63DA-1C84-4E50-A268-300EA262B0DC}" name="Column10920"/>
    <tableColumn id="10926" xr3:uid="{349F8168-1BF0-4BF1-A7AE-2438C3F55123}" name="Column10921"/>
    <tableColumn id="10927" xr3:uid="{428C423A-803B-422E-B78B-CB736F65F619}" name="Column10922"/>
    <tableColumn id="10928" xr3:uid="{C81FDB3D-270A-4892-9D53-97DC4BC0F810}" name="Column10923"/>
    <tableColumn id="10929" xr3:uid="{7C1A1BCC-0491-433B-9DE2-A849D0D767B9}" name="Column10924"/>
    <tableColumn id="10930" xr3:uid="{A90A4A71-A730-4E8D-AD33-A6B07BEC8BDF}" name="Column10925"/>
    <tableColumn id="10931" xr3:uid="{DD67BEB5-E95F-4071-AC42-41D84530022B}" name="Column10926"/>
    <tableColumn id="10932" xr3:uid="{D3257CA2-853C-4942-A88A-CF647342A4A2}" name="Column10927"/>
    <tableColumn id="10933" xr3:uid="{B83ABF87-413A-4EA5-B41D-9738146CB2F1}" name="Column10928"/>
    <tableColumn id="10934" xr3:uid="{0F54C408-B854-4931-864F-59079E3489FE}" name="Column10929"/>
    <tableColumn id="10935" xr3:uid="{391165AA-649D-493F-A914-FE5A8D9DFB33}" name="Column10930"/>
    <tableColumn id="10936" xr3:uid="{80745A0B-910A-4AF6-AD1D-B9873FA13EB6}" name="Column10931"/>
    <tableColumn id="10937" xr3:uid="{AF8B6B0A-A5FC-47F0-A72F-A0CFAC3B8833}" name="Column10932"/>
    <tableColumn id="10938" xr3:uid="{80582318-9C97-470A-A338-8D2E47880647}" name="Column10933"/>
    <tableColumn id="10939" xr3:uid="{20E08BE2-65DF-4374-9BBC-134C09D11114}" name="Column10934"/>
    <tableColumn id="10940" xr3:uid="{31F05056-6F36-4AC1-8ADF-63E76CF56187}" name="Column10935"/>
    <tableColumn id="10941" xr3:uid="{1501E4DB-0233-4C65-B4F0-4EF9E4CA418B}" name="Column10936"/>
    <tableColumn id="10942" xr3:uid="{C2D03202-7F53-4685-90A4-CFEC1788F758}" name="Column10937"/>
    <tableColumn id="10943" xr3:uid="{200F9BA4-E2F7-4A39-8C20-07657A80F509}" name="Column10938"/>
    <tableColumn id="10944" xr3:uid="{2B8466A9-6416-41DB-BA18-F1E0112ECD99}" name="Column10939"/>
    <tableColumn id="10945" xr3:uid="{52079EE2-1BB7-40A8-8DB2-15F2B73BB786}" name="Column10940"/>
    <tableColumn id="10946" xr3:uid="{E9BA7F84-E6B8-4D1A-AE1C-F8492404A2EE}" name="Column10941"/>
    <tableColumn id="10947" xr3:uid="{1C94E208-A762-417E-93E1-EAA22F526B99}" name="Column10942"/>
    <tableColumn id="10948" xr3:uid="{D312EF5F-4B99-49B6-8989-6D5CD3EA30BF}" name="Column10943"/>
    <tableColumn id="10949" xr3:uid="{B77F3EB9-CB70-40AB-A4F4-B3DD898CBADD}" name="Column10944"/>
    <tableColumn id="10950" xr3:uid="{84E90C18-A519-4EF8-BFB7-0D0857A2F643}" name="Column10945"/>
    <tableColumn id="10951" xr3:uid="{82CD0C07-3B6E-465A-9C57-4EA3D8A50DD6}" name="Column10946"/>
    <tableColumn id="10952" xr3:uid="{F712EDAA-0AC2-4D78-8398-F177AC41351B}" name="Column10947"/>
    <tableColumn id="10953" xr3:uid="{EEFE582D-A7FB-4B88-8F14-56588F9AEA0D}" name="Column10948"/>
    <tableColumn id="10954" xr3:uid="{D789918D-CF64-49EE-A1B6-CB97C487044A}" name="Column10949"/>
    <tableColumn id="10955" xr3:uid="{72BA53EF-2B9D-43DD-BFBC-944C4605C93C}" name="Column10950"/>
    <tableColumn id="10956" xr3:uid="{E66BA445-C63A-4E51-A13B-0E938A98DDBB}" name="Column10951"/>
    <tableColumn id="10957" xr3:uid="{AE884A05-6866-4D31-9263-04F8ECF69275}" name="Column10952"/>
    <tableColumn id="10958" xr3:uid="{5CC51A15-3769-458F-824A-62646373F06A}" name="Column10953"/>
    <tableColumn id="10959" xr3:uid="{4721ED3C-C8CA-472C-ACB9-7E21D811036F}" name="Column10954"/>
    <tableColumn id="10960" xr3:uid="{EBD39C55-E3EA-4104-9F33-2E69E94AE6AF}" name="Column10955"/>
    <tableColumn id="10961" xr3:uid="{6BB2D775-F0A1-4D1B-9835-AABF57BA5791}" name="Column10956"/>
    <tableColumn id="10962" xr3:uid="{66E88519-718D-4C72-814C-8E51236C909F}" name="Column10957"/>
    <tableColumn id="10963" xr3:uid="{2CB060CD-0B8C-4B2E-8325-AD524C8755C8}" name="Column10958"/>
    <tableColumn id="10964" xr3:uid="{56607647-045D-4F75-9B2D-065C8807D358}" name="Column10959"/>
    <tableColumn id="10965" xr3:uid="{270BA5B8-5615-4792-8F2D-F288233862FD}" name="Column10960"/>
    <tableColumn id="10966" xr3:uid="{7D8DDCDB-0793-48D7-9F1B-89A6FCDE7E6C}" name="Column10961"/>
    <tableColumn id="10967" xr3:uid="{8374452D-D4AB-456D-A8DB-6E3235F3DA50}" name="Column10962"/>
    <tableColumn id="10968" xr3:uid="{571E93FC-8649-4BF4-81BA-171A1912F292}" name="Column10963"/>
    <tableColumn id="10969" xr3:uid="{C06BD71C-7F37-4B55-85B2-511206DEF9E4}" name="Column10964"/>
    <tableColumn id="10970" xr3:uid="{058D08CC-3E57-403E-A048-F1A278C44882}" name="Column10965"/>
    <tableColumn id="10971" xr3:uid="{36007FA4-23AA-4590-B8DC-6488259BB972}" name="Column10966"/>
    <tableColumn id="10972" xr3:uid="{8AFDF5C2-E842-4EA0-92DD-72B25991563C}" name="Column10967"/>
    <tableColumn id="10973" xr3:uid="{D46052BF-1A48-4A7A-A800-54B45FBDD53B}" name="Column10968"/>
    <tableColumn id="10974" xr3:uid="{8FDA0363-A268-4BB8-A3FF-209DC28A1E22}" name="Column10969"/>
    <tableColumn id="10975" xr3:uid="{5BA0A57A-D1C9-4F2D-9293-40A2F40717EC}" name="Column10970"/>
    <tableColumn id="10976" xr3:uid="{288008C3-5CAF-422E-B66C-E46D7F2159C2}" name="Column10971"/>
    <tableColumn id="10977" xr3:uid="{E3F5DA02-6BC3-49FA-83D8-4DD8DB2431CC}" name="Column10972"/>
    <tableColumn id="10978" xr3:uid="{9DE4CDF5-E1B7-4F18-A697-B3B5D665C9AD}" name="Column10973"/>
    <tableColumn id="10979" xr3:uid="{23BC41D2-19C2-4010-B6AA-123FA75A66B9}" name="Column10974"/>
    <tableColumn id="10980" xr3:uid="{6BE601F0-0E49-4302-8D1A-E6F275ECF4EE}" name="Column10975"/>
    <tableColumn id="10981" xr3:uid="{A68BE9E4-4BBD-48F0-9AB9-0B7B1EC97D5A}" name="Column10976"/>
    <tableColumn id="10982" xr3:uid="{AAFF8ED4-2499-40D8-97D2-033500883F66}" name="Column10977"/>
    <tableColumn id="10983" xr3:uid="{047595BF-E95D-4CB9-A29D-E4EE88B58C26}" name="Column10978"/>
    <tableColumn id="10984" xr3:uid="{33E77890-4CC3-4714-8866-7F8DB1CB41FE}" name="Column10979"/>
    <tableColumn id="10985" xr3:uid="{30501287-3ACF-4C26-A884-849BFC36029C}" name="Column10980"/>
    <tableColumn id="10986" xr3:uid="{D06937D5-A40B-4404-8751-3B9A4CCDB486}" name="Column10981"/>
    <tableColumn id="10987" xr3:uid="{DF51E5D0-33D0-4EDC-9961-69365FD5B521}" name="Column10982"/>
    <tableColumn id="10988" xr3:uid="{1B0F92A5-0BAF-4E00-884D-1A958FB6EC0F}" name="Column10983"/>
    <tableColumn id="10989" xr3:uid="{BB798AE8-585C-44B4-96B9-A6F202C40C80}" name="Column10984"/>
    <tableColumn id="10990" xr3:uid="{388F55C8-5B8B-4E7B-813D-24E508D641E5}" name="Column10985"/>
    <tableColumn id="10991" xr3:uid="{62DC0149-9C6A-46F7-8CA8-FD3B68EA4903}" name="Column10986"/>
    <tableColumn id="10992" xr3:uid="{D3C55E4E-1084-493A-893F-23AAD5C0B2C5}" name="Column10987"/>
    <tableColumn id="10993" xr3:uid="{913B919A-ED6F-4D8D-8A05-950C64AEAF49}" name="Column10988"/>
    <tableColumn id="10994" xr3:uid="{99DCA5E1-B756-4F7D-A102-3221251EB02E}" name="Column10989"/>
    <tableColumn id="10995" xr3:uid="{96C423F1-A794-4903-9AC2-98CA101800B3}" name="Column10990"/>
    <tableColumn id="10996" xr3:uid="{52D4A418-4829-48F5-B8C5-C92F6FDA155B}" name="Column10991"/>
    <tableColumn id="10997" xr3:uid="{1BE58C48-29E9-48A8-9242-396EFDA7DB76}" name="Column10992"/>
    <tableColumn id="10998" xr3:uid="{FED91851-20D3-46DD-A971-BFAAA877A66E}" name="Column10993"/>
    <tableColumn id="10999" xr3:uid="{D4C7FCB1-D391-4618-B91B-7C8CDB83EE40}" name="Column10994"/>
    <tableColumn id="11000" xr3:uid="{422BB77E-B519-4C3E-9E52-B4D5F492DA90}" name="Column10995"/>
    <tableColumn id="11001" xr3:uid="{4714D154-A14D-4BD1-A773-335675F8CA16}" name="Column10996"/>
    <tableColumn id="11002" xr3:uid="{0FC32A7A-868E-4293-8FED-EAAE102AFC4E}" name="Column10997"/>
    <tableColumn id="11003" xr3:uid="{BA2313D9-133D-4BD3-8917-9AA3DE8B4914}" name="Column10998"/>
    <tableColumn id="11004" xr3:uid="{3A6B63EA-A32D-45D0-A441-3619D78901E7}" name="Column10999"/>
    <tableColumn id="11005" xr3:uid="{828DFA0E-2566-4E3C-9160-E2A754A6F72D}" name="Column11000"/>
    <tableColumn id="11006" xr3:uid="{98B90EFB-DA48-4538-842E-E9651922092B}" name="Column11001"/>
    <tableColumn id="11007" xr3:uid="{AFEF87AA-BE4F-45FC-95B3-E3C156CD2E9B}" name="Column11002"/>
    <tableColumn id="11008" xr3:uid="{AE53BBD2-512A-4422-85D2-7157A00DA6BF}" name="Column11003"/>
    <tableColumn id="11009" xr3:uid="{3576E88F-2B1F-455B-9509-9FB4DBD722DB}" name="Column11004"/>
    <tableColumn id="11010" xr3:uid="{6E8C7908-C094-419C-8A03-2FB6147E0BE9}" name="Column11005"/>
    <tableColumn id="11011" xr3:uid="{CAA0DAC4-A5C7-4CE7-862E-8AB31BB7B5BB}" name="Column11006"/>
    <tableColumn id="11012" xr3:uid="{9F194E72-B5E4-4906-8793-AF1EF12CE0F0}" name="Column11007"/>
    <tableColumn id="11013" xr3:uid="{07D56E61-1CB6-4621-B0FE-D58B0AB67013}" name="Column11008"/>
    <tableColumn id="11014" xr3:uid="{C0C29331-12F3-48CC-B993-BF1CCEBF6743}" name="Column11009"/>
    <tableColumn id="11015" xr3:uid="{30AA5FA2-60E1-4A8E-A18F-A67A256C6C0F}" name="Column11010"/>
    <tableColumn id="11016" xr3:uid="{1D28DDCF-B9DE-4C6A-98BD-67BB14D0AB26}" name="Column11011"/>
    <tableColumn id="11017" xr3:uid="{E72B405D-BCB5-47AA-8450-8A6783694604}" name="Column11012"/>
    <tableColumn id="11018" xr3:uid="{DD129B36-FB27-45C0-A708-C56EBF4CE9B8}" name="Column11013"/>
    <tableColumn id="11019" xr3:uid="{AC3E6D95-D0C5-4B12-B60F-9BBA67A8FDBA}" name="Column11014"/>
    <tableColumn id="11020" xr3:uid="{1AB64BE9-F89B-47BE-8DBB-474DE7A4900E}" name="Column11015"/>
    <tableColumn id="11021" xr3:uid="{589C4550-30D0-4C4E-83A8-3C06FC6486A6}" name="Column11016"/>
    <tableColumn id="11022" xr3:uid="{763B4736-F4F7-45D9-B5FA-E99203DAE57D}" name="Column11017"/>
    <tableColumn id="11023" xr3:uid="{1D18BCEF-88C1-41E1-8F4B-7B019E878909}" name="Column11018"/>
    <tableColumn id="11024" xr3:uid="{78AB7E99-DDEB-4002-9C38-7DED622FC2DE}" name="Column11019"/>
    <tableColumn id="11025" xr3:uid="{DBB90C59-82FE-4F04-AAF2-BBB6D12A1E55}" name="Column11020"/>
    <tableColumn id="11026" xr3:uid="{514CAAFE-4451-4984-A3EC-29868457216F}" name="Column11021"/>
    <tableColumn id="11027" xr3:uid="{BC2D9C3B-E852-4094-B906-AAF5B1C87F0F}" name="Column11022"/>
    <tableColumn id="11028" xr3:uid="{DF17B898-52BB-4FC0-A827-A3E08752BFF8}" name="Column11023"/>
    <tableColumn id="11029" xr3:uid="{4684F4C5-AAE2-4FEF-91C1-116DA5599FE9}" name="Column11024"/>
    <tableColumn id="11030" xr3:uid="{1FA88851-4F04-4DBB-B88F-DA1A96BC6083}" name="Column11025"/>
    <tableColumn id="11031" xr3:uid="{34FF4CAB-34C9-418D-89E1-21DF05ADED6F}" name="Column11026"/>
    <tableColumn id="11032" xr3:uid="{9DA86F24-0A8B-42BC-B9C9-EB79D7A4BEC5}" name="Column11027"/>
    <tableColumn id="11033" xr3:uid="{EAC5E41E-B68C-4762-B881-C0A7A3B35496}" name="Column11028"/>
    <tableColumn id="11034" xr3:uid="{72FDE800-5C25-493B-9AAD-1F169B44357E}" name="Column11029"/>
    <tableColumn id="11035" xr3:uid="{0F994A44-9CF0-43F3-A66A-8C9DB4320A58}" name="Column11030"/>
    <tableColumn id="11036" xr3:uid="{1CC0CE1A-4249-4659-882E-3D6F3D8D9F90}" name="Column11031"/>
    <tableColumn id="11037" xr3:uid="{BDC35958-D264-43BB-8A05-665B87B07B9F}" name="Column11032"/>
    <tableColumn id="11038" xr3:uid="{0B1F685A-8035-49AE-B916-7E92B2752723}" name="Column11033"/>
    <tableColumn id="11039" xr3:uid="{1511C8C1-EF0C-45E9-947D-47D2D07D3258}" name="Column11034"/>
    <tableColumn id="11040" xr3:uid="{A49EFA45-D094-4A77-A568-DA80B0CF5A46}" name="Column11035"/>
    <tableColumn id="11041" xr3:uid="{799ED3EE-2CF5-4F8E-A5BD-65D8B568DACB}" name="Column11036"/>
    <tableColumn id="11042" xr3:uid="{F0D8C517-C98C-4E63-95BF-088B9520C05B}" name="Column11037"/>
    <tableColumn id="11043" xr3:uid="{E70652F3-FD57-470C-B70A-E2D112815A2B}" name="Column11038"/>
    <tableColumn id="11044" xr3:uid="{5EEABDF2-63C0-4395-ABB5-259E3C448AA4}" name="Column11039"/>
    <tableColumn id="11045" xr3:uid="{D588716D-B536-4D37-9DE1-7C9F6127DAC1}" name="Column11040"/>
    <tableColumn id="11046" xr3:uid="{7B9A909E-2CF9-40A6-A4F9-EF384FD46BA6}" name="Column11041"/>
    <tableColumn id="11047" xr3:uid="{86920414-D662-43FC-9DAB-FCF1490B6370}" name="Column11042"/>
    <tableColumn id="11048" xr3:uid="{0CD76155-B9E5-4A33-9512-4DE87F55A99B}" name="Column11043"/>
    <tableColumn id="11049" xr3:uid="{DD4004B1-9E2C-4404-93AB-80E14DC20A12}" name="Column11044"/>
    <tableColumn id="11050" xr3:uid="{22EA90A8-DBAD-429D-B4BF-2393ADCCDA58}" name="Column11045"/>
    <tableColumn id="11051" xr3:uid="{2CE7453A-6575-49A4-81BF-EC1B5958B84C}" name="Column11046"/>
    <tableColumn id="11052" xr3:uid="{8AD015A7-636D-45D1-8B44-C6D69A6E9186}" name="Column11047"/>
    <tableColumn id="11053" xr3:uid="{77DD132A-2667-4F02-8A71-6866EE01B9F8}" name="Column11048"/>
    <tableColumn id="11054" xr3:uid="{372F2F4E-9890-40A0-99C8-1329ACE9C18A}" name="Column11049"/>
    <tableColumn id="11055" xr3:uid="{410AECC4-E0D1-45D5-948A-A398A3F6A7CB}" name="Column11050"/>
    <tableColumn id="11056" xr3:uid="{39C1BA15-DE12-452F-97B1-D1155C41DDCA}" name="Column11051"/>
    <tableColumn id="11057" xr3:uid="{A1A94B5D-2767-41EC-8561-BE0F54004776}" name="Column11052"/>
    <tableColumn id="11058" xr3:uid="{9B82A498-2F32-41A8-84EC-D432CCCFAD09}" name="Column11053"/>
    <tableColumn id="11059" xr3:uid="{807A0716-E604-4D03-BA54-4D412C982B7F}" name="Column11054"/>
    <tableColumn id="11060" xr3:uid="{9051AB0F-906A-4B48-9447-3860C4334896}" name="Column11055"/>
    <tableColumn id="11061" xr3:uid="{2544CE75-E632-4CDB-A2D4-B15BA5541C44}" name="Column11056"/>
    <tableColumn id="11062" xr3:uid="{2257FE1B-C15B-4F46-972A-ED8D37653A21}" name="Column11057"/>
    <tableColumn id="11063" xr3:uid="{A2B9666B-635D-445B-A027-B06B90AF9BEE}" name="Column11058"/>
    <tableColumn id="11064" xr3:uid="{0E2F8F30-49EE-40E9-9492-1E3BC731532C}" name="Column11059"/>
    <tableColumn id="11065" xr3:uid="{FC631480-BE84-4AC3-BE3C-7A0EDEC667B8}" name="Column11060"/>
    <tableColumn id="11066" xr3:uid="{F502F643-5F62-4F1E-8AC8-FA2F940B4D8A}" name="Column11061"/>
    <tableColumn id="11067" xr3:uid="{AF550DE4-D3B7-4D56-AC86-75B7E6864216}" name="Column11062"/>
    <tableColumn id="11068" xr3:uid="{4BFB68B5-75CC-49CF-94D2-10F1284046A1}" name="Column11063"/>
    <tableColumn id="11069" xr3:uid="{692D3A92-3FE9-4879-945A-39045E5EA80C}" name="Column11064"/>
    <tableColumn id="11070" xr3:uid="{A66E6024-F88D-4A37-BDD3-51FB45729D7F}" name="Column11065"/>
    <tableColumn id="11071" xr3:uid="{70E21804-734F-44CA-8B10-676943F46228}" name="Column11066"/>
    <tableColumn id="11072" xr3:uid="{8A8C3A1C-8813-4D30-8735-EFE8381A3333}" name="Column11067"/>
    <tableColumn id="11073" xr3:uid="{F4AF7953-2EAD-4A94-9CFD-023BA4C21D5A}" name="Column11068"/>
    <tableColumn id="11074" xr3:uid="{E89CA1BD-FD96-4A2B-8FAB-87AACFD2F5DE}" name="Column11069"/>
    <tableColumn id="11075" xr3:uid="{7E924FDA-E10B-4187-9FF2-E5D3BD94B045}" name="Column11070"/>
    <tableColumn id="11076" xr3:uid="{F378DF5B-AC4E-4B1F-B96A-A54587A2A549}" name="Column11071"/>
    <tableColumn id="11077" xr3:uid="{A4E6C84D-8E56-4E28-8C8D-AC2768E6BE32}" name="Column11072"/>
    <tableColumn id="11078" xr3:uid="{20DC119D-A373-4FD6-829F-69BCA72E05B7}" name="Column11073"/>
    <tableColumn id="11079" xr3:uid="{A90226CA-944C-40D4-B7EE-DB62347F80A7}" name="Column11074"/>
    <tableColumn id="11080" xr3:uid="{E8AC717E-3D2E-43D9-B8FE-1BA84B46DDD3}" name="Column11075"/>
    <tableColumn id="11081" xr3:uid="{69E46710-F91B-4559-96A2-D6873D662D40}" name="Column11076"/>
    <tableColumn id="11082" xr3:uid="{A1F16ED0-209D-4C8D-97E9-AEF0C9544935}" name="Column11077"/>
    <tableColumn id="11083" xr3:uid="{36000721-B61D-48F4-8C7D-E2055AF3B4B7}" name="Column11078"/>
    <tableColumn id="11084" xr3:uid="{969E837B-7264-4502-8F99-E2EE3430EBA3}" name="Column11079"/>
    <tableColumn id="11085" xr3:uid="{B329EBDE-18FA-41B6-9129-4853309F9598}" name="Column11080"/>
    <tableColumn id="11086" xr3:uid="{7786F7E5-F6A9-410F-8E1E-54A6078A55B1}" name="Column11081"/>
    <tableColumn id="11087" xr3:uid="{F20EC93A-BBA6-4FC4-A2D6-5361E70554A1}" name="Column11082"/>
    <tableColumn id="11088" xr3:uid="{E87AAD6B-D47B-46ED-B721-968BFFDFAF7B}" name="Column11083"/>
    <tableColumn id="11089" xr3:uid="{F13A8079-6007-459B-847E-B4E916DD2D30}" name="Column11084"/>
    <tableColumn id="11090" xr3:uid="{ADBC54BB-C4E1-4C9F-8BF4-974F4F7BDE78}" name="Column11085"/>
    <tableColumn id="11091" xr3:uid="{97DB951F-CA19-41BF-8E5C-5F1D69A48E32}" name="Column11086"/>
    <tableColumn id="11092" xr3:uid="{5443C573-778E-4A3D-B2EE-12364314FBE6}" name="Column11087"/>
    <tableColumn id="11093" xr3:uid="{6FBAA829-B766-4393-89BB-F384678F2B4B}" name="Column11088"/>
    <tableColumn id="11094" xr3:uid="{87D77CE2-A25B-48F9-B6D8-CED473ACD331}" name="Column11089"/>
    <tableColumn id="11095" xr3:uid="{FEDA44D1-7E8D-49E0-B0D0-B5AA3099BE3B}" name="Column11090"/>
    <tableColumn id="11096" xr3:uid="{8C93C7EC-17D9-4017-AA33-08EB1EDD8DA6}" name="Column11091"/>
    <tableColumn id="11097" xr3:uid="{84780D15-CE29-4FEA-97B6-A31C5E5CB564}" name="Column11092"/>
    <tableColumn id="11098" xr3:uid="{923EC396-5DEE-4AB0-B00B-D0B925AE3F1E}" name="Column11093"/>
    <tableColumn id="11099" xr3:uid="{64E7E2E2-9935-40EF-B4EC-21C474457AC2}" name="Column11094"/>
    <tableColumn id="11100" xr3:uid="{4D96FAA6-41BA-4FFA-9B57-B5AD9708A5CC}" name="Column11095"/>
    <tableColumn id="11101" xr3:uid="{E5923F9E-817A-48E2-AFD8-9A16D0B1E6D4}" name="Column11096"/>
    <tableColumn id="11102" xr3:uid="{6A91F021-AD1F-42FF-94CD-80512B32B607}" name="Column11097"/>
    <tableColumn id="11103" xr3:uid="{4F0E34A2-5902-45D5-8318-D7F05C4C4F0F}" name="Column11098"/>
    <tableColumn id="11104" xr3:uid="{D55099E3-B666-49DD-A15B-CB78547D6258}" name="Column11099"/>
    <tableColumn id="11105" xr3:uid="{146592F9-6D8B-4D59-841E-1EB131508EC7}" name="Column11100"/>
    <tableColumn id="11106" xr3:uid="{3F3C7743-8F13-4DB6-AA19-D736D2504622}" name="Column11101"/>
    <tableColumn id="11107" xr3:uid="{CD47852F-9EC7-417E-9336-145794BF729E}" name="Column11102"/>
    <tableColumn id="11108" xr3:uid="{09FDD51B-D2AE-45AF-A8AA-3E1168A93656}" name="Column11103"/>
    <tableColumn id="11109" xr3:uid="{A3C62954-52B0-4788-94FF-756F5C65BEA8}" name="Column11104"/>
    <tableColumn id="11110" xr3:uid="{579A104D-CF84-41BF-B0D0-435C9EC7B9FE}" name="Column11105"/>
    <tableColumn id="11111" xr3:uid="{A511EF91-5925-479D-AFDF-39379444F68D}" name="Column11106"/>
    <tableColumn id="11112" xr3:uid="{FD77DAD4-7318-41A2-BBE8-BBC3832442C1}" name="Column11107"/>
    <tableColumn id="11113" xr3:uid="{88D304B2-8159-4081-BE97-1A5D5DB129E5}" name="Column11108"/>
    <tableColumn id="11114" xr3:uid="{9C94183D-FFA4-4137-A505-5E71596D201B}" name="Column11109"/>
    <tableColumn id="11115" xr3:uid="{6E81A74C-499C-4DD4-B6E4-810DFCD60AD9}" name="Column11110"/>
    <tableColumn id="11116" xr3:uid="{0B220D33-CB4E-4681-AF6E-528C6BEE7504}" name="Column11111"/>
    <tableColumn id="11117" xr3:uid="{8F6037DE-B307-45CF-A9AF-445C09FA6469}" name="Column11112"/>
    <tableColumn id="11118" xr3:uid="{F7AA4639-52E3-4D6F-856B-8885D7F28075}" name="Column11113"/>
    <tableColumn id="11119" xr3:uid="{C3EE3A72-EF66-4E3C-8B55-33DC05CEC744}" name="Column11114"/>
    <tableColumn id="11120" xr3:uid="{233FE695-9CEC-461F-A927-47E49D13DCB3}" name="Column11115"/>
    <tableColumn id="11121" xr3:uid="{7ABE0379-52AB-48B4-B4EE-2361B9790E53}" name="Column11116"/>
    <tableColumn id="11122" xr3:uid="{58C406DE-B2D0-4D7F-82C6-B76F157523B1}" name="Column11117"/>
    <tableColumn id="11123" xr3:uid="{34C29A8E-3A60-4A6B-A1B8-0043E7CED0A9}" name="Column11118"/>
    <tableColumn id="11124" xr3:uid="{99ECBED0-2C44-43CA-ABF3-84879C97BF8A}" name="Column11119"/>
    <tableColumn id="11125" xr3:uid="{CFEE30DE-53FA-42AB-AE34-530042646EB3}" name="Column11120"/>
    <tableColumn id="11126" xr3:uid="{FF0DBFE3-E4B5-418D-9211-4FCF0BBB7453}" name="Column11121"/>
    <tableColumn id="11127" xr3:uid="{5FEA1B83-DE53-4DFD-8982-6D36830D361D}" name="Column11122"/>
    <tableColumn id="11128" xr3:uid="{5581111E-B0D2-44A3-A6B6-31F70E120900}" name="Column11123"/>
    <tableColumn id="11129" xr3:uid="{B555C53D-F736-4A04-AB2A-BACA3BC73A70}" name="Column11124"/>
    <tableColumn id="11130" xr3:uid="{5ACD0D7C-3231-418C-AC88-5943D6723196}" name="Column11125"/>
    <tableColumn id="11131" xr3:uid="{39F22321-ABAA-4349-9EF1-302053790766}" name="Column11126"/>
    <tableColumn id="11132" xr3:uid="{E5B8CFDB-0547-46B5-BC1C-739F7CCA9296}" name="Column11127"/>
    <tableColumn id="11133" xr3:uid="{E3BF9A31-7B61-4FCF-AF3C-C2AD72A10ACD}" name="Column11128"/>
    <tableColumn id="11134" xr3:uid="{4FC4C6A6-CBFA-4844-8C8D-2D046CDEF12A}" name="Column11129"/>
    <tableColumn id="11135" xr3:uid="{6F4A5A57-BC3D-4EC3-B13B-29D0C1CB5848}" name="Column11130"/>
    <tableColumn id="11136" xr3:uid="{BF618418-7468-4826-96C0-61E54FC84DAC}" name="Column11131"/>
    <tableColumn id="11137" xr3:uid="{767BCAE3-7830-4F30-9D05-78ED22CB4E44}" name="Column11132"/>
    <tableColumn id="11138" xr3:uid="{19975C7A-7811-4F31-81A5-B93779E2D243}" name="Column11133"/>
    <tableColumn id="11139" xr3:uid="{5B32204D-3746-43A2-A1A2-91EB282686EF}" name="Column11134"/>
    <tableColumn id="11140" xr3:uid="{82EF45E4-EC38-43BA-84E7-8A38183B7FEF}" name="Column11135"/>
    <tableColumn id="11141" xr3:uid="{934BD031-F901-4C28-B0E9-8C8D6D2547FC}" name="Column11136"/>
    <tableColumn id="11142" xr3:uid="{698F4BDB-9744-458F-917E-238708AD5E97}" name="Column11137"/>
    <tableColumn id="11143" xr3:uid="{1EC7602B-065E-4498-9B73-1DE3DF493221}" name="Column11138"/>
    <tableColumn id="11144" xr3:uid="{25B5AC05-7771-4F35-922D-BAAF4670758C}" name="Column11139"/>
    <tableColumn id="11145" xr3:uid="{A7A0E844-B17E-43CA-AF24-282EA805432E}" name="Column11140"/>
    <tableColumn id="11146" xr3:uid="{6E1BB343-373F-44FB-8221-4040D8C54E27}" name="Column11141"/>
    <tableColumn id="11147" xr3:uid="{EF1CA6B3-45E9-42D0-9D2E-83F0F5BE1247}" name="Column11142"/>
    <tableColumn id="11148" xr3:uid="{DA09BEF3-B144-4C0A-B43E-DC6D39808805}" name="Column11143"/>
    <tableColumn id="11149" xr3:uid="{2CE8DEDC-1B4A-4A1A-82C3-9BD0CBC94413}" name="Column11144"/>
    <tableColumn id="11150" xr3:uid="{F114A0F2-DE53-412B-8F31-B639D2126D5A}" name="Column11145"/>
    <tableColumn id="11151" xr3:uid="{6E23B3CA-4552-40F7-8BE7-1FC5795B9ADB}" name="Column11146"/>
    <tableColumn id="11152" xr3:uid="{DC4FB7C0-E2CA-4C79-85D6-DE59B9C5D7B9}" name="Column11147"/>
    <tableColumn id="11153" xr3:uid="{1B3AA488-F4F9-48EB-9472-F7CABB136AC4}" name="Column11148"/>
    <tableColumn id="11154" xr3:uid="{A6BE2262-824A-4F12-A8C7-233DCFDCB6C3}" name="Column11149"/>
    <tableColumn id="11155" xr3:uid="{1E92B0D7-6060-44CE-A9B4-86ED3C8F0D6B}" name="Column11150"/>
    <tableColumn id="11156" xr3:uid="{97F6C0A4-ECD0-49F9-9DCB-6A1049E5B1E9}" name="Column11151"/>
    <tableColumn id="11157" xr3:uid="{E34F9AD3-B7A4-43EA-BA0C-0EB5272B652B}" name="Column11152"/>
    <tableColumn id="11158" xr3:uid="{E5EB1C54-F164-473D-97FD-3FEA80605905}" name="Column11153"/>
    <tableColumn id="11159" xr3:uid="{70DED898-85D6-487F-AAC4-3A6C4B67A389}" name="Column11154"/>
    <tableColumn id="11160" xr3:uid="{0C700DB8-F40E-4E72-8ECD-3337C80FF1BB}" name="Column11155"/>
    <tableColumn id="11161" xr3:uid="{895ED8BC-878E-4A75-B8DC-50CB69B4E90C}" name="Column11156"/>
    <tableColumn id="11162" xr3:uid="{BC4A74CE-97F2-4445-BBFD-B910E5BABDF6}" name="Column11157"/>
    <tableColumn id="11163" xr3:uid="{949E8D05-D776-4344-89FF-E5F29CDAF03E}" name="Column11158"/>
    <tableColumn id="11164" xr3:uid="{FECA6947-790B-4CDA-805E-F8B29B194896}" name="Column11159"/>
    <tableColumn id="11165" xr3:uid="{9A4326B5-6226-4C02-B413-0CF3B00EC2A4}" name="Column11160"/>
    <tableColumn id="11166" xr3:uid="{005A6F6F-A373-4F6B-8DFE-973C916B3665}" name="Column11161"/>
    <tableColumn id="11167" xr3:uid="{9CE1E882-7101-4F2C-ACE4-89C76DE17786}" name="Column11162"/>
    <tableColumn id="11168" xr3:uid="{DBEA18D3-18BA-4004-9ABF-933EBDB193A5}" name="Column11163"/>
    <tableColumn id="11169" xr3:uid="{518F6AFB-BF2B-4C8C-8567-6BFEC46F392C}" name="Column11164"/>
    <tableColumn id="11170" xr3:uid="{E808E30A-D954-47FB-9432-4F5901DC930B}" name="Column11165"/>
    <tableColumn id="11171" xr3:uid="{793C3DDA-71C2-4BB8-A595-B6F6D6B27F77}" name="Column11166"/>
    <tableColumn id="11172" xr3:uid="{DFF5FE99-503D-44BE-840B-7FF76F25E4F2}" name="Column11167"/>
    <tableColumn id="11173" xr3:uid="{270FFD86-B4F1-44DF-8B7A-264624947E97}" name="Column11168"/>
    <tableColumn id="11174" xr3:uid="{93A03C01-44FB-4AA5-82B6-4EEB2EB044F1}" name="Column11169"/>
    <tableColumn id="11175" xr3:uid="{56C21852-E316-4F6A-92E0-9ABE1D1B9824}" name="Column11170"/>
    <tableColumn id="11176" xr3:uid="{A5BA96A7-6F91-4085-B081-35450588E23D}" name="Column11171"/>
    <tableColumn id="11177" xr3:uid="{3A052A3F-9B6E-4CAE-BC8A-8C0A315EB155}" name="Column11172"/>
    <tableColumn id="11178" xr3:uid="{D0D7AB87-ACAB-47FC-A914-1C3669C460E4}" name="Column11173"/>
    <tableColumn id="11179" xr3:uid="{12881A0A-38AF-4FDA-BE17-0E06DFD75A18}" name="Column11174"/>
    <tableColumn id="11180" xr3:uid="{75DF6B17-3CA4-420D-B9F3-E07D895C0FCE}" name="Column11175"/>
    <tableColumn id="11181" xr3:uid="{12E87C91-7CAC-40C7-AF07-24BA7F48037B}" name="Column11176"/>
    <tableColumn id="11182" xr3:uid="{3AC7C238-0C60-4564-BA03-3B4F99327D1C}" name="Column11177"/>
    <tableColumn id="11183" xr3:uid="{667B923D-A777-4E8E-A1FF-BDFD7BC672FA}" name="Column11178"/>
    <tableColumn id="11184" xr3:uid="{428F8E34-9E50-4CF8-8D74-24BE52B1842C}" name="Column11179"/>
    <tableColumn id="11185" xr3:uid="{429C6988-BBAE-4FB7-ABA8-ACA001C07DE7}" name="Column11180"/>
    <tableColumn id="11186" xr3:uid="{2DFF4D48-607E-42E7-B77C-9780BC5A2B1F}" name="Column11181"/>
    <tableColumn id="11187" xr3:uid="{6F926537-D6BC-4A24-8B6F-B63E3EE6C4F5}" name="Column11182"/>
    <tableColumn id="11188" xr3:uid="{22956171-D955-42DC-B1A4-CB563205032A}" name="Column11183"/>
    <tableColumn id="11189" xr3:uid="{CB3ADA3D-4E29-4395-8753-A0CB9952F280}" name="Column11184"/>
    <tableColumn id="11190" xr3:uid="{5B02683E-4EBE-440E-AFFE-0DA67B85E007}" name="Column11185"/>
    <tableColumn id="11191" xr3:uid="{A329BCC0-A109-43A8-A929-98FD25AB5AFE}" name="Column11186"/>
    <tableColumn id="11192" xr3:uid="{9CA2DFE5-4441-40A6-9C17-21ED8705AC9A}" name="Column11187"/>
    <tableColumn id="11193" xr3:uid="{C0541BA4-286D-42A2-8B14-CD964EC4894D}" name="Column11188"/>
    <tableColumn id="11194" xr3:uid="{25FBAACB-53D0-432B-A350-0C33178F7A04}" name="Column11189"/>
    <tableColumn id="11195" xr3:uid="{6CE62A23-F28C-47E2-9D80-E732D780084B}" name="Column11190"/>
    <tableColumn id="11196" xr3:uid="{C5960139-33A6-45BA-BEFF-B9BAB58C8D82}" name="Column11191"/>
    <tableColumn id="11197" xr3:uid="{0BCCF770-FC9D-4019-ABD2-7D1866947D18}" name="Column11192"/>
    <tableColumn id="11198" xr3:uid="{A2F228AA-97E7-4DF9-9ED8-B355E183ED9F}" name="Column11193"/>
    <tableColumn id="11199" xr3:uid="{BA60437F-2ED1-418E-9C92-96CE684A0C94}" name="Column11194"/>
    <tableColumn id="11200" xr3:uid="{2039C2B9-A80F-4ECC-A85B-19E2F2616CA9}" name="Column11195"/>
    <tableColumn id="11201" xr3:uid="{59EFD393-2B54-461B-9872-C4A7963EF481}" name="Column11196"/>
    <tableColumn id="11202" xr3:uid="{15F491F2-F616-4184-A86D-7F66CBEDD144}" name="Column11197"/>
    <tableColumn id="11203" xr3:uid="{A55F162E-C6DB-4958-9720-597CFA9221F9}" name="Column11198"/>
    <tableColumn id="11204" xr3:uid="{9DA87573-634A-47BE-A99F-7454A48C2F5F}" name="Column11199"/>
    <tableColumn id="11205" xr3:uid="{5943ECD3-3E10-4A53-81DF-87173BC3BEB4}" name="Column11200"/>
    <tableColumn id="11206" xr3:uid="{DBC3E29F-E442-4F62-A0F9-C7F7546D08CB}" name="Column11201"/>
    <tableColumn id="11207" xr3:uid="{3DBE2CA3-ABB4-4279-8B70-5EA7B372C073}" name="Column11202"/>
    <tableColumn id="11208" xr3:uid="{343D5A5B-4311-4A3F-BCC6-5A6E7E071DCF}" name="Column11203"/>
    <tableColumn id="11209" xr3:uid="{8ACC793F-9E3B-481A-A02B-A9A5D93938AC}" name="Column11204"/>
    <tableColumn id="11210" xr3:uid="{9ACD8DEB-5A29-4EE5-A446-A2C40BC47262}" name="Column11205"/>
    <tableColumn id="11211" xr3:uid="{F4954A1A-CFB3-4B5D-BBB0-91C9D82AA9F2}" name="Column11206"/>
    <tableColumn id="11212" xr3:uid="{B56D9D00-F17D-4427-ABC1-C67FDC807FA6}" name="Column11207"/>
    <tableColumn id="11213" xr3:uid="{6B7E4548-5796-4300-8A0D-AEAF094A51CB}" name="Column11208"/>
    <tableColumn id="11214" xr3:uid="{D23299F4-C4DC-4826-9DEC-322ABB5A6C58}" name="Column11209"/>
    <tableColumn id="11215" xr3:uid="{949E99E8-3AE7-4C03-BDDE-07BE353A4911}" name="Column11210"/>
    <tableColumn id="11216" xr3:uid="{8C7393B3-6F94-4C4C-9369-CC6D7CEEA031}" name="Column11211"/>
    <tableColumn id="11217" xr3:uid="{6017CF45-29AF-4023-8D36-C7121C0F5485}" name="Column11212"/>
    <tableColumn id="11218" xr3:uid="{3BF8AC07-1122-4CBD-84A2-A185D130B7FE}" name="Column11213"/>
    <tableColumn id="11219" xr3:uid="{45482980-5F7F-4122-B355-D66CC605E18F}" name="Column11214"/>
    <tableColumn id="11220" xr3:uid="{2592CC11-C17A-416A-A9A9-13E43E66FC73}" name="Column11215"/>
    <tableColumn id="11221" xr3:uid="{F9987B83-F7D2-4DBB-B8F2-2E01AA7368FB}" name="Column11216"/>
    <tableColumn id="11222" xr3:uid="{AC3AB83B-3713-43A4-A861-E93EC39C65E0}" name="Column11217"/>
    <tableColumn id="11223" xr3:uid="{7884B5C7-60DF-4AD2-BD6F-19839656051B}" name="Column11218"/>
    <tableColumn id="11224" xr3:uid="{C731EAE6-CB77-47EA-8415-6A94ED0F4CC4}" name="Column11219"/>
    <tableColumn id="11225" xr3:uid="{4C16A6D7-505F-49CA-83C3-3626EED2349B}" name="Column11220"/>
    <tableColumn id="11226" xr3:uid="{7894613F-FC62-4105-B219-5DD5128EDFF8}" name="Column11221"/>
    <tableColumn id="11227" xr3:uid="{1FEA3D49-368C-44D9-8FCF-F6139199C6A4}" name="Column11222"/>
    <tableColumn id="11228" xr3:uid="{441A34DF-95B3-4EEF-8B6D-9B2A8C11C642}" name="Column11223"/>
    <tableColumn id="11229" xr3:uid="{3322F817-AC93-471F-9BB1-2368CD949429}" name="Column11224"/>
    <tableColumn id="11230" xr3:uid="{38DF6EA2-5506-47A6-A6C7-E198241B6BFB}" name="Column11225"/>
    <tableColumn id="11231" xr3:uid="{F9508B9A-DDEA-4DA6-8A25-140C87E2CB5D}" name="Column11226"/>
    <tableColumn id="11232" xr3:uid="{19385E3F-A20D-4A66-AAFC-B736627C9D7B}" name="Column11227"/>
    <tableColumn id="11233" xr3:uid="{E91CF775-E0C4-4F64-A924-3FD390379ABF}" name="Column11228"/>
    <tableColumn id="11234" xr3:uid="{6C162D3C-ECB3-4014-84F5-79536F7B8EF9}" name="Column11229"/>
    <tableColumn id="11235" xr3:uid="{DB672D3B-3AF2-467B-AC2A-E4AE0DA21FAB}" name="Column11230"/>
    <tableColumn id="11236" xr3:uid="{B6ED42C7-4202-4A90-B059-7DD280D6D69A}" name="Column11231"/>
    <tableColumn id="11237" xr3:uid="{6F7A2711-CFB3-4DA6-804E-B92D3E1BBFE8}" name="Column11232"/>
    <tableColumn id="11238" xr3:uid="{726BE717-84EB-4EE4-9B53-F26DDC701F80}" name="Column11233"/>
    <tableColumn id="11239" xr3:uid="{8FF4937C-B310-4735-B4BD-37148885CAA8}" name="Column11234"/>
    <tableColumn id="11240" xr3:uid="{042F9EF3-2A2B-443B-9045-D11A7F6FEAF7}" name="Column11235"/>
    <tableColumn id="11241" xr3:uid="{D519FBB6-C28A-4282-8D49-DCC0979C2A17}" name="Column11236"/>
    <tableColumn id="11242" xr3:uid="{84C62621-DA25-4805-8C59-D719F67F1223}" name="Column11237"/>
    <tableColumn id="11243" xr3:uid="{F0439A56-F386-444B-A57E-C822A41E5E16}" name="Column11238"/>
    <tableColumn id="11244" xr3:uid="{FB1F80C6-E50D-4378-94FB-1AF0BDEEBF96}" name="Column11239"/>
    <tableColumn id="11245" xr3:uid="{ABC4AF01-5782-486D-A39F-DA125EAEFB58}" name="Column11240"/>
    <tableColumn id="11246" xr3:uid="{183D2724-24C5-4681-8027-B39395AC825B}" name="Column11241"/>
    <tableColumn id="11247" xr3:uid="{B846E092-3005-4495-981E-F12FAB331096}" name="Column11242"/>
    <tableColumn id="11248" xr3:uid="{72D06386-7BFD-4037-A4EE-20A1FD7F575E}" name="Column11243"/>
    <tableColumn id="11249" xr3:uid="{947E0B86-B2BE-4DBE-8A63-3FA6CE707702}" name="Column11244"/>
    <tableColumn id="11250" xr3:uid="{122843EA-75E0-48E2-9ABC-52D800134336}" name="Column11245"/>
    <tableColumn id="11251" xr3:uid="{3FCF90EA-62A9-4962-B1EC-1763ED93A123}" name="Column11246"/>
    <tableColumn id="11252" xr3:uid="{DA2B87C8-5106-4C4F-B4BC-952A7BD02141}" name="Column11247"/>
    <tableColumn id="11253" xr3:uid="{23176531-C41F-4E0B-82FB-956B4A73A5C2}" name="Column11248"/>
    <tableColumn id="11254" xr3:uid="{E921B4CD-3B14-4795-8DEC-DA7B3410E61A}" name="Column11249"/>
    <tableColumn id="11255" xr3:uid="{2036A376-2CE8-41B5-9C13-F4409277F205}" name="Column11250"/>
    <tableColumn id="11256" xr3:uid="{DA60ADDE-5273-4D2D-8F1D-C6BDBC933900}" name="Column11251"/>
    <tableColumn id="11257" xr3:uid="{C5B11C15-92D6-458E-8849-F5A31736F4E8}" name="Column11252"/>
    <tableColumn id="11258" xr3:uid="{A3627DD6-BF8A-4E1B-8644-D468894CE1C5}" name="Column11253"/>
    <tableColumn id="11259" xr3:uid="{E6872CB8-CA47-4B91-B3A0-1DE95B6EFA49}" name="Column11254"/>
    <tableColumn id="11260" xr3:uid="{361120EB-B0E3-429F-87E9-857942A67711}" name="Column11255"/>
    <tableColumn id="11261" xr3:uid="{16F05590-5B05-45DF-AB35-D3FAA3C3C045}" name="Column11256"/>
    <tableColumn id="11262" xr3:uid="{00418CF8-F979-40B6-AF26-568A0244FF99}" name="Column11257"/>
    <tableColumn id="11263" xr3:uid="{4E12E4DA-0D76-49AA-A4BA-ABE6E5D449B4}" name="Column11258"/>
    <tableColumn id="11264" xr3:uid="{C9AC30AA-7C97-41E3-8148-29BB2C662025}" name="Column11259"/>
    <tableColumn id="11265" xr3:uid="{F93327E2-2832-4950-BD6A-B2969A8639CB}" name="Column11260"/>
    <tableColumn id="11266" xr3:uid="{F00DA9DA-4287-4C89-AEB7-53C68B19D186}" name="Column11261"/>
    <tableColumn id="11267" xr3:uid="{BF1AF9CE-C67C-4633-A91B-CCE35B0B8323}" name="Column11262"/>
    <tableColumn id="11268" xr3:uid="{81967940-77F0-45BE-886C-67CBF3D63CE3}" name="Column11263"/>
    <tableColumn id="11269" xr3:uid="{311D30E5-E965-4320-B3A1-1B750DD2A1A2}" name="Column11264"/>
    <tableColumn id="11270" xr3:uid="{A728B727-266E-4FCA-8619-3F4E90BE918C}" name="Column11265"/>
    <tableColumn id="11271" xr3:uid="{70BB64F3-E9F3-4B2D-9DB4-C32DD3E013D7}" name="Column11266"/>
    <tableColumn id="11272" xr3:uid="{61296A3B-DCFF-4B0D-980F-BB6891E57590}" name="Column11267"/>
    <tableColumn id="11273" xr3:uid="{4356647C-9A82-42CC-85F2-6488CE024D2B}" name="Column11268"/>
    <tableColumn id="11274" xr3:uid="{6A481226-19EA-419A-B241-0CEC5A0B823B}" name="Column11269"/>
    <tableColumn id="11275" xr3:uid="{D139EC55-9911-4366-9F5A-2919EAC57B07}" name="Column11270"/>
    <tableColumn id="11276" xr3:uid="{19682C22-A733-4D41-A995-9B7567B72B91}" name="Column11271"/>
    <tableColumn id="11277" xr3:uid="{FD457C90-FC7B-4D19-B8AC-CED7E8A0ED6C}" name="Column11272"/>
    <tableColumn id="11278" xr3:uid="{7BA8F5AE-0D93-4863-8D3D-CE1561CC0D63}" name="Column11273"/>
    <tableColumn id="11279" xr3:uid="{53794197-352F-47ED-9968-090F101D73C9}" name="Column11274"/>
    <tableColumn id="11280" xr3:uid="{12EA16E1-78DC-4746-A263-24A279E0B5CF}" name="Column11275"/>
    <tableColumn id="11281" xr3:uid="{A7B00D28-CD09-4724-825F-DEBF8727C37D}" name="Column11276"/>
    <tableColumn id="11282" xr3:uid="{841B3330-DDEA-4F99-9191-E786AC607D7F}" name="Column11277"/>
    <tableColumn id="11283" xr3:uid="{958D34AD-2319-46E3-A314-7FC02394F643}" name="Column11278"/>
    <tableColumn id="11284" xr3:uid="{6013C483-4FA7-4835-83CC-D9ABAF82B7EE}" name="Column11279"/>
    <tableColumn id="11285" xr3:uid="{05FE5EFD-82D2-49BB-8F5D-689D50EB24E2}" name="Column11280"/>
    <tableColumn id="11286" xr3:uid="{BEF33BC9-122C-44A3-A555-B06FD7592FB9}" name="Column11281"/>
    <tableColumn id="11287" xr3:uid="{F9ED6B5E-9B0F-47B8-9FFD-A0DDB6BFA826}" name="Column11282"/>
    <tableColumn id="11288" xr3:uid="{8CBE5D9C-B934-4006-A27B-5033616CBD0B}" name="Column11283"/>
    <tableColumn id="11289" xr3:uid="{7119192D-07EC-4E5B-9DBF-0726617DCE42}" name="Column11284"/>
    <tableColumn id="11290" xr3:uid="{570F4921-D012-488B-B29C-AA45221B7553}" name="Column11285"/>
    <tableColumn id="11291" xr3:uid="{F08FF255-74BD-4557-90D5-F1865325DC7A}" name="Column11286"/>
    <tableColumn id="11292" xr3:uid="{706DF747-658F-4431-84EB-523C61FA351E}" name="Column11287"/>
    <tableColumn id="11293" xr3:uid="{6A098CFB-9ACD-4773-A4C5-45F34CD6208B}" name="Column11288"/>
    <tableColumn id="11294" xr3:uid="{E4AA4649-8DF0-4213-AE48-73856076FB53}" name="Column11289"/>
    <tableColumn id="11295" xr3:uid="{BA0751E8-5F8B-411E-B745-CB83B96CA1B1}" name="Column11290"/>
    <tableColumn id="11296" xr3:uid="{756F72B4-60E9-4DF6-912E-E18BF6AE1C51}" name="Column11291"/>
    <tableColumn id="11297" xr3:uid="{EA79917C-FB7F-46BD-BAA0-3EA96ADB6696}" name="Column11292"/>
    <tableColumn id="11298" xr3:uid="{428B9220-65EF-45BD-85BE-F3BE9A2FB953}" name="Column11293"/>
    <tableColumn id="11299" xr3:uid="{DFFEB6CA-8375-4A4E-8903-D0AC92F5071A}" name="Column11294"/>
    <tableColumn id="11300" xr3:uid="{4FA011D8-A6DB-42F9-AC16-5C0B9E6C85F4}" name="Column11295"/>
    <tableColumn id="11301" xr3:uid="{15273A5E-D428-48A6-A9D2-5518C978B28E}" name="Column11296"/>
    <tableColumn id="11302" xr3:uid="{76401EE5-5948-4813-A9CF-1C6911A1A6E4}" name="Column11297"/>
    <tableColumn id="11303" xr3:uid="{FC1DB428-AE16-4881-9A38-FE0A59822E19}" name="Column11298"/>
    <tableColumn id="11304" xr3:uid="{5F6CB9AA-126B-4F76-B514-6D856219856F}" name="Column11299"/>
    <tableColumn id="11305" xr3:uid="{63C4A38F-DA48-4026-A8B5-39E220CEE0DC}" name="Column11300"/>
    <tableColumn id="11306" xr3:uid="{099070F3-E62E-4E43-9607-CD7C365D0A74}" name="Column11301"/>
    <tableColumn id="11307" xr3:uid="{4D78E806-5BDA-4767-A530-155C1F4085EB}" name="Column11302"/>
    <tableColumn id="11308" xr3:uid="{F950B298-BF2C-44AD-A193-52C685F80490}" name="Column11303"/>
    <tableColumn id="11309" xr3:uid="{8D93E415-6143-4BD3-A025-DB54BEB68475}" name="Column11304"/>
    <tableColumn id="11310" xr3:uid="{567888A7-D827-4BBE-A722-0F86006026E3}" name="Column11305"/>
    <tableColumn id="11311" xr3:uid="{542F3583-4868-4CB6-8DAB-07043DA4CE14}" name="Column11306"/>
    <tableColumn id="11312" xr3:uid="{ED0F4C9F-136A-40C8-8699-316C4F598633}" name="Column11307"/>
    <tableColumn id="11313" xr3:uid="{8A49C9E0-13D4-4F49-8BDA-26842381D06F}" name="Column11308"/>
    <tableColumn id="11314" xr3:uid="{2CEE9708-6BB2-4727-B894-41A3EF459A82}" name="Column11309"/>
    <tableColumn id="11315" xr3:uid="{A863929C-8D68-4202-89B7-91C8E08B38AF}" name="Column11310"/>
    <tableColumn id="11316" xr3:uid="{8A51DACE-A53B-4917-AD01-AB7E1AE5C24F}" name="Column11311"/>
    <tableColumn id="11317" xr3:uid="{719A2B82-494C-4E5C-BE29-847AAD4522F6}" name="Column11312"/>
    <tableColumn id="11318" xr3:uid="{A4EC0491-6BB8-456C-BBBE-533D9B5CFFC2}" name="Column11313"/>
    <tableColumn id="11319" xr3:uid="{DCDE0894-1DDE-4829-97B9-D465CAA2DEAA}" name="Column11314"/>
    <tableColumn id="11320" xr3:uid="{61EF1CFF-CA69-48BC-BBF7-3E62407790E4}" name="Column11315"/>
    <tableColumn id="11321" xr3:uid="{A0FB9B02-ECB2-4419-91C6-E52B6545BB0C}" name="Column11316"/>
    <tableColumn id="11322" xr3:uid="{0E50E657-6CD1-4E5E-8480-48B4C40B02A3}" name="Column11317"/>
    <tableColumn id="11323" xr3:uid="{7A302366-779A-4FCC-92B3-EEF4449CB43C}" name="Column11318"/>
    <tableColumn id="11324" xr3:uid="{5AF8EA34-CF10-4220-A44A-F0D949AAA01F}" name="Column11319"/>
    <tableColumn id="11325" xr3:uid="{D32D5BB4-C1B4-4D48-99A8-5EF11DF0A81D}" name="Column11320"/>
    <tableColumn id="11326" xr3:uid="{F2DD69E6-16FA-467E-BAE6-BF5CB659A777}" name="Column11321"/>
    <tableColumn id="11327" xr3:uid="{012FD373-16ED-4D77-BB2F-10B31D123957}" name="Column11322"/>
    <tableColumn id="11328" xr3:uid="{C722FB1B-B92D-400F-B674-F5BE56DD05B8}" name="Column11323"/>
    <tableColumn id="11329" xr3:uid="{34FE1274-F3B9-4D7A-9F69-A0B980B8EC96}" name="Column11324"/>
    <tableColumn id="11330" xr3:uid="{43FEE075-259F-486D-BB78-A1AE727949EE}" name="Column11325"/>
    <tableColumn id="11331" xr3:uid="{A64E4915-94C1-4F58-83DC-FB05893B8D08}" name="Column11326"/>
    <tableColumn id="11332" xr3:uid="{8D8B9746-F333-4095-A2AB-7CA4CADF1F7F}" name="Column11327"/>
    <tableColumn id="11333" xr3:uid="{91F7A593-23F0-4248-AE3A-ABACB675A892}" name="Column11328"/>
    <tableColumn id="11334" xr3:uid="{450BD03E-7B2A-4FAB-A3B5-138D58D0C95F}" name="Column11329"/>
    <tableColumn id="11335" xr3:uid="{2DD0C55E-D576-4FE2-9A1D-0BA02129C93C}" name="Column11330"/>
    <tableColumn id="11336" xr3:uid="{445728F5-D93A-4217-BA11-2DFA513011E8}" name="Column11331"/>
    <tableColumn id="11337" xr3:uid="{DB788AF4-82E2-4705-BB54-33ED2297972A}" name="Column11332"/>
    <tableColumn id="11338" xr3:uid="{BE8CAE5C-8757-467A-B3AF-AA98C8DAF138}" name="Column11333"/>
    <tableColumn id="11339" xr3:uid="{C272A11D-0675-442F-AB8A-6C48B2B5B4DD}" name="Column11334"/>
    <tableColumn id="11340" xr3:uid="{FBE8DFB7-76DA-47A2-B8CA-7F294A86DE53}" name="Column11335"/>
    <tableColumn id="11341" xr3:uid="{D40A8643-B6C8-4442-AB26-B0979349807C}" name="Column11336"/>
    <tableColumn id="11342" xr3:uid="{B2A7DCD8-0CD6-47B2-BB2D-AE478C9BA2B0}" name="Column11337"/>
    <tableColumn id="11343" xr3:uid="{000A6E11-BE14-45A7-AEB2-F575ABA5D562}" name="Column11338"/>
    <tableColumn id="11344" xr3:uid="{0C6D26AE-070E-42AD-B549-FC68160EB349}" name="Column11339"/>
    <tableColumn id="11345" xr3:uid="{6DA0595F-E1C7-465A-9444-A34E3DCD1358}" name="Column11340"/>
    <tableColumn id="11346" xr3:uid="{C75B2635-83F2-4971-9F45-FE050652D173}" name="Column11341"/>
    <tableColumn id="11347" xr3:uid="{DE5C0E2D-2379-49B7-A299-ABCD8FE39A5A}" name="Column11342"/>
    <tableColumn id="11348" xr3:uid="{7B0EC26C-DD67-47F3-9303-BC5B4CED8FF3}" name="Column11343"/>
    <tableColumn id="11349" xr3:uid="{7519F9B9-9AA5-486E-87A8-68A86FD2BF3E}" name="Column11344"/>
    <tableColumn id="11350" xr3:uid="{18624C0B-18E4-43AD-B348-5B0D7DE08301}" name="Column11345"/>
    <tableColumn id="11351" xr3:uid="{A41A0D0B-CE71-4307-A09B-EA352D9C5B33}" name="Column11346"/>
    <tableColumn id="11352" xr3:uid="{08D49467-216F-43D9-A7A5-D689B9B41A75}" name="Column11347"/>
    <tableColumn id="11353" xr3:uid="{FCF83B37-863C-4B11-9B15-DAC69E11D45A}" name="Column11348"/>
    <tableColumn id="11354" xr3:uid="{438283AA-27F4-41E6-B80D-527736084E9A}" name="Column11349"/>
    <tableColumn id="11355" xr3:uid="{692A7EAF-6B34-4D42-B498-383CFCFA8882}" name="Column11350"/>
    <tableColumn id="11356" xr3:uid="{BACB1AAC-12C3-4F7E-8477-CB0A58A55EDC}" name="Column11351"/>
    <tableColumn id="11357" xr3:uid="{F034D73B-E175-4034-8BBC-2F4101C4CEFB}" name="Column11352"/>
    <tableColumn id="11358" xr3:uid="{BB4D7806-2D18-4605-812A-4948A9D49CEE}" name="Column11353"/>
    <tableColumn id="11359" xr3:uid="{DEF69A8A-FB3C-4B16-A424-538EEE653A88}" name="Column11354"/>
    <tableColumn id="11360" xr3:uid="{5793FB9B-7596-4579-9899-8051EA2BC3FB}" name="Column11355"/>
    <tableColumn id="11361" xr3:uid="{090708FC-D88E-4CCF-A1FC-1F465B65E87C}" name="Column11356"/>
    <tableColumn id="11362" xr3:uid="{8D381A55-2350-4B16-BF68-D33D2824E685}" name="Column11357"/>
    <tableColumn id="11363" xr3:uid="{95F72A67-8AA5-44E2-A4F6-7D640B37D102}" name="Column11358"/>
    <tableColumn id="11364" xr3:uid="{430C5A99-FAAD-439F-9F6F-6F865E1C4EFF}" name="Column11359"/>
    <tableColumn id="11365" xr3:uid="{EEA74E4C-2EDA-4E89-9AC0-B68C2C206473}" name="Column11360"/>
    <tableColumn id="11366" xr3:uid="{DC83EDC8-41AD-4392-8FE9-BFC78A7A26E8}" name="Column11361"/>
    <tableColumn id="11367" xr3:uid="{5008E1A5-4571-48EC-9CA5-2B617D3EA501}" name="Column11362"/>
    <tableColumn id="11368" xr3:uid="{774B754B-75E7-4F68-AF5A-6314D4A50680}" name="Column11363"/>
    <tableColumn id="11369" xr3:uid="{42137265-6ADA-4359-B56E-E7A70B747854}" name="Column11364"/>
    <tableColumn id="11370" xr3:uid="{DEF7885E-4F69-4F59-8C79-F1EC51ACF2A6}" name="Column11365"/>
    <tableColumn id="11371" xr3:uid="{FAA45A2E-C53A-4FEF-BB0B-1027435CFC85}" name="Column11366"/>
    <tableColumn id="11372" xr3:uid="{EBF68A06-5037-44B9-86D5-2B5AF6E5D96A}" name="Column11367"/>
    <tableColumn id="11373" xr3:uid="{0E84FF0C-7098-44A9-B008-9543CDC6FCCB}" name="Column11368"/>
    <tableColumn id="11374" xr3:uid="{3D217DC6-110D-4948-B50F-E0E43E39E25F}" name="Column11369"/>
    <tableColumn id="11375" xr3:uid="{4F88568E-BE93-4864-A8F9-5FD804EBF4E1}" name="Column11370"/>
    <tableColumn id="11376" xr3:uid="{42F1FB14-0CF6-41B6-B1DC-5C790BCABF73}" name="Column11371"/>
    <tableColumn id="11377" xr3:uid="{6BEB8E40-FFCE-4940-88A1-1DDC2587B898}" name="Column11372"/>
    <tableColumn id="11378" xr3:uid="{0E45CC0C-1CD9-4B2A-9C93-8515B4C852FF}" name="Column11373"/>
    <tableColumn id="11379" xr3:uid="{8ED5C42C-9155-4E03-8032-4B68198FB314}" name="Column11374"/>
    <tableColumn id="11380" xr3:uid="{039EDFEE-0665-42A1-AD74-BA17EE5C1170}" name="Column11375"/>
    <tableColumn id="11381" xr3:uid="{978A9A80-FDAB-4F31-97D1-EC38B948205E}" name="Column11376"/>
    <tableColumn id="11382" xr3:uid="{451B476B-CE98-4B90-B531-E5B3B8E34A32}" name="Column11377"/>
    <tableColumn id="11383" xr3:uid="{93325D8A-99C8-4D29-9F93-75ABA031534E}" name="Column11378"/>
    <tableColumn id="11384" xr3:uid="{AA0659EB-50F9-4DBD-A880-5EB4AA7A17FB}" name="Column11379"/>
    <tableColumn id="11385" xr3:uid="{687FE929-2961-4B8A-9499-2E987A614B7E}" name="Column11380"/>
    <tableColumn id="11386" xr3:uid="{DE97AE98-320C-48BB-8730-DD860142E969}" name="Column11381"/>
    <tableColumn id="11387" xr3:uid="{B773BF3D-02D6-45B5-A4C6-A434B04DCB2F}" name="Column11382"/>
    <tableColumn id="11388" xr3:uid="{CF310D08-A6FA-435D-B72F-EE7ACB5D7CB5}" name="Column11383"/>
    <tableColumn id="11389" xr3:uid="{FBAF90F6-FBC4-4A27-BD92-03BB47E50583}" name="Column11384"/>
    <tableColumn id="11390" xr3:uid="{81E9F113-2A57-4D3D-91EE-61735A2F8D69}" name="Column11385"/>
    <tableColumn id="11391" xr3:uid="{625A1BE1-5340-4920-9E9E-3E02DA3B8DCF}" name="Column11386"/>
    <tableColumn id="11392" xr3:uid="{8511B34F-F00B-4264-B8CD-2483DBB42EDD}" name="Column11387"/>
    <tableColumn id="11393" xr3:uid="{8B26410D-43E0-4F91-908A-785D92A1E057}" name="Column11388"/>
    <tableColumn id="11394" xr3:uid="{286AB94D-D2E6-461B-965E-B8BE92664B03}" name="Column11389"/>
    <tableColumn id="11395" xr3:uid="{D64D05A3-B9D0-4254-95F0-503BC91E623C}" name="Column11390"/>
    <tableColumn id="11396" xr3:uid="{99C624BA-97F0-42B6-949D-FE3F867C1481}" name="Column11391"/>
    <tableColumn id="11397" xr3:uid="{50B58DBC-C389-4E27-90B8-8FE3A436811A}" name="Column11392"/>
    <tableColumn id="11398" xr3:uid="{4A53C219-A882-4FA7-A9D2-C48585BBC739}" name="Column11393"/>
    <tableColumn id="11399" xr3:uid="{375A3589-AA7C-40E4-8623-41742200C81D}" name="Column11394"/>
    <tableColumn id="11400" xr3:uid="{1D58BD5E-AC73-47E4-8232-C6E787E0AFB6}" name="Column11395"/>
    <tableColumn id="11401" xr3:uid="{465C78A9-AC7C-4B77-B0E9-F6568AB36327}" name="Column11396"/>
    <tableColumn id="11402" xr3:uid="{6C02C919-E579-4E0A-88BB-99CD0FC14F2A}" name="Column11397"/>
    <tableColumn id="11403" xr3:uid="{68424FF8-410C-4680-9557-57F15A1A2916}" name="Column11398"/>
    <tableColumn id="11404" xr3:uid="{E5F7187D-73BF-476A-8422-FBACEA1FF007}" name="Column11399"/>
    <tableColumn id="11405" xr3:uid="{E23300C5-CCD4-422B-9073-C1FC94D94CBB}" name="Column11400"/>
    <tableColumn id="11406" xr3:uid="{77A2FAEA-070B-4170-92E5-332E758AA70B}" name="Column11401"/>
    <tableColumn id="11407" xr3:uid="{09F551F6-39E6-4CEF-A89A-BFAA7EDABE80}" name="Column11402"/>
    <tableColumn id="11408" xr3:uid="{31465FB1-3C8A-44CB-B946-2F74D9B254EB}" name="Column11403"/>
    <tableColumn id="11409" xr3:uid="{52FE161D-713A-465D-B24E-EEE7B04D78A2}" name="Column11404"/>
    <tableColumn id="11410" xr3:uid="{C21D9BFD-2830-40C9-92FC-69AC039771B8}" name="Column11405"/>
    <tableColumn id="11411" xr3:uid="{EAB3A743-5F29-463F-AFC8-9245550E3234}" name="Column11406"/>
    <tableColumn id="11412" xr3:uid="{72868D5D-3CE3-4709-A021-D2393E9FE578}" name="Column11407"/>
    <tableColumn id="11413" xr3:uid="{2E5EF292-CFD4-40FA-B1E4-3F3B15FCAB55}" name="Column11408"/>
    <tableColumn id="11414" xr3:uid="{B8C0DF1D-692D-4AEB-B410-15A48902DE43}" name="Column11409"/>
    <tableColumn id="11415" xr3:uid="{6F5084DB-D4E8-43BE-80BB-0D60B98E5FB9}" name="Column11410"/>
    <tableColumn id="11416" xr3:uid="{3AED3B85-39C1-4168-AD77-C75C235E87CA}" name="Column11411"/>
    <tableColumn id="11417" xr3:uid="{E8C10A23-B9AA-4D0E-A590-F60D0DEA705C}" name="Column11412"/>
    <tableColumn id="11418" xr3:uid="{43F14227-129C-4A59-8D26-784433B72876}" name="Column11413"/>
    <tableColumn id="11419" xr3:uid="{3B621B15-FC49-4B91-92B4-A08E1CAF8BC0}" name="Column11414"/>
    <tableColumn id="11420" xr3:uid="{207FC34B-9128-4083-A0F9-8A3FBB53337D}" name="Column11415"/>
    <tableColumn id="11421" xr3:uid="{8A704D89-89CF-4BF6-B8A6-FFCECBBDE5BA}" name="Column11416"/>
    <tableColumn id="11422" xr3:uid="{004EF55A-CE57-4018-9092-86E11B44972C}" name="Column11417"/>
    <tableColumn id="11423" xr3:uid="{2BA8AE07-7966-4A2B-98C1-3094C82FF009}" name="Column11418"/>
    <tableColumn id="11424" xr3:uid="{3C2C87B1-5FB4-4C67-83B0-753407446858}" name="Column11419"/>
    <tableColumn id="11425" xr3:uid="{4E386083-4ACF-4533-B5FE-C61A5AA37FE9}" name="Column11420"/>
    <tableColumn id="11426" xr3:uid="{73AC6BD4-F6B1-42C9-9164-26A2EF43F49B}" name="Column11421"/>
    <tableColumn id="11427" xr3:uid="{4DCC92AC-90B8-476E-9046-049906429A95}" name="Column11422"/>
    <tableColumn id="11428" xr3:uid="{A8272167-E00B-40B4-AEB3-8E0B0C572964}" name="Column11423"/>
    <tableColumn id="11429" xr3:uid="{91A9591E-DAEF-4173-B24C-D74394C5AFC5}" name="Column11424"/>
    <tableColumn id="11430" xr3:uid="{FE7025E2-3869-4C4B-B7B0-471991BBBDF7}" name="Column11425"/>
    <tableColumn id="11431" xr3:uid="{74E91857-4D4F-4DB9-932B-DF464C1FE96E}" name="Column11426"/>
    <tableColumn id="11432" xr3:uid="{10AE4DF9-D3AF-4986-98C2-5D7950866D5C}" name="Column11427"/>
    <tableColumn id="11433" xr3:uid="{9D8BC701-B825-4A7A-8E38-695AA1954668}" name="Column11428"/>
    <tableColumn id="11434" xr3:uid="{A5719046-D757-4C49-B1A0-24C3C00A393F}" name="Column11429"/>
    <tableColumn id="11435" xr3:uid="{7D9E7CE1-1D1B-4C92-A533-37E3863AF436}" name="Column11430"/>
    <tableColumn id="11436" xr3:uid="{1CD0FC1B-E522-4223-8504-9C50CDC297B7}" name="Column11431"/>
    <tableColumn id="11437" xr3:uid="{7DA4F263-8597-4EFA-8A0F-2E439F6FF239}" name="Column11432"/>
    <tableColumn id="11438" xr3:uid="{02D6D35B-F124-43E7-AE63-D59336478117}" name="Column11433"/>
    <tableColumn id="11439" xr3:uid="{CCB7B84D-88BC-45FC-B024-C9A47996BDB0}" name="Column11434"/>
    <tableColumn id="11440" xr3:uid="{B444644D-7010-4B24-B739-F5A6B8723F20}" name="Column11435"/>
    <tableColumn id="11441" xr3:uid="{266CA814-1EA8-41A8-9FBB-18DB7322D81B}" name="Column11436"/>
    <tableColumn id="11442" xr3:uid="{1CE0E3B5-E5C8-4952-A06F-3FD879C72428}" name="Column11437"/>
    <tableColumn id="11443" xr3:uid="{AB76D5C2-7386-420E-AB93-2AC3D5386ED1}" name="Column11438"/>
    <tableColumn id="11444" xr3:uid="{8E3A0B09-32CB-4563-8A36-FF6278F6984F}" name="Column11439"/>
    <tableColumn id="11445" xr3:uid="{F4FCCC20-98A5-45A3-94C2-9FA020336826}" name="Column11440"/>
    <tableColumn id="11446" xr3:uid="{FB49A1F6-D7E0-4F4D-970B-648E3FA5A330}" name="Column11441"/>
    <tableColumn id="11447" xr3:uid="{5769C049-B378-495B-A36F-2892C81AF4A6}" name="Column11442"/>
    <tableColumn id="11448" xr3:uid="{4D03FF14-8176-44D7-9B42-BB132F9B6C8C}" name="Column11443"/>
    <tableColumn id="11449" xr3:uid="{4798B2B0-3539-42D3-A30A-28869DD4EC73}" name="Column11444"/>
    <tableColumn id="11450" xr3:uid="{1EF12BFF-5B7D-4EC4-9F14-D8684B81E16E}" name="Column11445"/>
    <tableColumn id="11451" xr3:uid="{2A0723C0-6CF5-42B7-8D2A-B4F8EEE63E9D}" name="Column11446"/>
    <tableColumn id="11452" xr3:uid="{434C3F5E-1EBC-441C-B460-A231F2EADF49}" name="Column11447"/>
    <tableColumn id="11453" xr3:uid="{BC3E6ED9-27E3-4682-8399-F393AD694917}" name="Column11448"/>
    <tableColumn id="11454" xr3:uid="{DBB29587-9468-46F1-8B96-FF54B96D117F}" name="Column11449"/>
    <tableColumn id="11455" xr3:uid="{A894820B-6605-4249-922D-A83E2ACE6CC2}" name="Column11450"/>
    <tableColumn id="11456" xr3:uid="{1E17F8C7-0C31-4A71-959A-982E7C9FBAC7}" name="Column11451"/>
    <tableColumn id="11457" xr3:uid="{04C5C119-83D2-4CA6-88B8-5D4C558F44B7}" name="Column11452"/>
    <tableColumn id="11458" xr3:uid="{0FB7B064-CC15-4066-8821-84EB658E3261}" name="Column11453"/>
    <tableColumn id="11459" xr3:uid="{0E2252B3-8101-4D7D-87F0-43197A8887D4}" name="Column11454"/>
    <tableColumn id="11460" xr3:uid="{0965C889-E522-4F3D-B594-7CB2E2F61B80}" name="Column11455"/>
    <tableColumn id="11461" xr3:uid="{1100E181-7B7B-4DF9-ABB2-24B46DD6B744}" name="Column11456"/>
    <tableColumn id="11462" xr3:uid="{53B66C0F-0716-4F54-AAC2-7C05A2609FA1}" name="Column11457"/>
    <tableColumn id="11463" xr3:uid="{F675136F-CDB9-4105-91A2-913D45AEB4F0}" name="Column11458"/>
    <tableColumn id="11464" xr3:uid="{1919168C-8C6B-4C3A-A0A5-C6E63D0995BF}" name="Column11459"/>
    <tableColumn id="11465" xr3:uid="{12394931-4E33-4C09-9554-D702E781B888}" name="Column11460"/>
    <tableColumn id="11466" xr3:uid="{8A0F38B1-84D8-4DF0-83BA-2E675F9F2022}" name="Column11461"/>
    <tableColumn id="11467" xr3:uid="{6D137D95-F75F-440A-B342-34137E4CC85B}" name="Column11462"/>
    <tableColumn id="11468" xr3:uid="{445581F2-DADD-440A-A659-8B2AB3EDFB3C}" name="Column11463"/>
    <tableColumn id="11469" xr3:uid="{59486E33-9E20-4C4F-8342-0473394AA13B}" name="Column11464"/>
    <tableColumn id="11470" xr3:uid="{79949974-58AF-403C-BE54-D5577306A345}" name="Column11465"/>
    <tableColumn id="11471" xr3:uid="{B139A7E7-0F22-49DA-B213-AC6A0F2D2F0A}" name="Column11466"/>
    <tableColumn id="11472" xr3:uid="{59AE4FD7-C728-4BDD-8D45-04D197E4EB36}" name="Column11467"/>
    <tableColumn id="11473" xr3:uid="{98051D34-E621-4505-82DF-B4B18D2613CB}" name="Column11468"/>
    <tableColumn id="11474" xr3:uid="{A118397C-A7F4-49D7-9F21-6486D51C71D1}" name="Column11469"/>
    <tableColumn id="11475" xr3:uid="{CB071B58-6857-4440-9378-35ECB6F6FB32}" name="Column11470"/>
    <tableColumn id="11476" xr3:uid="{13B47AD8-0ED0-4039-8244-8D4F9A9D9E66}" name="Column11471"/>
    <tableColumn id="11477" xr3:uid="{5224FBF1-8B91-46F8-956C-5F6E4B3827B8}" name="Column11472"/>
    <tableColumn id="11478" xr3:uid="{1F9C500E-C429-4FB3-9C83-078525E8D6E8}" name="Column11473"/>
    <tableColumn id="11479" xr3:uid="{FDED58B5-63B8-40A6-B66C-C663C4C9564B}" name="Column11474"/>
    <tableColumn id="11480" xr3:uid="{4CF0F425-006A-4C60-A200-64277F121C7E}" name="Column11475"/>
    <tableColumn id="11481" xr3:uid="{4DB130FF-F74F-4750-A0E6-1C5E43066ECC}" name="Column11476"/>
    <tableColumn id="11482" xr3:uid="{67A65CDE-E594-423F-83EA-D9B381784D0D}" name="Column11477"/>
    <tableColumn id="11483" xr3:uid="{253FB00E-DB47-467A-A95C-1C5A9F00DA15}" name="Column11478"/>
    <tableColumn id="11484" xr3:uid="{7498EE96-85E8-4BDB-8198-338FB3CB5A08}" name="Column11479"/>
    <tableColumn id="11485" xr3:uid="{055FAD89-2E7C-45AA-BDEB-1C382C7977DF}" name="Column11480"/>
    <tableColumn id="11486" xr3:uid="{1AD8DE92-5122-4EC8-9A4A-8E0F8A8E0929}" name="Column11481"/>
    <tableColumn id="11487" xr3:uid="{CD6F82C4-66EC-4016-BCFA-2D707FE6B3B5}" name="Column11482"/>
    <tableColumn id="11488" xr3:uid="{645EF3E2-67B0-4E8A-AB66-2D6C2AF2E590}" name="Column11483"/>
    <tableColumn id="11489" xr3:uid="{75CC5964-789E-4F46-8CC4-0714A4530821}" name="Column11484"/>
    <tableColumn id="11490" xr3:uid="{14441969-6146-4A4C-8EB8-D18095AE5D53}" name="Column11485"/>
    <tableColumn id="11491" xr3:uid="{CCDF0FE0-EFCB-4CF1-930A-8C0A3F919285}" name="Column11486"/>
    <tableColumn id="11492" xr3:uid="{899C7CBF-5A4E-4029-A18D-4D07476C649F}" name="Column11487"/>
    <tableColumn id="11493" xr3:uid="{DBEE85FC-3C31-4C67-9280-A6F6E2CF57D1}" name="Column11488"/>
    <tableColumn id="11494" xr3:uid="{61634CD6-02E1-44F2-930B-0CCEE14BF335}" name="Column11489"/>
    <tableColumn id="11495" xr3:uid="{25D06B5D-8A71-412F-AE9D-CDCBACDE93C4}" name="Column11490"/>
    <tableColumn id="11496" xr3:uid="{753431CE-A142-45CA-B445-269DAC475CA0}" name="Column11491"/>
    <tableColumn id="11497" xr3:uid="{49337012-C5FB-4514-A308-B9F4D5C6C84C}" name="Column11492"/>
    <tableColumn id="11498" xr3:uid="{E1AD406A-664C-48DD-A093-5FC10D210180}" name="Column11493"/>
    <tableColumn id="11499" xr3:uid="{35D6DBA1-3317-4943-A430-7AF54322865C}" name="Column11494"/>
    <tableColumn id="11500" xr3:uid="{3EBFFB6B-6F65-4B95-A125-C3B12F2DD9B3}" name="Column11495"/>
    <tableColumn id="11501" xr3:uid="{EAAAB009-9988-4E31-B799-74824511233C}" name="Column11496"/>
    <tableColumn id="11502" xr3:uid="{8BB1E244-DED6-45D0-929D-428EE7820CA6}" name="Column11497"/>
    <tableColumn id="11503" xr3:uid="{D3E0349E-CECE-4DF0-90C8-ADE6CF173B34}" name="Column11498"/>
    <tableColumn id="11504" xr3:uid="{ED06C765-8295-4C40-836C-8262654188F9}" name="Column11499"/>
    <tableColumn id="11505" xr3:uid="{FBFD1DCE-FBF2-4E35-83D7-CB114410B1E6}" name="Column11500"/>
    <tableColumn id="11506" xr3:uid="{FE6F689B-8F70-4619-A775-6C420451A301}" name="Column11501"/>
    <tableColumn id="11507" xr3:uid="{95C3F773-425B-4F3F-80B9-F30BC23E2498}" name="Column11502"/>
    <tableColumn id="11508" xr3:uid="{B9FFF01C-6746-4866-9012-487A0C0CF29F}" name="Column11503"/>
    <tableColumn id="11509" xr3:uid="{DE7D75F9-A189-4053-B1E1-0958065D53FD}" name="Column11504"/>
    <tableColumn id="11510" xr3:uid="{5AEB373F-4046-4460-9BB7-9240CE390FCA}" name="Column11505"/>
    <tableColumn id="11511" xr3:uid="{8558D4DB-4D2F-4C22-A7DB-51B1C3B667F1}" name="Column11506"/>
    <tableColumn id="11512" xr3:uid="{989E0607-A033-4528-B32E-4BD9304F1E14}" name="Column11507"/>
    <tableColumn id="11513" xr3:uid="{15E9DA5A-7631-414A-9B66-2D84CFBDCE00}" name="Column11508"/>
    <tableColumn id="11514" xr3:uid="{B7F9D0E6-DDCA-4B20-8BB5-9A51875B161E}" name="Column11509"/>
    <tableColumn id="11515" xr3:uid="{F219C35E-992B-43BD-9C6A-A7AFC0D8E397}" name="Column11510"/>
    <tableColumn id="11516" xr3:uid="{EEB7BA25-B7EE-48BD-BF9B-BC350A009DB5}" name="Column11511"/>
    <tableColumn id="11517" xr3:uid="{18BCE9D6-8C13-4DD5-9DAF-A344C965682E}" name="Column11512"/>
    <tableColumn id="11518" xr3:uid="{DC208FE6-9552-40E6-AB24-2C16C59A2C9D}" name="Column11513"/>
    <tableColumn id="11519" xr3:uid="{F17CE791-35A6-4D57-A577-E0CA9833F271}" name="Column11514"/>
    <tableColumn id="11520" xr3:uid="{42505186-934F-410D-A6D0-93963C8F1A4C}" name="Column11515"/>
    <tableColumn id="11521" xr3:uid="{0023FC54-963E-4A4C-8E3E-FEF5C619041A}" name="Column11516"/>
    <tableColumn id="11522" xr3:uid="{3C08615C-F318-4A66-BA03-AFBF82D51E8C}" name="Column11517"/>
    <tableColumn id="11523" xr3:uid="{975704E0-28BF-48E2-85B7-7BD29BA81BB8}" name="Column11518"/>
    <tableColumn id="11524" xr3:uid="{0A2598E6-1765-4A13-916B-BE43C0C066FC}" name="Column11519"/>
    <tableColumn id="11525" xr3:uid="{D91D2CD9-C451-4772-87BC-D94650B43A43}" name="Column11520"/>
    <tableColumn id="11526" xr3:uid="{7DA4A974-5034-45C7-9346-69AA419576F1}" name="Column11521"/>
    <tableColumn id="11527" xr3:uid="{4E3348AB-CF79-4AE4-B4CC-28ED00B09853}" name="Column11522"/>
    <tableColumn id="11528" xr3:uid="{C92B26CF-3122-4241-BECD-4A413D998291}" name="Column11523"/>
    <tableColumn id="11529" xr3:uid="{A669860B-DCFE-43BE-83E5-D59638867CF9}" name="Column11524"/>
    <tableColumn id="11530" xr3:uid="{E1EA3AAE-B60B-4683-A7B0-D6C1AC4D70A2}" name="Column11525"/>
    <tableColumn id="11531" xr3:uid="{642E1A84-18CE-4688-9059-3A67C7CA2ED3}" name="Column11526"/>
    <tableColumn id="11532" xr3:uid="{CA9AC131-D358-4EE5-BD5D-34618BBB5F60}" name="Column11527"/>
    <tableColumn id="11533" xr3:uid="{4AF9F7A6-C945-4806-A260-4B070D3AAD32}" name="Column11528"/>
    <tableColumn id="11534" xr3:uid="{E2DD54A4-451B-4C7E-A93F-F905085794B1}" name="Column11529"/>
    <tableColumn id="11535" xr3:uid="{B0D96A43-7708-487D-B803-FDD3336FE752}" name="Column11530"/>
    <tableColumn id="11536" xr3:uid="{043C18A2-167A-4327-94EC-99C6EE3D8DC1}" name="Column11531"/>
    <tableColumn id="11537" xr3:uid="{BA9C3C30-D767-497E-B45A-64203D4832FB}" name="Column11532"/>
    <tableColumn id="11538" xr3:uid="{431EA4D2-54D9-40FB-8C4E-B9C4355FCB80}" name="Column11533"/>
    <tableColumn id="11539" xr3:uid="{2C1F6B0C-B3D5-4E32-B7C7-A7683693D50F}" name="Column11534"/>
    <tableColumn id="11540" xr3:uid="{68303FD2-9A09-4968-901A-60AE04BC0494}" name="Column11535"/>
    <tableColumn id="11541" xr3:uid="{4CB211ED-EE48-446A-8045-A0E16477835A}" name="Column11536"/>
    <tableColumn id="11542" xr3:uid="{5DA98B85-0542-4206-95CF-09E5557F1EDB}" name="Column11537"/>
    <tableColumn id="11543" xr3:uid="{348FF811-7FEC-4A07-978C-2E8DAB458DEA}" name="Column11538"/>
    <tableColumn id="11544" xr3:uid="{E8921644-34DE-4C64-B545-A7840787EFF6}" name="Column11539"/>
    <tableColumn id="11545" xr3:uid="{392AD3A3-6670-412C-B5C2-343D07392389}" name="Column11540"/>
    <tableColumn id="11546" xr3:uid="{FF6D8DA4-02A6-4F41-A420-857663CCE596}" name="Column11541"/>
    <tableColumn id="11547" xr3:uid="{21E7654C-F90A-409F-AEE8-79B0EB61E61B}" name="Column11542"/>
    <tableColumn id="11548" xr3:uid="{F4E36675-4E14-4933-B8C4-37ED5FDCC6C6}" name="Column11543"/>
    <tableColumn id="11549" xr3:uid="{20D17CFC-0302-4BE5-AE1A-EBCB7A8F34DB}" name="Column11544"/>
    <tableColumn id="11550" xr3:uid="{28A17B78-40DB-4BDA-8684-0D9B6495DA87}" name="Column11545"/>
    <tableColumn id="11551" xr3:uid="{E89FD433-D491-46B2-8EE2-A6844E41C2FC}" name="Column11546"/>
    <tableColumn id="11552" xr3:uid="{70E638D8-2250-4B15-A932-3E43EE3D4F46}" name="Column11547"/>
    <tableColumn id="11553" xr3:uid="{568555AA-AC10-40E5-AA5B-AA412897E100}" name="Column11548"/>
    <tableColumn id="11554" xr3:uid="{A4DC1CA9-2118-47E8-9660-C85387875C12}" name="Column11549"/>
    <tableColumn id="11555" xr3:uid="{6F7FC71E-952D-40B3-A7AA-1F1464C5E98B}" name="Column11550"/>
    <tableColumn id="11556" xr3:uid="{82F64B06-8D43-424D-8B0B-30D6127ABC0B}" name="Column11551"/>
    <tableColumn id="11557" xr3:uid="{B484FBE0-A65B-4C52-8D03-631EF7DCA671}" name="Column11552"/>
    <tableColumn id="11558" xr3:uid="{6E728FF4-B323-4D80-867B-CE342C93FEC8}" name="Column11553"/>
    <tableColumn id="11559" xr3:uid="{CBFA3421-5ECD-4E01-BED8-C00774664F3A}" name="Column11554"/>
    <tableColumn id="11560" xr3:uid="{3718F0FD-84AC-480A-AA04-CAF83B233831}" name="Column11555"/>
    <tableColumn id="11561" xr3:uid="{B18B985F-7272-4780-9478-B1B6001708D5}" name="Column11556"/>
    <tableColumn id="11562" xr3:uid="{356A11E2-4A04-41FC-A1C2-86EF53916625}" name="Column11557"/>
    <tableColumn id="11563" xr3:uid="{F1D699D0-798A-4A7B-A831-5813893AD8C7}" name="Column11558"/>
    <tableColumn id="11564" xr3:uid="{2C83CD9B-D5ED-49D4-A183-A53D060A0A2F}" name="Column11559"/>
    <tableColumn id="11565" xr3:uid="{FE71008F-3F94-4E6F-BDA4-CB308EA18D15}" name="Column11560"/>
    <tableColumn id="11566" xr3:uid="{3C69A22B-78C0-41F1-8A05-E9B0B29C9C73}" name="Column11561"/>
    <tableColumn id="11567" xr3:uid="{20CDAAE5-7492-4ECF-B20C-16036B68E54C}" name="Column11562"/>
    <tableColumn id="11568" xr3:uid="{F9D2EBAD-1D2D-4204-805D-F82BC3DC0C24}" name="Column11563"/>
    <tableColumn id="11569" xr3:uid="{BED6AAF1-F750-4716-A8EA-43DBF87227C9}" name="Column11564"/>
    <tableColumn id="11570" xr3:uid="{AD120524-A915-4A30-9AF9-9EE7AEED0BD4}" name="Column11565"/>
    <tableColumn id="11571" xr3:uid="{9B47937C-334C-4FC8-ABD9-637B6AC0E069}" name="Column11566"/>
    <tableColumn id="11572" xr3:uid="{456171DF-BD8E-4875-9CF0-A5B64F1699C3}" name="Column11567"/>
    <tableColumn id="11573" xr3:uid="{4FF909CD-79B7-45A7-B9D2-FBE70B107D8E}" name="Column11568"/>
    <tableColumn id="11574" xr3:uid="{0129050B-81C7-47B1-B8E6-1F82F9334E9F}" name="Column11569"/>
    <tableColumn id="11575" xr3:uid="{7B1C9A88-B5BA-4C09-AECF-96CDBF6BA402}" name="Column11570"/>
    <tableColumn id="11576" xr3:uid="{F997FCC0-0625-44AA-9419-64B590977E6B}" name="Column11571"/>
    <tableColumn id="11577" xr3:uid="{0AEF4AB4-BE42-4450-9875-5BC5A6BE42BA}" name="Column11572"/>
    <tableColumn id="11578" xr3:uid="{B04565BC-A2D7-40F6-99DC-16B23E5B5CF6}" name="Column11573"/>
    <tableColumn id="11579" xr3:uid="{40BA8DC4-EE6B-446A-B4EF-E1ADDCE8E0BA}" name="Column11574"/>
    <tableColumn id="11580" xr3:uid="{85E35A12-C054-438B-9B38-DFCB00624F78}" name="Column11575"/>
    <tableColumn id="11581" xr3:uid="{E7C3246E-B132-48F9-9FAD-4C0FFEE06702}" name="Column11576"/>
    <tableColumn id="11582" xr3:uid="{7817AAE1-F891-43C6-8F2D-40CD50529EB7}" name="Column11577"/>
    <tableColumn id="11583" xr3:uid="{A3A9D7D6-56F5-4D64-9585-D31C7D17C6CD}" name="Column11578"/>
    <tableColumn id="11584" xr3:uid="{3D7D462B-8A5E-4F39-88CB-B6977D0F3D0F}" name="Column11579"/>
    <tableColumn id="11585" xr3:uid="{6A50BA7B-5960-4481-91E0-012C4D159EDE}" name="Column11580"/>
    <tableColumn id="11586" xr3:uid="{62C0669B-E695-45DD-B595-02006D3E7D87}" name="Column11581"/>
    <tableColumn id="11587" xr3:uid="{F1764DF6-7485-40A5-8F51-EECF29A9A733}" name="Column11582"/>
    <tableColumn id="11588" xr3:uid="{F29E2D53-D8C7-451C-946A-2ED2F3312C27}" name="Column11583"/>
    <tableColumn id="11589" xr3:uid="{2F842D2A-528C-4D04-A9E8-F8C62A13275D}" name="Column11584"/>
    <tableColumn id="11590" xr3:uid="{62CC862A-0E7B-4AAB-B2D6-F4BCEDB6352F}" name="Column11585"/>
    <tableColumn id="11591" xr3:uid="{3C20F819-E1E9-4EC8-BF4A-C1A93317177B}" name="Column11586"/>
    <tableColumn id="11592" xr3:uid="{BC3F9666-59B2-4E1F-8170-BEA57715D7BB}" name="Column11587"/>
    <tableColumn id="11593" xr3:uid="{F1502CB8-4839-466D-B277-DA10ED776461}" name="Column11588"/>
    <tableColumn id="11594" xr3:uid="{1571C0E7-5690-4B64-8BDF-6D9F8EE0FC9F}" name="Column11589"/>
    <tableColumn id="11595" xr3:uid="{EF98BAD1-A66E-4EEE-ACB7-078D7E9AAF4E}" name="Column11590"/>
    <tableColumn id="11596" xr3:uid="{77DCA040-BD73-4601-A362-8316D5B2CC31}" name="Column11591"/>
    <tableColumn id="11597" xr3:uid="{B46A1001-197D-4C6B-8440-51A79828D0B0}" name="Column11592"/>
    <tableColumn id="11598" xr3:uid="{E3F3C6E8-0CF7-4250-AF0D-82D2F164C7E9}" name="Column11593"/>
    <tableColumn id="11599" xr3:uid="{DD533EAD-FCCF-4013-86AD-9667C49C99E6}" name="Column11594"/>
    <tableColumn id="11600" xr3:uid="{682F841A-F22A-4E3D-9738-C21AA7F5D3CC}" name="Column11595"/>
    <tableColumn id="11601" xr3:uid="{C20ACBBB-CAC3-4F97-83E5-BCD4D1808384}" name="Column11596"/>
    <tableColumn id="11602" xr3:uid="{3F1F2FEF-1744-4CC0-96B1-DF0DA326E144}" name="Column11597"/>
    <tableColumn id="11603" xr3:uid="{1362D6E0-6498-40E9-BD03-9F508D9FF973}" name="Column11598"/>
    <tableColumn id="11604" xr3:uid="{9EDD60CC-6C79-45D1-8704-A65A18DFF5E5}" name="Column11599"/>
    <tableColumn id="11605" xr3:uid="{5A89C017-C008-4AFC-8622-D07CAD7CBE13}" name="Column11600"/>
    <tableColumn id="11606" xr3:uid="{406E4C67-8160-42FC-BB13-4C34FB56E925}" name="Column11601"/>
    <tableColumn id="11607" xr3:uid="{A3A91C35-5137-49D9-B393-2C5AEFE46594}" name="Column11602"/>
    <tableColumn id="11608" xr3:uid="{0C09ABC4-2354-49CD-BA54-0C684042E34D}" name="Column11603"/>
    <tableColumn id="11609" xr3:uid="{A2D425A8-D4D3-457E-B3FF-1815D2ABCBEE}" name="Column11604"/>
    <tableColumn id="11610" xr3:uid="{83E509A8-986B-4997-A132-0BEA5C661569}" name="Column11605"/>
    <tableColumn id="11611" xr3:uid="{E2ACC13B-EBB3-44DC-BCEE-2F6F820533CA}" name="Column11606"/>
    <tableColumn id="11612" xr3:uid="{C48EE7B0-0FED-46C3-A7A2-F96E52F62B8E}" name="Column11607"/>
    <tableColumn id="11613" xr3:uid="{8A0CBEA9-74AF-47A0-92E0-458CA9F03412}" name="Column11608"/>
    <tableColumn id="11614" xr3:uid="{2994ED67-F896-422A-8F96-35E2D1F5CFE6}" name="Column11609"/>
    <tableColumn id="11615" xr3:uid="{A02A6063-D47D-446F-9A9A-CFE83F347EFF}" name="Column11610"/>
    <tableColumn id="11616" xr3:uid="{8ECC2F73-E4B7-4920-AFF7-807E524D297E}" name="Column11611"/>
    <tableColumn id="11617" xr3:uid="{F42D1E45-2133-45B6-86AB-490669FB0724}" name="Column11612"/>
    <tableColumn id="11618" xr3:uid="{28758EED-0404-4296-B52B-BF6FF7225E3D}" name="Column11613"/>
    <tableColumn id="11619" xr3:uid="{C08F5037-7C02-462B-A2E2-65BD9C4A7F23}" name="Column11614"/>
    <tableColumn id="11620" xr3:uid="{97296F87-C142-4A00-9D48-5B3B3DD3AEA2}" name="Column11615"/>
    <tableColumn id="11621" xr3:uid="{D9929A69-BB72-41CF-A3A8-29DDC310C141}" name="Column11616"/>
    <tableColumn id="11622" xr3:uid="{59B51E11-D7FE-4BE3-B5B4-3CD005391C9C}" name="Column11617"/>
    <tableColumn id="11623" xr3:uid="{5D30CDA7-5773-4301-B93F-024D0232468D}" name="Column11618"/>
    <tableColumn id="11624" xr3:uid="{9EC960E9-4321-400F-97BD-5DF951D8C495}" name="Column11619"/>
    <tableColumn id="11625" xr3:uid="{FF8DAC18-0722-49CB-A2B3-9BF3DEFFD778}" name="Column11620"/>
    <tableColumn id="11626" xr3:uid="{08EAC4F7-1FF0-45B6-9B7B-A21B1D9119F6}" name="Column11621"/>
    <tableColumn id="11627" xr3:uid="{1283FC60-E486-4E2E-BF7E-2678E75D2308}" name="Column11622"/>
    <tableColumn id="11628" xr3:uid="{18674D4F-17EA-4544-A378-44886E4E6E14}" name="Column11623"/>
    <tableColumn id="11629" xr3:uid="{F159FBEE-67B3-441C-90B1-E8289A12CFF4}" name="Column11624"/>
    <tableColumn id="11630" xr3:uid="{3A007692-5B18-4301-87BB-F6CF9E027414}" name="Column11625"/>
    <tableColumn id="11631" xr3:uid="{BCD18388-5909-46F7-AA66-3D6690229265}" name="Column11626"/>
    <tableColumn id="11632" xr3:uid="{5E4252B7-A01E-4710-B9D4-16657C4803E4}" name="Column11627"/>
    <tableColumn id="11633" xr3:uid="{5D7F8F93-2BC1-4B41-96AB-E0DF524DCD6D}" name="Column11628"/>
    <tableColumn id="11634" xr3:uid="{0410E8F7-CE18-480E-A4C3-D874ED2AD4BA}" name="Column11629"/>
    <tableColumn id="11635" xr3:uid="{B323C6EC-9C7F-4667-922D-5EF2E14BBBEE}" name="Column11630"/>
    <tableColumn id="11636" xr3:uid="{B1D52733-7006-4247-AB8D-81E2282F035B}" name="Column11631"/>
    <tableColumn id="11637" xr3:uid="{8A454B33-C05D-415C-AC2F-91318D8063A7}" name="Column11632"/>
    <tableColumn id="11638" xr3:uid="{C7C3193D-9D5B-4CE0-8087-F292D38E7A71}" name="Column11633"/>
    <tableColumn id="11639" xr3:uid="{95F04E83-773C-4D21-9418-BD065A083C7D}" name="Column11634"/>
    <tableColumn id="11640" xr3:uid="{2DE781D2-06A3-4113-A894-4E94854BBBC3}" name="Column11635"/>
    <tableColumn id="11641" xr3:uid="{08B69775-5E14-4012-87A2-D9A7B0B1B236}" name="Column11636"/>
    <tableColumn id="11642" xr3:uid="{AC374AC6-19F9-4C17-BE41-B9B5432B8CDB}" name="Column11637"/>
    <tableColumn id="11643" xr3:uid="{4021A002-644E-4033-9382-140E513E0393}" name="Column11638"/>
    <tableColumn id="11644" xr3:uid="{BA20B6C1-F701-4787-B74E-E870EF4B2556}" name="Column11639"/>
    <tableColumn id="11645" xr3:uid="{83563C84-55C9-466B-86E3-C415D3FDDB9C}" name="Column11640"/>
    <tableColumn id="11646" xr3:uid="{90ADF5DA-CB10-4780-8BFB-554DC03E674D}" name="Column11641"/>
    <tableColumn id="11647" xr3:uid="{6DDF1FC3-8439-4E1D-8CB7-E8562EC2BE91}" name="Column11642"/>
    <tableColumn id="11648" xr3:uid="{7166FC76-0E83-4975-91AF-5FD90D4CE87C}" name="Column11643"/>
    <tableColumn id="11649" xr3:uid="{78A3F8FD-0962-49D0-9CE4-D62E79D08378}" name="Column11644"/>
    <tableColumn id="11650" xr3:uid="{6DD1A7B5-D5D8-4A85-A2BE-79D19CDA9CD5}" name="Column11645"/>
    <tableColumn id="11651" xr3:uid="{43D41434-87A2-4126-9A90-2CBA25AE4629}" name="Column11646"/>
    <tableColumn id="11652" xr3:uid="{57A9863F-D49E-434D-A303-A95395CB3C79}" name="Column11647"/>
    <tableColumn id="11653" xr3:uid="{F44BD6F9-C116-48B6-8D61-B790804F2420}" name="Column11648"/>
    <tableColumn id="11654" xr3:uid="{5AFD9615-6DC3-4DE4-895E-FB91CF9DB4A5}" name="Column11649"/>
    <tableColumn id="11655" xr3:uid="{150A5B8B-1E53-4202-B9FF-9552FAA7A5C0}" name="Column11650"/>
    <tableColumn id="11656" xr3:uid="{AA89D160-1745-4621-BA27-4377626CC311}" name="Column11651"/>
    <tableColumn id="11657" xr3:uid="{53EC9080-D152-439C-B39F-123324C9A981}" name="Column11652"/>
    <tableColumn id="11658" xr3:uid="{81A731BA-F1EC-46F2-B103-4E76982A11D1}" name="Column11653"/>
    <tableColumn id="11659" xr3:uid="{62A7694A-8DDA-47B7-AF5F-9610799AC583}" name="Column11654"/>
    <tableColumn id="11660" xr3:uid="{69E6EF29-654F-4BE9-8D72-776724FF1CD7}" name="Column11655"/>
    <tableColumn id="11661" xr3:uid="{0D7AA7F6-CB39-42BC-8430-586427CFDDC3}" name="Column11656"/>
    <tableColumn id="11662" xr3:uid="{3E14AEEB-860F-4B44-AEAC-BAB75A511793}" name="Column11657"/>
    <tableColumn id="11663" xr3:uid="{36F1A604-A749-4F72-80AC-F34B8BB55793}" name="Column11658"/>
    <tableColumn id="11664" xr3:uid="{58EDBA1C-219A-4219-8875-F3F6B6A909C9}" name="Column11659"/>
    <tableColumn id="11665" xr3:uid="{8DE3A85F-EDD6-4531-88ED-ABC914D151AA}" name="Column11660"/>
    <tableColumn id="11666" xr3:uid="{71F6B509-5FBD-429A-AB01-B43C672C6D80}" name="Column11661"/>
    <tableColumn id="11667" xr3:uid="{A6C62C81-2FDA-4A1C-BCD0-B716B86CFE96}" name="Column11662"/>
    <tableColumn id="11668" xr3:uid="{2C1D4716-D791-4E2B-A34D-ADA10760F272}" name="Column11663"/>
    <tableColumn id="11669" xr3:uid="{545C2500-B6D2-45BA-9CEE-5B6492B35929}" name="Column11664"/>
    <tableColumn id="11670" xr3:uid="{565E642B-8EBE-4911-84C4-B50CAC97D733}" name="Column11665"/>
    <tableColumn id="11671" xr3:uid="{7E1A990B-30CD-40E9-82A5-4C10EDED7CDA}" name="Column11666"/>
    <tableColumn id="11672" xr3:uid="{038AB1E4-AE2A-45CF-BCC2-337CB02B28DB}" name="Column11667"/>
    <tableColumn id="11673" xr3:uid="{254B56FA-C6B7-4ADE-AEBD-09D127FDC9D9}" name="Column11668"/>
    <tableColumn id="11674" xr3:uid="{0DEE21D4-AB8A-4E23-88A9-02D60A2ACBBA}" name="Column11669"/>
    <tableColumn id="11675" xr3:uid="{494E9D15-CEE0-4CFF-B6EA-D89EB689E803}" name="Column11670"/>
    <tableColumn id="11676" xr3:uid="{7A0641BE-0DF5-40B4-B4CF-B42ECE1ED1AE}" name="Column11671"/>
    <tableColumn id="11677" xr3:uid="{8E99DBB0-709A-4F3E-B123-0078CEFB69E6}" name="Column11672"/>
    <tableColumn id="11678" xr3:uid="{BAE0D54F-C6A0-4F99-96B9-7F2E0E6D9763}" name="Column11673"/>
    <tableColumn id="11679" xr3:uid="{C76DAE07-832F-4356-BAAF-4C204C93A8EA}" name="Column11674"/>
    <tableColumn id="11680" xr3:uid="{EB1D871A-D60E-44EE-B9EA-4CD53A984586}" name="Column11675"/>
    <tableColumn id="11681" xr3:uid="{C0270427-F36D-4255-9521-AFDEC10EBD41}" name="Column11676"/>
    <tableColumn id="11682" xr3:uid="{A56025B7-F560-44FE-A6F4-31007657FCC8}" name="Column11677"/>
    <tableColumn id="11683" xr3:uid="{CBEF1E67-FCDA-4845-9ED0-E64125224D5A}" name="Column11678"/>
    <tableColumn id="11684" xr3:uid="{CEB85039-6BDD-4106-8F9E-7BF546C98295}" name="Column11679"/>
    <tableColumn id="11685" xr3:uid="{486BC04C-9257-4D3A-8B76-F7BBB80E44E1}" name="Column11680"/>
    <tableColumn id="11686" xr3:uid="{4F0AA23A-9999-43D8-BBDA-AE197907A400}" name="Column11681"/>
    <tableColumn id="11687" xr3:uid="{9C72900A-6532-417D-BEAB-2AF344EA6DA2}" name="Column11682"/>
    <tableColumn id="11688" xr3:uid="{39C82B40-EBBA-423E-87FF-DCC4463AC463}" name="Column11683"/>
    <tableColumn id="11689" xr3:uid="{7E38EBE8-F56E-4231-8C0D-36A631159F50}" name="Column11684"/>
    <tableColumn id="11690" xr3:uid="{47E5B3CA-66F8-46A0-802E-C8A109B81028}" name="Column11685"/>
    <tableColumn id="11691" xr3:uid="{EA85991C-A843-4118-B2DB-3B18502D49A9}" name="Column11686"/>
    <tableColumn id="11692" xr3:uid="{3A7F56B4-FF2F-440B-955D-E1EFEDB98410}" name="Column11687"/>
    <tableColumn id="11693" xr3:uid="{C8A99109-A184-4FF1-A933-AFE398823CE6}" name="Column11688"/>
    <tableColumn id="11694" xr3:uid="{DA3ADA3D-2DA2-4E9B-93B3-1B9DB082DFB7}" name="Column11689"/>
    <tableColumn id="11695" xr3:uid="{53E2D053-88F9-443B-8E6D-B2A079D50E34}" name="Column11690"/>
    <tableColumn id="11696" xr3:uid="{34AF69DC-7359-4AD9-9D2D-AF90DFF0018C}" name="Column11691"/>
    <tableColumn id="11697" xr3:uid="{1FF80374-43CE-4FD3-8DEF-C9C3C9BE5F55}" name="Column11692"/>
    <tableColumn id="11698" xr3:uid="{97E38346-77F5-4428-9819-A1E73B3B4825}" name="Column11693"/>
    <tableColumn id="11699" xr3:uid="{4EA9C599-0615-4283-B373-B943A474F49A}" name="Column11694"/>
    <tableColumn id="11700" xr3:uid="{5C5C79F2-729B-4641-B4AB-E91BF55E9759}" name="Column11695"/>
    <tableColumn id="11701" xr3:uid="{8A191C3A-1AE2-4587-92B8-6B9221296EBD}" name="Column11696"/>
    <tableColumn id="11702" xr3:uid="{BC5EF5D4-5816-46CE-80B2-F2FFA9F886A6}" name="Column11697"/>
    <tableColumn id="11703" xr3:uid="{27E1CEA7-6D58-4CE6-B3FC-1618F90CC30E}" name="Column11698"/>
    <tableColumn id="11704" xr3:uid="{F0162643-6AC8-4CB8-A98A-2B5CA96A5B64}" name="Column11699"/>
    <tableColumn id="11705" xr3:uid="{C1B6DA08-5F9F-4CA0-BFEA-7AB88581A47D}" name="Column11700"/>
    <tableColumn id="11706" xr3:uid="{A8D36DB5-A25D-4E62-BB9E-3DC2CD38DD55}" name="Column11701"/>
    <tableColumn id="11707" xr3:uid="{318031FF-C915-4404-88B8-C0CDE3FED2E3}" name="Column11702"/>
    <tableColumn id="11708" xr3:uid="{6DDE41C4-6AAB-452B-ADE3-F02D7ECC5FCE}" name="Column11703"/>
    <tableColumn id="11709" xr3:uid="{F1738162-808B-4BE3-AC90-8B1D3C061BDF}" name="Column11704"/>
    <tableColumn id="11710" xr3:uid="{B11ACB3F-1772-43D0-BED8-61C88933F1A2}" name="Column11705"/>
    <tableColumn id="11711" xr3:uid="{6BA840A7-D3F8-4D3D-90C9-3A89D79713A5}" name="Column11706"/>
    <tableColumn id="11712" xr3:uid="{64834700-6E38-4617-92DE-C853C0915E18}" name="Column11707"/>
    <tableColumn id="11713" xr3:uid="{8A9BBF21-05E7-4CE2-8609-F6F4F5C1153D}" name="Column11708"/>
    <tableColumn id="11714" xr3:uid="{2192E0BD-FFE9-4C5A-8011-5581776FA47C}" name="Column11709"/>
    <tableColumn id="11715" xr3:uid="{1F8B9295-BF70-4C62-A572-90D99F3D1790}" name="Column11710"/>
    <tableColumn id="11716" xr3:uid="{7A0BA551-3DAB-4B65-9578-263D60C01748}" name="Column11711"/>
    <tableColumn id="11717" xr3:uid="{96706E71-5FBB-4D6D-8E89-46C2D988E80A}" name="Column11712"/>
    <tableColumn id="11718" xr3:uid="{2AA23912-34CF-4480-AA77-954272AC7E61}" name="Column11713"/>
    <tableColumn id="11719" xr3:uid="{04D7D41B-03B6-4200-876E-06199CA1CDD8}" name="Column11714"/>
    <tableColumn id="11720" xr3:uid="{8D6E7BD4-7F8E-4F95-A1DF-7F23C4E298CA}" name="Column11715"/>
    <tableColumn id="11721" xr3:uid="{7D22E97F-712A-442D-A35D-786A0E1863BA}" name="Column11716"/>
    <tableColumn id="11722" xr3:uid="{479D31C8-7F0A-411D-AE2D-16B597F23332}" name="Column11717"/>
    <tableColumn id="11723" xr3:uid="{88182E95-1C4C-4EE8-92F2-F0E2B5097719}" name="Column11718"/>
    <tableColumn id="11724" xr3:uid="{F0325394-131D-420D-9836-31AE41716C61}" name="Column11719"/>
    <tableColumn id="11725" xr3:uid="{013BDAC5-1AEF-4865-967F-E69C80188079}" name="Column11720"/>
    <tableColumn id="11726" xr3:uid="{84307E58-6A8A-451B-B62D-8E24F0C84FFC}" name="Column11721"/>
    <tableColumn id="11727" xr3:uid="{35333800-B1C1-4651-AD7C-7BD205865671}" name="Column11722"/>
    <tableColumn id="11728" xr3:uid="{A34CA1BB-A4FD-4C79-AD71-A21C4DED413B}" name="Column11723"/>
    <tableColumn id="11729" xr3:uid="{3A227B57-DD65-4BBE-BF12-6146172C25D6}" name="Column11724"/>
    <tableColumn id="11730" xr3:uid="{0FA57899-9022-443C-90D7-35A05AB2A9F0}" name="Column11725"/>
    <tableColumn id="11731" xr3:uid="{BAA9110E-BACF-4DE3-9111-58BD04915512}" name="Column11726"/>
    <tableColumn id="11732" xr3:uid="{6CBDAA9B-48A1-403D-936E-D8C8496B168F}" name="Column11727"/>
    <tableColumn id="11733" xr3:uid="{773310D1-9020-41B0-B31E-6B4ADE3C00B0}" name="Column11728"/>
    <tableColumn id="11734" xr3:uid="{5ACFED8B-447B-4B1D-8D54-E32C74C0C020}" name="Column11729"/>
    <tableColumn id="11735" xr3:uid="{164DF9CC-A69F-45BF-AAFC-F61D5F4BCB63}" name="Column11730"/>
    <tableColumn id="11736" xr3:uid="{D13C9FD6-BF8C-44EC-A65E-BEE3F610F51D}" name="Column11731"/>
    <tableColumn id="11737" xr3:uid="{5FFCF63B-D3F3-4214-859A-6757A2B2863B}" name="Column11732"/>
    <tableColumn id="11738" xr3:uid="{82F723A4-3951-4E4A-AE7D-2AEE5018637F}" name="Column11733"/>
    <tableColumn id="11739" xr3:uid="{B2B20C1A-512D-444F-8E45-41D4D556A9E6}" name="Column11734"/>
    <tableColumn id="11740" xr3:uid="{F08183B9-289E-4D91-8C58-7E4BEFCCB6A2}" name="Column11735"/>
    <tableColumn id="11741" xr3:uid="{67448135-63EC-4F90-B2A2-9AB20D447FC3}" name="Column11736"/>
    <tableColumn id="11742" xr3:uid="{82BAB798-F290-4772-AC51-C7717F0DFA47}" name="Column11737"/>
    <tableColumn id="11743" xr3:uid="{835FF6BF-E317-43BC-8625-13D568A75095}" name="Column11738"/>
    <tableColumn id="11744" xr3:uid="{6E45FC09-C90E-4D2D-B402-F5D0117DF3F3}" name="Column11739"/>
    <tableColumn id="11745" xr3:uid="{E9135D35-9FC0-42C0-9397-CAE4E99D8733}" name="Column11740"/>
    <tableColumn id="11746" xr3:uid="{1F9B2A21-19E9-4CCC-B6FA-1A791DCE0D59}" name="Column11741"/>
    <tableColumn id="11747" xr3:uid="{8E6EBAD5-F775-4D7F-865E-92A31EB4F509}" name="Column11742"/>
    <tableColumn id="11748" xr3:uid="{CD2B2F7A-AE70-4532-920E-DFD3BCD23D1E}" name="Column11743"/>
    <tableColumn id="11749" xr3:uid="{D0D4BBA1-8B79-4802-B5C2-126619F212F9}" name="Column11744"/>
    <tableColumn id="11750" xr3:uid="{730F1191-2CC1-466D-9114-783A592C5BD9}" name="Column11745"/>
    <tableColumn id="11751" xr3:uid="{9C049A3A-D95E-4F76-A43A-B1871D131801}" name="Column11746"/>
    <tableColumn id="11752" xr3:uid="{5DB6912B-4FAA-4AE8-849F-12A30099B659}" name="Column11747"/>
    <tableColumn id="11753" xr3:uid="{71BD94C1-0DE5-4DDB-908B-C17B614B8DD7}" name="Column11748"/>
    <tableColumn id="11754" xr3:uid="{E9C2F9C9-3278-425A-AF34-75A9F5325221}" name="Column11749"/>
    <tableColumn id="11755" xr3:uid="{86EDB45B-C31C-4B73-AF77-6E97208E73C2}" name="Column11750"/>
    <tableColumn id="11756" xr3:uid="{0089EE0B-CA0E-4070-B0D0-651E66D226ED}" name="Column11751"/>
    <tableColumn id="11757" xr3:uid="{D5F97346-E765-41E9-A90E-A817778420C9}" name="Column11752"/>
    <tableColumn id="11758" xr3:uid="{511E3473-5317-4ECC-A8D5-E523A3128BCF}" name="Column11753"/>
    <tableColumn id="11759" xr3:uid="{880B3A91-A9F2-41AE-82BA-6E417C29BDFD}" name="Column11754"/>
    <tableColumn id="11760" xr3:uid="{54992D4D-032E-486F-9435-C6C1F2D9DB44}" name="Column11755"/>
    <tableColumn id="11761" xr3:uid="{F6367CEA-C6DC-4812-B54E-A42D659CA887}" name="Column11756"/>
    <tableColumn id="11762" xr3:uid="{A191FE12-2037-4268-AEC6-3069C29D8893}" name="Column11757"/>
    <tableColumn id="11763" xr3:uid="{19CA0A43-A100-4AEF-9F62-B1ABC34ED110}" name="Column11758"/>
    <tableColumn id="11764" xr3:uid="{F971C9A8-6EF5-4FF9-9A28-C6AF3DE256D0}" name="Column11759"/>
    <tableColumn id="11765" xr3:uid="{85B4B627-F2D9-4065-AB14-A5D7386C92AB}" name="Column11760"/>
    <tableColumn id="11766" xr3:uid="{74FF166E-1438-478E-BBA5-6028347EB9EF}" name="Column11761"/>
    <tableColumn id="11767" xr3:uid="{59D59206-B461-4FE0-A716-92F6A76FFD75}" name="Column11762"/>
    <tableColumn id="11768" xr3:uid="{CFC97572-0FAB-4F48-986D-60FDFC549DCB}" name="Column11763"/>
    <tableColumn id="11769" xr3:uid="{F3CFBF11-599A-4303-A295-FC4325032002}" name="Column11764"/>
    <tableColumn id="11770" xr3:uid="{99A02DF5-42B4-47E2-B18D-3104BC534E45}" name="Column11765"/>
    <tableColumn id="11771" xr3:uid="{F79BD9A8-BAA3-481D-AA00-C3EDB002741A}" name="Column11766"/>
    <tableColumn id="11772" xr3:uid="{A250827B-9FEC-4B7D-9F83-DA5D769B6933}" name="Column11767"/>
    <tableColumn id="11773" xr3:uid="{D9790AB0-7004-477B-9A75-8AE878B929A0}" name="Column11768"/>
    <tableColumn id="11774" xr3:uid="{0ED6D978-F7B1-4214-9E46-C145BC9CAD71}" name="Column11769"/>
    <tableColumn id="11775" xr3:uid="{18C88A08-614C-4135-B48F-4C11F1021E32}" name="Column11770"/>
    <tableColumn id="11776" xr3:uid="{A1F762C7-818A-4E46-ADF2-F00FA1E774E5}" name="Column11771"/>
    <tableColumn id="11777" xr3:uid="{5C4EE60A-5344-4BC4-84B3-BD6401695279}" name="Column11772"/>
    <tableColumn id="11778" xr3:uid="{21AE73EE-ABDB-460C-99CB-9677B5828151}" name="Column11773"/>
    <tableColumn id="11779" xr3:uid="{E54917A1-D805-404B-9D48-68CFCC990431}" name="Column11774"/>
    <tableColumn id="11780" xr3:uid="{58B5F213-8E26-467D-84AE-212475EDE015}" name="Column11775"/>
    <tableColumn id="11781" xr3:uid="{3BF46383-B348-4978-AE0D-22E6E905DDC9}" name="Column11776"/>
    <tableColumn id="11782" xr3:uid="{C7D9B831-2111-4BC1-AD24-279DF5941C26}" name="Column11777"/>
    <tableColumn id="11783" xr3:uid="{05EFEB2B-61F8-4F5C-A195-05BA914C1DF2}" name="Column11778"/>
    <tableColumn id="11784" xr3:uid="{5C118468-F9D7-4CB8-9CAB-6003E836CB24}" name="Column11779"/>
    <tableColumn id="11785" xr3:uid="{66477B12-27B4-4B46-856B-6B64FB7E1CED}" name="Column11780"/>
    <tableColumn id="11786" xr3:uid="{CBA1C2D1-6C48-44ED-83F3-42A233424562}" name="Column11781"/>
    <tableColumn id="11787" xr3:uid="{D61A2E5D-9D78-4880-BDAE-A5AB3E8DDF5F}" name="Column11782"/>
    <tableColumn id="11788" xr3:uid="{7397473A-FE3B-4A9F-B773-4564643CFFCA}" name="Column11783"/>
    <tableColumn id="11789" xr3:uid="{97941635-04C4-4329-B076-0AA64717815B}" name="Column11784"/>
    <tableColumn id="11790" xr3:uid="{673CEF10-9827-44C8-8B8F-AB7C778138F1}" name="Column11785"/>
    <tableColumn id="11791" xr3:uid="{3947BFFA-2002-4331-B315-82572929908B}" name="Column11786"/>
    <tableColumn id="11792" xr3:uid="{56D22AB1-55B1-4AD6-8EF4-D70C93D462A6}" name="Column11787"/>
    <tableColumn id="11793" xr3:uid="{DA5FE3A1-0B38-43A4-9FB5-61DAD524BDFF}" name="Column11788"/>
    <tableColumn id="11794" xr3:uid="{102CA2CD-529F-4667-9125-DA87B48A93DD}" name="Column11789"/>
    <tableColumn id="11795" xr3:uid="{9DC0B635-F4F9-47D3-AFB2-668D1DB18FE9}" name="Column11790"/>
    <tableColumn id="11796" xr3:uid="{27CB3944-699B-4811-8296-E00E525A7F82}" name="Column11791"/>
    <tableColumn id="11797" xr3:uid="{AF209EDB-C8B1-4371-AFBF-F4184426ED79}" name="Column11792"/>
    <tableColumn id="11798" xr3:uid="{87EDEE68-C64E-4F87-801C-329F1C6A33FD}" name="Column11793"/>
    <tableColumn id="11799" xr3:uid="{586FCB0C-E8CE-43AE-80B6-F654B7EBB311}" name="Column11794"/>
    <tableColumn id="11800" xr3:uid="{A6F8534B-8825-4C3F-8B0B-EF44BB3CE934}" name="Column11795"/>
    <tableColumn id="11801" xr3:uid="{CB24A6D1-7206-44D7-8C76-B8BE032D4A95}" name="Column11796"/>
    <tableColumn id="11802" xr3:uid="{FB07BA5D-16ED-43EA-BEDC-D445ECB81BDB}" name="Column11797"/>
    <tableColumn id="11803" xr3:uid="{BAA8AA4C-2D73-449A-9158-9D805490BDA8}" name="Column11798"/>
    <tableColumn id="11804" xr3:uid="{ABD7877A-BBC3-466C-9633-675A78D8FD0D}" name="Column11799"/>
    <tableColumn id="11805" xr3:uid="{008B3153-5547-44F2-8EC7-E06AF9A60A46}" name="Column11800"/>
    <tableColumn id="11806" xr3:uid="{7AEA1BF7-8735-44D5-B93F-DC06C562B6F5}" name="Column11801"/>
    <tableColumn id="11807" xr3:uid="{07475A1F-655B-4C4E-9417-BCDFC86A058A}" name="Column11802"/>
    <tableColumn id="11808" xr3:uid="{26CFEB77-2F34-43B7-8939-1266E627FE9F}" name="Column11803"/>
    <tableColumn id="11809" xr3:uid="{D045FD30-42B0-4F8C-AB89-171C0FAF028A}" name="Column11804"/>
    <tableColumn id="11810" xr3:uid="{E2C9B0AD-315F-4050-AA57-1377895736F1}" name="Column11805"/>
    <tableColumn id="11811" xr3:uid="{6CEAA70F-CC06-4D5E-A713-A67DDDCB9A26}" name="Column11806"/>
    <tableColumn id="11812" xr3:uid="{CB787805-020A-4D1B-8067-108F440DFE91}" name="Column11807"/>
    <tableColumn id="11813" xr3:uid="{7CB8FE7B-F091-438A-BD9F-71C17A080CCA}" name="Column11808"/>
    <tableColumn id="11814" xr3:uid="{518C6CB6-023E-4878-8AF8-73433AC49118}" name="Column11809"/>
    <tableColumn id="11815" xr3:uid="{FF1F5A02-11A7-4A2C-B797-6B9BD0EBFA25}" name="Column11810"/>
    <tableColumn id="11816" xr3:uid="{F95FC76E-2697-4828-B7B2-C5073B66A8A6}" name="Column11811"/>
    <tableColumn id="11817" xr3:uid="{59275E66-01EE-4077-8288-BBA5BEF0470D}" name="Column11812"/>
    <tableColumn id="11818" xr3:uid="{52D1DC40-5115-4934-8CC5-5D81DD613B9B}" name="Column11813"/>
    <tableColumn id="11819" xr3:uid="{E2FFBB31-1F01-4BB3-8B9D-B08035F4D428}" name="Column11814"/>
    <tableColumn id="11820" xr3:uid="{3357AFE8-DD13-4FB6-A290-2CE91CFAA1FA}" name="Column11815"/>
    <tableColumn id="11821" xr3:uid="{FB3AC1E2-2EE6-4656-A98C-907544A63414}" name="Column11816"/>
    <tableColumn id="11822" xr3:uid="{9C05F325-E6FD-4283-B184-9E0A86524A21}" name="Column11817"/>
    <tableColumn id="11823" xr3:uid="{458A9620-149B-4267-A0FF-C6AC0614D0C4}" name="Column11818"/>
    <tableColumn id="11824" xr3:uid="{D866D282-80E2-40FE-874C-F483F0F2CD8C}" name="Column11819"/>
    <tableColumn id="11825" xr3:uid="{877B6E7B-C198-4F48-8FB2-E645CB1221E6}" name="Column11820"/>
    <tableColumn id="11826" xr3:uid="{16250574-64F0-4B17-8B0E-A3EC3C82BD1A}" name="Column11821"/>
    <tableColumn id="11827" xr3:uid="{E3616AE2-8A0B-4576-B8AB-D46859035CC6}" name="Column11822"/>
    <tableColumn id="11828" xr3:uid="{2C58ECFA-B85A-430D-A547-6DE96D7B34A7}" name="Column11823"/>
    <tableColumn id="11829" xr3:uid="{639A0B69-B96A-4C9F-8010-6B3CAA700331}" name="Column11824"/>
    <tableColumn id="11830" xr3:uid="{23ECF67D-E15A-4348-BE76-31BE39F2A797}" name="Column11825"/>
    <tableColumn id="11831" xr3:uid="{FA2FB38F-1B56-420A-A593-8F2B588110BA}" name="Column11826"/>
    <tableColumn id="11832" xr3:uid="{5F2B3D4E-3813-411E-8626-64742CB3E7F0}" name="Column11827"/>
    <tableColumn id="11833" xr3:uid="{3519237D-3480-42C3-9430-0A2182DA1321}" name="Column11828"/>
    <tableColumn id="11834" xr3:uid="{2D8FBD6F-47D1-409E-88D9-B5A8659A7B41}" name="Column11829"/>
    <tableColumn id="11835" xr3:uid="{F0A250D5-4162-42A5-BAA0-619869A434CF}" name="Column11830"/>
    <tableColumn id="11836" xr3:uid="{B7DA44AC-994B-4A42-9BED-D4FC166AC30E}" name="Column11831"/>
    <tableColumn id="11837" xr3:uid="{0743238C-97C9-4999-9AAB-2AA2E5E26C9E}" name="Column11832"/>
    <tableColumn id="11838" xr3:uid="{96135733-7D95-40AB-A194-5BD611AEA6D4}" name="Column11833"/>
    <tableColumn id="11839" xr3:uid="{38258A98-B58C-4EDE-83E1-EA181C9FEF8A}" name="Column11834"/>
    <tableColumn id="11840" xr3:uid="{E27AFBF0-D267-459B-91D0-0FF81ACDF318}" name="Column11835"/>
    <tableColumn id="11841" xr3:uid="{5EEFCC27-2560-4D08-AF05-E0C2512AE8B5}" name="Column11836"/>
    <tableColumn id="11842" xr3:uid="{37069038-B142-4380-9A68-A6A0EEC83CEF}" name="Column11837"/>
    <tableColumn id="11843" xr3:uid="{8362B59B-2965-4722-AF4F-7890E1F2B15E}" name="Column11838"/>
    <tableColumn id="11844" xr3:uid="{B4CCEC96-774D-4025-98B2-84ADC6D1CAE7}" name="Column11839"/>
    <tableColumn id="11845" xr3:uid="{D30BDBA0-EEFB-48EE-A13F-3BD30C311FAD}" name="Column11840"/>
    <tableColumn id="11846" xr3:uid="{4CC28626-4A1A-48A6-AEA0-8E2B7F51D779}" name="Column11841"/>
    <tableColumn id="11847" xr3:uid="{461A0A61-6604-4947-90F1-E5ED4938B8BD}" name="Column11842"/>
    <tableColumn id="11848" xr3:uid="{4CBFC33E-D50E-4BDA-AEEB-845C685D6480}" name="Column11843"/>
    <tableColumn id="11849" xr3:uid="{D924B402-583F-4DA2-A02B-A0AE9B82F850}" name="Column11844"/>
    <tableColumn id="11850" xr3:uid="{96E33D47-F8A1-47BA-B047-C75C6BC15CCC}" name="Column11845"/>
    <tableColumn id="11851" xr3:uid="{16BCB57E-6C4A-4071-84E7-D83FB3E54941}" name="Column11846"/>
    <tableColumn id="11852" xr3:uid="{8870B76D-6368-48F1-9B05-295FC7A674E2}" name="Column11847"/>
    <tableColumn id="11853" xr3:uid="{4774C2B5-6100-4DA4-9B2A-6128EB5F1131}" name="Column11848"/>
    <tableColumn id="11854" xr3:uid="{DB857DC0-1646-4B3F-97BA-05FE1B879C6E}" name="Column11849"/>
    <tableColumn id="11855" xr3:uid="{78799B39-BE48-440E-BA2F-E7C7C77F0FDE}" name="Column11850"/>
    <tableColumn id="11856" xr3:uid="{908C4945-CADF-4D3B-87E6-3D39F0B884E8}" name="Column11851"/>
    <tableColumn id="11857" xr3:uid="{0C7630FD-41AC-491F-B7B0-052A36F90ACE}" name="Column11852"/>
    <tableColumn id="11858" xr3:uid="{EE3CDB94-5D83-4C13-AFA7-576728F39A81}" name="Column11853"/>
    <tableColumn id="11859" xr3:uid="{3EFDAC5F-2A71-4E52-A468-2A9C4D9C9F72}" name="Column11854"/>
    <tableColumn id="11860" xr3:uid="{5D3D7252-5838-4702-A507-9FD32829E998}" name="Column11855"/>
    <tableColumn id="11861" xr3:uid="{67464A97-0C09-414E-957B-B780E191516B}" name="Column11856"/>
    <tableColumn id="11862" xr3:uid="{522E96B3-57CB-4FCE-B888-153BEC1D6470}" name="Column11857"/>
    <tableColumn id="11863" xr3:uid="{9E1D14B2-BD78-48F4-B74B-F8FD4C25C094}" name="Column11858"/>
    <tableColumn id="11864" xr3:uid="{A006C6BB-976F-494D-A999-F96418729AD9}" name="Column11859"/>
    <tableColumn id="11865" xr3:uid="{C77C2FF4-EC9F-489D-9222-84FC3F710D5A}" name="Column11860"/>
    <tableColumn id="11866" xr3:uid="{74A9BD93-DC5C-4656-99E6-AE2CAD755F80}" name="Column11861"/>
    <tableColumn id="11867" xr3:uid="{B2AC8C54-EF8B-4112-A087-BFEFEE6392B1}" name="Column11862"/>
    <tableColumn id="11868" xr3:uid="{32BEA9A1-164D-4A45-B86E-5689463C0D80}" name="Column11863"/>
    <tableColumn id="11869" xr3:uid="{3A35E25F-478B-4CFC-9208-72A3D91296CC}" name="Column11864"/>
    <tableColumn id="11870" xr3:uid="{1A0CE0B1-F28F-4CC7-844B-4E1D10CBCD32}" name="Column11865"/>
    <tableColumn id="11871" xr3:uid="{B45FF914-FC2B-4662-976B-0F4B9B2521DA}" name="Column11866"/>
    <tableColumn id="11872" xr3:uid="{5773363C-652B-476E-AB13-E198E606FEE9}" name="Column11867"/>
    <tableColumn id="11873" xr3:uid="{20303500-9C1E-4FA2-959E-F1DD80A0EF92}" name="Column11868"/>
    <tableColumn id="11874" xr3:uid="{CF6A0F2F-5ADF-485D-BFE6-405C3905F967}" name="Column11869"/>
    <tableColumn id="11875" xr3:uid="{18F30E10-A57B-4F52-9811-A07E7B48DC94}" name="Column11870"/>
    <tableColumn id="11876" xr3:uid="{9EC72014-7DD5-4A69-B9EC-2CFCC1972718}" name="Column11871"/>
    <tableColumn id="11877" xr3:uid="{85AE820A-3E85-4B71-9CCF-FF345485AF25}" name="Column11872"/>
    <tableColumn id="11878" xr3:uid="{856E42DC-1995-434C-9F3C-D3A4396551C2}" name="Column11873"/>
    <tableColumn id="11879" xr3:uid="{E362F1B0-75E5-4EFC-8DEA-D0F7C0BAED58}" name="Column11874"/>
    <tableColumn id="11880" xr3:uid="{9505BF56-929C-4CEB-A4AA-B233B6FB86BB}" name="Column11875"/>
    <tableColumn id="11881" xr3:uid="{C7C55FB0-6E4B-4D07-A470-161BC18A2352}" name="Column11876"/>
    <tableColumn id="11882" xr3:uid="{B68459DD-83AA-4879-AB91-D18707E3BA42}" name="Column11877"/>
    <tableColumn id="11883" xr3:uid="{408303EE-9D08-43E5-B69C-CEB57698228E}" name="Column11878"/>
    <tableColumn id="11884" xr3:uid="{E6890BF7-03C7-49F5-97AE-45F9A933F9AB}" name="Column11879"/>
    <tableColumn id="11885" xr3:uid="{41C597A7-AC05-47B6-A9BE-7A9F563C4CE1}" name="Column11880"/>
    <tableColumn id="11886" xr3:uid="{51721A72-6645-4902-9A11-B6D72ED1B151}" name="Column11881"/>
    <tableColumn id="11887" xr3:uid="{4D8C851F-928C-44A4-8F17-A7DDB87AECB7}" name="Column11882"/>
    <tableColumn id="11888" xr3:uid="{2C22B129-4FDC-4287-AFB0-9CF864CFD47D}" name="Column11883"/>
    <tableColumn id="11889" xr3:uid="{3ED67BF6-D1D8-41CB-8BC5-1F49D44FB0C2}" name="Column11884"/>
    <tableColumn id="11890" xr3:uid="{5C7CCA5D-5E19-4658-A2ED-E419072E2749}" name="Column11885"/>
    <tableColumn id="11891" xr3:uid="{2A90E613-1D76-4CFF-8811-F40ED8AAD597}" name="Column11886"/>
    <tableColumn id="11892" xr3:uid="{DBBC00A8-D725-432B-B694-3543BB4B1A8D}" name="Column11887"/>
    <tableColumn id="11893" xr3:uid="{0CBF69E9-AD15-4C5D-8D1D-7BE8F63BBEB8}" name="Column11888"/>
    <tableColumn id="11894" xr3:uid="{684A5263-6292-4197-A14A-11E6E4D0CC48}" name="Column11889"/>
    <tableColumn id="11895" xr3:uid="{CBF04941-3866-4E34-87F2-D9FEA6DCAA9E}" name="Column11890"/>
    <tableColumn id="11896" xr3:uid="{430C3CE2-918F-47DD-B21E-86B874AFB2F0}" name="Column11891"/>
    <tableColumn id="11897" xr3:uid="{4AC35898-381F-4A4E-B037-7A3BA4FF4EDB}" name="Column11892"/>
    <tableColumn id="11898" xr3:uid="{904BD041-B223-4251-9521-6EEA70BD4B1C}" name="Column11893"/>
    <tableColumn id="11899" xr3:uid="{B08A6CA6-251F-4DEB-BA3D-F7B913F0E036}" name="Column11894"/>
    <tableColumn id="11900" xr3:uid="{72085572-12B2-465E-B43D-100F7EAE4750}" name="Column11895"/>
    <tableColumn id="11901" xr3:uid="{BE35FD7C-1B89-4362-8357-F66C77033F2A}" name="Column11896"/>
    <tableColumn id="11902" xr3:uid="{2B6C71BA-4444-449C-99D1-410A2BE42E36}" name="Column11897"/>
    <tableColumn id="11903" xr3:uid="{3D419D10-A4A6-430C-88B5-CA8DABA3D29B}" name="Column11898"/>
    <tableColumn id="11904" xr3:uid="{E509F115-70BF-4DAE-B0C2-A4CB1E57E733}" name="Column11899"/>
    <tableColumn id="11905" xr3:uid="{73F317C3-6748-41E5-9A18-50DAFCDF7294}" name="Column11900"/>
    <tableColumn id="11906" xr3:uid="{B9EFE14F-3678-48A0-9DB0-FED6E08F05EA}" name="Column11901"/>
    <tableColumn id="11907" xr3:uid="{0538E1C7-4218-4DC2-A323-A1F0A18FD3B2}" name="Column11902"/>
    <tableColumn id="11908" xr3:uid="{26D8D6C2-16C0-4193-BF86-46FBD8001B27}" name="Column11903"/>
    <tableColumn id="11909" xr3:uid="{04246B23-B8DE-4DD9-8576-A16A6ABCCAE3}" name="Column11904"/>
    <tableColumn id="11910" xr3:uid="{DB88C727-7AAB-4D2A-8429-02698BDB577F}" name="Column11905"/>
    <tableColumn id="11911" xr3:uid="{9CC2A696-8C4B-4AF4-A2B1-28BBBD43ADC0}" name="Column11906"/>
    <tableColumn id="11912" xr3:uid="{C784B4FC-4C42-49D5-ACD0-9681A89B7C45}" name="Column11907"/>
    <tableColumn id="11913" xr3:uid="{07FB7008-BAB2-431C-BFA7-A33532650F4E}" name="Column11908"/>
    <tableColumn id="11914" xr3:uid="{8F8973CB-D225-4213-A158-37DAF7A54DEF}" name="Column11909"/>
    <tableColumn id="11915" xr3:uid="{D1B3807C-F97D-4184-9C29-71F0395A2350}" name="Column11910"/>
    <tableColumn id="11916" xr3:uid="{A3F07673-FB39-4C49-B24B-7DED8D2AFFCF}" name="Column11911"/>
    <tableColumn id="11917" xr3:uid="{E84E1B94-52AB-4D46-B5D7-5461BB6B771F}" name="Column11912"/>
    <tableColumn id="11918" xr3:uid="{1C55C1AA-4438-47AA-98F0-8E4E5DF5AA45}" name="Column11913"/>
    <tableColumn id="11919" xr3:uid="{2BC64E30-212A-460A-AC4F-6CB4933419B4}" name="Column11914"/>
    <tableColumn id="11920" xr3:uid="{0E934FCC-CF16-4272-BE09-A79AB3E085F5}" name="Column11915"/>
    <tableColumn id="11921" xr3:uid="{09F6F698-9540-4D1A-95EC-A40C906A99C9}" name="Column11916"/>
    <tableColumn id="11922" xr3:uid="{422B052F-98AA-444F-8B3C-8553C2A67CFA}" name="Column11917"/>
    <tableColumn id="11923" xr3:uid="{FEB930A2-2D91-46C0-8074-64CC7C6D6339}" name="Column11918"/>
    <tableColumn id="11924" xr3:uid="{E4BAD899-35E6-4553-A27C-8874D40FA92E}" name="Column11919"/>
    <tableColumn id="11925" xr3:uid="{BF09A359-692C-4F14-B124-6660285FD27C}" name="Column11920"/>
    <tableColumn id="11926" xr3:uid="{B520BB86-368C-4626-8437-079C5FE16232}" name="Column11921"/>
    <tableColumn id="11927" xr3:uid="{36DBB86C-75A7-4B78-8F6D-7FCDCE55242F}" name="Column11922"/>
    <tableColumn id="11928" xr3:uid="{645CFF71-8E3E-4FD0-A0F1-F605E60954A3}" name="Column11923"/>
    <tableColumn id="11929" xr3:uid="{343B1E1D-3FA7-4251-98D7-85672A10E292}" name="Column11924"/>
    <tableColumn id="11930" xr3:uid="{6B0E6AD8-513D-4733-9BCF-9B8D5BABA9DF}" name="Column11925"/>
    <tableColumn id="11931" xr3:uid="{2BAE0CB4-FF74-482A-AB3C-37FEE6DF3D45}" name="Column11926"/>
    <tableColumn id="11932" xr3:uid="{FCD57E21-AF35-47F9-8D8F-4E56901F70DE}" name="Column11927"/>
    <tableColumn id="11933" xr3:uid="{FAC3136E-D279-413C-8567-03CA512A9792}" name="Column11928"/>
    <tableColumn id="11934" xr3:uid="{934C1B04-1B74-487E-9617-EB62219CAB3F}" name="Column11929"/>
    <tableColumn id="11935" xr3:uid="{3E371595-76F6-4F7A-BA83-5C7AEA395990}" name="Column11930"/>
    <tableColumn id="11936" xr3:uid="{3E96C4E9-8FF3-48C1-B06F-BF6C69C00FD8}" name="Column11931"/>
    <tableColumn id="11937" xr3:uid="{E5455A9B-2726-4879-B01B-31ACAA65BDD6}" name="Column11932"/>
    <tableColumn id="11938" xr3:uid="{A432E8E9-3049-4D53-99E4-AFB144B969A8}" name="Column11933"/>
    <tableColumn id="11939" xr3:uid="{57AE7721-4D16-4EC5-AD88-E39D8C4089F0}" name="Column11934"/>
    <tableColumn id="11940" xr3:uid="{E9120290-2E09-46B1-887A-EC34BD0A0F57}" name="Column11935"/>
    <tableColumn id="11941" xr3:uid="{FC2768D4-DB70-4BD2-9128-ED8C71E489E8}" name="Column11936"/>
    <tableColumn id="11942" xr3:uid="{0E00ED27-7FEF-4A9B-A627-405B200878DB}" name="Column11937"/>
    <tableColumn id="11943" xr3:uid="{CCB990E5-3096-4862-BD59-8C3E780763DC}" name="Column11938"/>
    <tableColumn id="11944" xr3:uid="{D94C0777-B450-4AFA-A03F-92F18B25D462}" name="Column11939"/>
    <tableColumn id="11945" xr3:uid="{BF7F57A5-A2BA-41F8-951E-7FA9B7F23943}" name="Column11940"/>
    <tableColumn id="11946" xr3:uid="{7E151391-1C20-4C6E-B0C9-AA3FF830B476}" name="Column11941"/>
    <tableColumn id="11947" xr3:uid="{7E4F193F-FEF8-47AA-BC87-8C3ECEF19E3E}" name="Column11942"/>
    <tableColumn id="11948" xr3:uid="{BC68F142-0368-4C78-8685-E9D5735278F6}" name="Column11943"/>
    <tableColumn id="11949" xr3:uid="{63D965F0-1F73-4D49-8210-7083214C3C90}" name="Column11944"/>
    <tableColumn id="11950" xr3:uid="{78A8CB37-D424-4FD4-B0F3-E77D7F249FB1}" name="Column11945"/>
    <tableColumn id="11951" xr3:uid="{789353B7-A738-4ACE-B28F-DCBC14D83EE8}" name="Column11946"/>
    <tableColumn id="11952" xr3:uid="{E236FCD8-379C-4139-8910-946DEF7EC8AE}" name="Column11947"/>
    <tableColumn id="11953" xr3:uid="{8D08439A-2FA1-4BA9-A207-960914BBD8FA}" name="Column11948"/>
    <tableColumn id="11954" xr3:uid="{A9A31541-C5E3-4C37-A09A-DE4F9F30E3DF}" name="Column11949"/>
    <tableColumn id="11955" xr3:uid="{E25CA01E-641A-4242-9CE5-98AD05431D87}" name="Column11950"/>
    <tableColumn id="11956" xr3:uid="{109AE9E8-2B08-407F-ADCC-532681FAA31E}" name="Column11951"/>
    <tableColumn id="11957" xr3:uid="{6A9E6052-3037-447F-BA19-8B4D67852602}" name="Column11952"/>
    <tableColumn id="11958" xr3:uid="{7FC11FC4-C017-4AF5-9D9D-ED9F2AA25FA5}" name="Column11953"/>
    <tableColumn id="11959" xr3:uid="{110BF4E7-DE0E-4E2F-9310-F6DE16944B46}" name="Column11954"/>
    <tableColumn id="11960" xr3:uid="{DD21CB7E-E3F4-4267-B737-01E25A30BB8D}" name="Column11955"/>
    <tableColumn id="11961" xr3:uid="{4F7945B5-B858-4454-B126-F7C3037C9CBE}" name="Column11956"/>
    <tableColumn id="11962" xr3:uid="{2A9B2BC5-F3F4-4A37-8684-350D5860A132}" name="Column11957"/>
    <tableColumn id="11963" xr3:uid="{8766B424-BA9F-4AD4-A16E-81860BE5B625}" name="Column11958"/>
    <tableColumn id="11964" xr3:uid="{B4845B39-E46D-40A2-8B1B-5D976E5ACC9E}" name="Column11959"/>
    <tableColumn id="11965" xr3:uid="{0A074F13-FC8B-4B38-B382-CC49148A871C}" name="Column11960"/>
    <tableColumn id="11966" xr3:uid="{73A8259A-2D39-4647-9B96-84C4839600A5}" name="Column11961"/>
    <tableColumn id="11967" xr3:uid="{41859F9C-4FFC-441F-8CE5-374CED00B05F}" name="Column11962"/>
    <tableColumn id="11968" xr3:uid="{40789B30-5FF7-4C4A-98D4-3CFDF4E91F95}" name="Column11963"/>
    <tableColumn id="11969" xr3:uid="{1B5591E1-0664-4A22-8562-AA1D17DE38E3}" name="Column11964"/>
    <tableColumn id="11970" xr3:uid="{54EB7F75-D882-4AB8-A933-9CE76EC0AC4C}" name="Column11965"/>
    <tableColumn id="11971" xr3:uid="{EA986DE1-58C8-4C3B-860A-396CBE0E6791}" name="Column11966"/>
    <tableColumn id="11972" xr3:uid="{113ABB1D-9530-4E09-B19A-3E21BA557C99}" name="Column11967"/>
    <tableColumn id="11973" xr3:uid="{032C6EEF-A6DD-4B74-A2FA-693F869B262E}" name="Column11968"/>
    <tableColumn id="11974" xr3:uid="{F3A8A74F-78D7-4EBA-B273-80A9B06A60AA}" name="Column11969"/>
    <tableColumn id="11975" xr3:uid="{FE429B46-0461-4D7B-BB48-BE0900879AEF}" name="Column11970"/>
    <tableColumn id="11976" xr3:uid="{C81CBD49-E347-47D1-8FFA-1CDCEBD3DB10}" name="Column11971"/>
    <tableColumn id="11977" xr3:uid="{AC9C48F6-8F1F-4736-B11D-02AAD583440D}" name="Column11972"/>
    <tableColumn id="11978" xr3:uid="{A49F9A2D-FC7E-4B59-A553-92862F838A3A}" name="Column11973"/>
    <tableColumn id="11979" xr3:uid="{4584A12B-FF80-4C8E-B67F-93BD22E2560F}" name="Column11974"/>
    <tableColumn id="11980" xr3:uid="{B45F467D-0DE7-4EA5-B2B4-F17DB5551FF1}" name="Column11975"/>
    <tableColumn id="11981" xr3:uid="{9DCF6B0E-91EE-4C7D-AA47-7826600B5434}" name="Column11976"/>
    <tableColumn id="11982" xr3:uid="{49FBFBBA-8A41-4A16-ABE0-AC0628A7457E}" name="Column11977"/>
    <tableColumn id="11983" xr3:uid="{9A6367AA-16B4-4284-9124-6A0DE10C4B98}" name="Column11978"/>
    <tableColumn id="11984" xr3:uid="{B007EB33-06A9-41BE-90F4-C99EA63BDC3F}" name="Column11979"/>
    <tableColumn id="11985" xr3:uid="{EA604B5B-D7A4-4C8A-89AE-D0CC0E685292}" name="Column11980"/>
    <tableColumn id="11986" xr3:uid="{5F993EBF-04E3-4121-B554-F500F6A49526}" name="Column11981"/>
    <tableColumn id="11987" xr3:uid="{4A7EE5A4-8BC1-4EA6-A6CB-54EBBD83A055}" name="Column11982"/>
    <tableColumn id="11988" xr3:uid="{8402D160-0AD6-466C-9913-345F18C535F6}" name="Column11983"/>
    <tableColumn id="11989" xr3:uid="{D5DCA05C-1C2F-4AAD-A686-5412F9F5652C}" name="Column11984"/>
    <tableColumn id="11990" xr3:uid="{94CCF743-0BCD-4726-95E4-EFDDB0690934}" name="Column11985"/>
    <tableColumn id="11991" xr3:uid="{8E2EBCE1-1CC6-4EE8-AB67-C14902EB6A30}" name="Column11986"/>
    <tableColumn id="11992" xr3:uid="{D1BE999B-D6AD-4787-975A-D690CB7C4432}" name="Column11987"/>
    <tableColumn id="11993" xr3:uid="{AA68931E-08EE-4314-80F0-8D714D7DC931}" name="Column11988"/>
    <tableColumn id="11994" xr3:uid="{9C2B04A3-A182-4DEF-B6EC-EDB359BF7835}" name="Column11989"/>
    <tableColumn id="11995" xr3:uid="{6C93462E-B96F-4135-8BC7-7CA9BA392F3C}" name="Column11990"/>
    <tableColumn id="11996" xr3:uid="{5B06911F-D7FE-4B82-9637-3F8DEE0DF5CD}" name="Column11991"/>
    <tableColumn id="11997" xr3:uid="{32A0921B-049F-4C49-B299-4B5116674CA3}" name="Column11992"/>
    <tableColumn id="11998" xr3:uid="{5FF830A2-0899-44AE-9B77-03EFB0C75966}" name="Column11993"/>
    <tableColumn id="11999" xr3:uid="{51D216DA-B184-48E5-A323-A32FEBF71248}" name="Column11994"/>
    <tableColumn id="12000" xr3:uid="{30C0A658-B245-4B4C-86DD-413FA7C460ED}" name="Column11995"/>
    <tableColumn id="12001" xr3:uid="{BE5BC3A7-ED40-48C4-989C-45B2CC546881}" name="Column11996"/>
    <tableColumn id="12002" xr3:uid="{4B74DBD0-8712-4C9E-BD8E-AE423ABC6F68}" name="Column11997"/>
    <tableColumn id="12003" xr3:uid="{D06D5417-7287-483F-8DC5-90C3CC7062D0}" name="Column11998"/>
    <tableColumn id="12004" xr3:uid="{219424FF-48B6-45DB-8ED5-6C1615FF730F}" name="Column11999"/>
    <tableColumn id="12005" xr3:uid="{C7AEA6B0-505A-479D-A7AA-D08B00AE3C46}" name="Column12000"/>
    <tableColumn id="12006" xr3:uid="{3BEBF9AF-7DB5-44B5-9B34-3183E6393DC9}" name="Column12001"/>
    <tableColumn id="12007" xr3:uid="{B936BBCD-0436-4E1E-846D-EAE646498E53}" name="Column12002"/>
    <tableColumn id="12008" xr3:uid="{B4528E5F-6FF7-453D-9BF0-D42B24E98459}" name="Column12003"/>
    <tableColumn id="12009" xr3:uid="{FB5D44B6-A1B5-4B57-A342-BB15DB8168C0}" name="Column12004"/>
    <tableColumn id="12010" xr3:uid="{2A6AD60E-9F8C-4238-A795-43035F48865C}" name="Column12005"/>
    <tableColumn id="12011" xr3:uid="{56B85677-7417-474D-AE78-A1B653CA50EB}" name="Column12006"/>
    <tableColumn id="12012" xr3:uid="{84AA784D-1EB0-46E5-8378-57FFC5F100F4}" name="Column12007"/>
    <tableColumn id="12013" xr3:uid="{80EB2B7B-479E-4698-BF10-7D1AD60BD84E}" name="Column12008"/>
    <tableColumn id="12014" xr3:uid="{6C64DAF3-EAAB-4ECA-BDF5-95EDDFFDA964}" name="Column12009"/>
    <tableColumn id="12015" xr3:uid="{05CA0EE7-08A7-4A09-ADE7-44B0DF3D0FB2}" name="Column12010"/>
    <tableColumn id="12016" xr3:uid="{0A2070D7-267C-420C-9B88-052CEEAF81CC}" name="Column12011"/>
    <tableColumn id="12017" xr3:uid="{65D6BFBE-868B-43E4-A680-9E2FBB6ADD0D}" name="Column12012"/>
    <tableColumn id="12018" xr3:uid="{FD5EB487-7366-43B1-88BC-DC23579D0B75}" name="Column12013"/>
    <tableColumn id="12019" xr3:uid="{1911A6BB-5A82-47F6-A2B5-427946F82E14}" name="Column12014"/>
    <tableColumn id="12020" xr3:uid="{C311B85C-B4B6-4BA8-821E-0D8043EF5E0E}" name="Column12015"/>
    <tableColumn id="12021" xr3:uid="{25E0BC15-C091-4F14-9FB1-96E036DBC848}" name="Column12016"/>
    <tableColumn id="12022" xr3:uid="{97BD20E5-B212-4F89-8660-99A0096AD045}" name="Column12017"/>
    <tableColumn id="12023" xr3:uid="{726E17EF-99D4-4024-8FD8-B620D8650D35}" name="Column12018"/>
    <tableColumn id="12024" xr3:uid="{8B7A19FA-4E07-4DC2-9CC8-1F6513168721}" name="Column12019"/>
    <tableColumn id="12025" xr3:uid="{9A3D5E37-EE1E-40B3-9C8E-FF9B7832B319}" name="Column12020"/>
    <tableColumn id="12026" xr3:uid="{C5DD31DB-7B0D-40C9-846B-00BF88A9DC91}" name="Column12021"/>
    <tableColumn id="12027" xr3:uid="{56A4577D-E18E-4BD6-B581-177F60CDAC44}" name="Column12022"/>
    <tableColumn id="12028" xr3:uid="{E5AE2CD7-9752-4067-BF42-B53F82344C1B}" name="Column12023"/>
    <tableColumn id="12029" xr3:uid="{3F8BC3EA-AF85-427A-9632-6B5C62A38E7C}" name="Column12024"/>
    <tableColumn id="12030" xr3:uid="{415A76EF-A657-4037-8BFE-F945177F3204}" name="Column12025"/>
    <tableColumn id="12031" xr3:uid="{3CC7431C-2574-4172-83CB-3ECD8A18A4EB}" name="Column12026"/>
    <tableColumn id="12032" xr3:uid="{2EDE7CDB-3093-4E4A-B694-50E6A6ADF980}" name="Column12027"/>
    <tableColumn id="12033" xr3:uid="{D930CA43-EF23-4624-AC75-2C9C579E5D0B}" name="Column12028"/>
    <tableColumn id="12034" xr3:uid="{5D3A2115-2CA5-4543-9D8B-A491BA61D4FE}" name="Column12029"/>
    <tableColumn id="12035" xr3:uid="{2C616B9C-E0DC-4EBA-BA83-B874FE30BCDA}" name="Column12030"/>
    <tableColumn id="12036" xr3:uid="{DBEEC6A1-F7BE-47D7-BD9D-3976C0F1142F}" name="Column12031"/>
    <tableColumn id="12037" xr3:uid="{8237C5E3-2E23-4436-B262-28D61C3352E2}" name="Column12032"/>
    <tableColumn id="12038" xr3:uid="{EED18304-340C-4B33-9EAC-908193324EF5}" name="Column12033"/>
    <tableColumn id="12039" xr3:uid="{95C4CD77-6603-45E6-910B-D07603A4C548}" name="Column12034"/>
    <tableColumn id="12040" xr3:uid="{671BE3CE-C0F1-47F0-82BC-8A44EEB64C08}" name="Column12035"/>
    <tableColumn id="12041" xr3:uid="{507EA0E8-92DF-45F4-8A64-68BD1000E019}" name="Column12036"/>
    <tableColumn id="12042" xr3:uid="{4C322DCF-D727-4FAA-8629-8F68DC6BD5C2}" name="Column12037"/>
    <tableColumn id="12043" xr3:uid="{2A86827D-A9D6-4CC8-B7C1-D90B4A59752D}" name="Column12038"/>
    <tableColumn id="12044" xr3:uid="{9A678D1F-F5B1-475B-BE4F-EEF034189272}" name="Column12039"/>
    <tableColumn id="12045" xr3:uid="{DE66CC59-B352-420F-A578-37ACA59C2EA8}" name="Column12040"/>
    <tableColumn id="12046" xr3:uid="{986979CB-0D7D-4E15-B069-922967E83DAF}" name="Column12041"/>
    <tableColumn id="12047" xr3:uid="{BB94BD11-1DA3-4B62-BC1C-60546B4CFB18}" name="Column12042"/>
    <tableColumn id="12048" xr3:uid="{E8CF7F6A-8103-4215-865C-612371901D90}" name="Column12043"/>
    <tableColumn id="12049" xr3:uid="{A9EAE45C-98E7-44BA-893E-356C74F17D76}" name="Column12044"/>
    <tableColumn id="12050" xr3:uid="{EEC35A79-6AA5-48BD-8892-C1A035C0FF0A}" name="Column12045"/>
    <tableColumn id="12051" xr3:uid="{C9057B78-901F-4BB2-B74C-A599B3809D4D}" name="Column12046"/>
    <tableColumn id="12052" xr3:uid="{87BEE064-CFC0-4AE6-8DE5-13887F9936F4}" name="Column12047"/>
    <tableColumn id="12053" xr3:uid="{F6D9515B-42FB-41A2-A922-A992A19ABE52}" name="Column12048"/>
    <tableColumn id="12054" xr3:uid="{DF63D4BF-1E4F-4AB6-9C53-CCDF5E288C5B}" name="Column12049"/>
    <tableColumn id="12055" xr3:uid="{C5DFD3BA-CCCA-4BDA-848E-4B5E712998E1}" name="Column12050"/>
    <tableColumn id="12056" xr3:uid="{0E7DF16B-7D65-4163-A19B-330600C43479}" name="Column12051"/>
    <tableColumn id="12057" xr3:uid="{B99717EA-7822-485D-93E1-47A5A056FFB6}" name="Column12052"/>
    <tableColumn id="12058" xr3:uid="{3DBE1F48-0928-4471-B1ED-814F0A0994A2}" name="Column12053"/>
    <tableColumn id="12059" xr3:uid="{AB2CB4C9-41A8-4E23-9CEB-61BCD41D777B}" name="Column12054"/>
    <tableColumn id="12060" xr3:uid="{E6012D9C-FA78-4186-8268-2B1D40292782}" name="Column12055"/>
    <tableColumn id="12061" xr3:uid="{A9073561-AE59-429C-963D-837EE9941F82}" name="Column12056"/>
    <tableColumn id="12062" xr3:uid="{3CD1E7E5-CB48-43A4-9CAB-98609161D8A0}" name="Column12057"/>
    <tableColumn id="12063" xr3:uid="{E0F01707-7606-483B-97FF-977ED0596C5A}" name="Column12058"/>
    <tableColumn id="12064" xr3:uid="{77029788-A15C-45D8-BA74-E5D97202FEE3}" name="Column12059"/>
    <tableColumn id="12065" xr3:uid="{FA30BF59-34AF-44B6-A101-048E88F5C759}" name="Column12060"/>
    <tableColumn id="12066" xr3:uid="{EBD7A9A8-D90A-4BF4-831D-300E6C061895}" name="Column12061"/>
    <tableColumn id="12067" xr3:uid="{E1DAE793-FE94-403F-B47B-88981B2EB232}" name="Column12062"/>
    <tableColumn id="12068" xr3:uid="{5655C84C-799E-406B-9F1A-40A65D2262A3}" name="Column12063"/>
    <tableColumn id="12069" xr3:uid="{B9508E82-BEE6-48B1-81C1-FE664D18CEC7}" name="Column12064"/>
    <tableColumn id="12070" xr3:uid="{D14FB9E9-5999-47AD-A297-ED4BCA22911E}" name="Column12065"/>
    <tableColumn id="12071" xr3:uid="{272637E7-8752-4D40-B0C7-245A2D46B96D}" name="Column12066"/>
    <tableColumn id="12072" xr3:uid="{709F471C-BCFF-454A-A23A-F52DB48C1084}" name="Column12067"/>
    <tableColumn id="12073" xr3:uid="{444D02D0-6F1F-4A2D-A99C-7A8F8101B311}" name="Column12068"/>
    <tableColumn id="12074" xr3:uid="{AA5D3C4D-B9A1-4A80-ACA2-1911425D0DB8}" name="Column12069"/>
    <tableColumn id="12075" xr3:uid="{27C23E1E-8EA2-4950-8A58-1E70689235BB}" name="Column12070"/>
    <tableColumn id="12076" xr3:uid="{39F7FBE1-5FF8-4335-980E-995F70B59F4E}" name="Column12071"/>
    <tableColumn id="12077" xr3:uid="{52919A28-D38E-4EFE-B102-3BCF27D36879}" name="Column12072"/>
    <tableColumn id="12078" xr3:uid="{6A9270A1-75C6-4B85-819B-F3972297F11E}" name="Column12073"/>
    <tableColumn id="12079" xr3:uid="{1BE92256-A245-460B-A30F-556661A27086}" name="Column12074"/>
    <tableColumn id="12080" xr3:uid="{2FA113DC-D757-48E5-A479-C8703736F978}" name="Column12075"/>
    <tableColumn id="12081" xr3:uid="{9BBC6350-3FE7-4A2C-A8C4-8A9542AB4471}" name="Column12076"/>
    <tableColumn id="12082" xr3:uid="{37489571-F10B-4952-9F98-BA7660C612D8}" name="Column12077"/>
    <tableColumn id="12083" xr3:uid="{ED0A97D7-7F97-4EFC-99B8-91EB4C092131}" name="Column12078"/>
    <tableColumn id="12084" xr3:uid="{340E3A19-A5F6-4756-B5A3-39692FE91E53}" name="Column12079"/>
    <tableColumn id="12085" xr3:uid="{BE23C8B7-8FC8-43A8-98B3-1ABAD22006AA}" name="Column12080"/>
    <tableColumn id="12086" xr3:uid="{40F390E6-4916-4AFF-8A60-F4CD1DFA153F}" name="Column12081"/>
    <tableColumn id="12087" xr3:uid="{13FB8E4C-88EA-4915-B945-E1EB5C163CA2}" name="Column12082"/>
    <tableColumn id="12088" xr3:uid="{E11487E2-0690-460A-9585-5E343A27E904}" name="Column12083"/>
    <tableColumn id="12089" xr3:uid="{24F99749-F953-4201-AE83-7B4DC11B19F8}" name="Column12084"/>
    <tableColumn id="12090" xr3:uid="{0E65B56E-5049-4658-9CB0-7C5F4192B51C}" name="Column12085"/>
    <tableColumn id="12091" xr3:uid="{D33EFB0F-178D-4EB2-896F-3CF02B87A346}" name="Column12086"/>
    <tableColumn id="12092" xr3:uid="{4024B810-34D2-4AF3-BA80-C9960B1847C3}" name="Column12087"/>
    <tableColumn id="12093" xr3:uid="{3232C1D4-5B8F-4B28-B2D2-2490504F04AE}" name="Column12088"/>
    <tableColumn id="12094" xr3:uid="{8A3E123C-E40D-4D99-973C-ACE171C44567}" name="Column12089"/>
    <tableColumn id="12095" xr3:uid="{C664E8FF-55A7-4FB5-8377-CB678A142332}" name="Column12090"/>
    <tableColumn id="12096" xr3:uid="{38FA09E2-304A-4424-8670-13CCA6C56977}" name="Column12091"/>
    <tableColumn id="12097" xr3:uid="{1DD9DF13-41A4-473E-A23C-D3F7705BC21C}" name="Column12092"/>
    <tableColumn id="12098" xr3:uid="{448EFEE6-3FC0-4EA8-84A2-25CD3ABA4D74}" name="Column12093"/>
    <tableColumn id="12099" xr3:uid="{10964519-E154-4146-97A8-FE245F739AB7}" name="Column12094"/>
    <tableColumn id="12100" xr3:uid="{8D440374-F07B-4392-ADED-120C1EBB5A8D}" name="Column12095"/>
    <tableColumn id="12101" xr3:uid="{43382280-6AA3-4CB2-A930-176CF0D00895}" name="Column12096"/>
    <tableColumn id="12102" xr3:uid="{82B74490-945F-420C-BF89-CBB3936BAF57}" name="Column12097"/>
    <tableColumn id="12103" xr3:uid="{9FAE2797-10B3-4276-B64A-731EE5723F1F}" name="Column12098"/>
    <tableColumn id="12104" xr3:uid="{52F044E9-19E7-4E08-804B-EB67CB7A0994}" name="Column12099"/>
    <tableColumn id="12105" xr3:uid="{58E4E5B1-BFE2-4B18-B4B2-3BD55C3F9CCB}" name="Column12100"/>
    <tableColumn id="12106" xr3:uid="{3E109B18-9394-46E5-8A0C-51562593C598}" name="Column12101"/>
    <tableColumn id="12107" xr3:uid="{11CF2C66-B89F-455E-8177-160229AE3096}" name="Column12102"/>
    <tableColumn id="12108" xr3:uid="{22E36447-DD52-4B1F-ACC5-A3D66CB7209E}" name="Column12103"/>
    <tableColumn id="12109" xr3:uid="{401293B4-3FDF-4D43-9491-09FAC0536B2D}" name="Column12104"/>
    <tableColumn id="12110" xr3:uid="{67D6394A-1923-4E75-BA75-7D012B840967}" name="Column12105"/>
    <tableColumn id="12111" xr3:uid="{43BCF2A1-1CFE-4911-9D63-B0FE448FC7FB}" name="Column12106"/>
    <tableColumn id="12112" xr3:uid="{780A9891-FC69-48D1-846E-8D163C5C830F}" name="Column12107"/>
    <tableColumn id="12113" xr3:uid="{C345485C-F345-4B6B-8B8E-ED256A737DBD}" name="Column12108"/>
    <tableColumn id="12114" xr3:uid="{E31C86EA-7807-4CCD-A9D3-008B4D368FED}" name="Column12109"/>
    <tableColumn id="12115" xr3:uid="{F72809EF-66AF-4A80-80B9-54807098826F}" name="Column12110"/>
    <tableColumn id="12116" xr3:uid="{DACA097D-6F88-426F-BC72-D3AC8F2A3F63}" name="Column12111"/>
    <tableColumn id="12117" xr3:uid="{38C9EDFF-61AD-4B69-9F90-B0FAA058DE1F}" name="Column12112"/>
    <tableColumn id="12118" xr3:uid="{16482A23-B9E2-4D20-B3C6-D95FFBDFF930}" name="Column12113"/>
    <tableColumn id="12119" xr3:uid="{B89DCC6D-B354-4430-87FA-FF56D5033685}" name="Column12114"/>
    <tableColumn id="12120" xr3:uid="{9CBC7AA5-A703-44D5-84EC-ADBD41D1DBFE}" name="Column12115"/>
    <tableColumn id="12121" xr3:uid="{1BECC197-A550-4C7D-B9D3-4355E25D6C48}" name="Column12116"/>
    <tableColumn id="12122" xr3:uid="{58E0DF1E-43B3-4F15-A6B2-F721FF9EA97F}" name="Column12117"/>
    <tableColumn id="12123" xr3:uid="{6D28D385-183E-4AC6-BF2B-237079D065F6}" name="Column12118"/>
    <tableColumn id="12124" xr3:uid="{AE56F544-2E5E-4C51-BC94-E3CAD0F8CC03}" name="Column12119"/>
    <tableColumn id="12125" xr3:uid="{E5CC4A87-99FB-4817-85C3-35B93213ADA1}" name="Column12120"/>
    <tableColumn id="12126" xr3:uid="{C2784B7E-73DB-48D3-949F-DDB684CD6642}" name="Column12121"/>
    <tableColumn id="12127" xr3:uid="{2455ADAC-3934-43E1-B2A9-FF10880033B1}" name="Column12122"/>
    <tableColumn id="12128" xr3:uid="{6BB42F56-8C1B-4ADC-B711-DCD241FBDC10}" name="Column12123"/>
    <tableColumn id="12129" xr3:uid="{4E82B180-A1C0-4428-9DCD-239907812C6B}" name="Column12124"/>
    <tableColumn id="12130" xr3:uid="{92E0094D-7E9A-4485-99B4-D1DE67C64B17}" name="Column12125"/>
    <tableColumn id="12131" xr3:uid="{C2F7A3BB-B3EF-4F88-8B50-DB069B753D17}" name="Column12126"/>
    <tableColumn id="12132" xr3:uid="{A879F0F1-7562-424D-9F94-DBC1F2CCDACE}" name="Column12127"/>
    <tableColumn id="12133" xr3:uid="{00F3B7EE-4702-4826-9276-263BD937BDF0}" name="Column12128"/>
    <tableColumn id="12134" xr3:uid="{5FD0CCA5-4A19-43DE-A973-3632E69819DD}" name="Column12129"/>
    <tableColumn id="12135" xr3:uid="{27D76A46-F32B-4111-9F49-E03EF74CAB68}" name="Column12130"/>
    <tableColumn id="12136" xr3:uid="{4CF8C921-CFF6-4D4A-A217-CD76C642B832}" name="Column12131"/>
    <tableColumn id="12137" xr3:uid="{2DD85179-0317-470A-8DC3-CE06D5A9EBB4}" name="Column12132"/>
    <tableColumn id="12138" xr3:uid="{6855DB08-AED1-4B72-AB78-F30E949BD407}" name="Column12133"/>
    <tableColumn id="12139" xr3:uid="{74EB3FD4-9B27-41D2-8920-4929F44652B1}" name="Column12134"/>
    <tableColumn id="12140" xr3:uid="{06F929D7-5AAB-4660-8673-371DBBA4CFE0}" name="Column12135"/>
    <tableColumn id="12141" xr3:uid="{BEE5C1E2-04A6-444A-AC15-64D92575F509}" name="Column12136"/>
    <tableColumn id="12142" xr3:uid="{5306A85E-24E0-4A68-8D80-DF35A1545688}" name="Column12137"/>
    <tableColumn id="12143" xr3:uid="{F350A7EC-D2F0-4562-8D99-80D372A04EB0}" name="Column12138"/>
    <tableColumn id="12144" xr3:uid="{41BAD3F4-C910-4797-BD7D-070D4400DB62}" name="Column12139"/>
    <tableColumn id="12145" xr3:uid="{89E7A9A1-0CE7-4745-A871-2F05058449BF}" name="Column12140"/>
    <tableColumn id="12146" xr3:uid="{A65758F5-8940-4DAB-8CDC-A56ADD1A07D4}" name="Column12141"/>
    <tableColumn id="12147" xr3:uid="{760B42B0-C6C6-4FFF-822F-9A07DD8EF938}" name="Column12142"/>
    <tableColumn id="12148" xr3:uid="{7ECFEF1A-E54E-4E2B-BBF4-6B675770E279}" name="Column12143"/>
    <tableColumn id="12149" xr3:uid="{FF4F13E7-6355-46D0-9373-4FDE9F4BDAB4}" name="Column12144"/>
    <tableColumn id="12150" xr3:uid="{F3AFB01F-9D7E-44BD-A861-481A64D2FC8E}" name="Column12145"/>
    <tableColumn id="12151" xr3:uid="{021A3F8D-77B5-4460-83DB-223C3717EE90}" name="Column12146"/>
    <tableColumn id="12152" xr3:uid="{838C5BF4-0CCF-4B01-AE99-881D18C2912D}" name="Column12147"/>
    <tableColumn id="12153" xr3:uid="{4DF8A5EF-158B-4424-B390-85ED3DEE16ED}" name="Column12148"/>
    <tableColumn id="12154" xr3:uid="{B09B8C18-DA44-4E88-96F6-3BE67324D5D4}" name="Column12149"/>
    <tableColumn id="12155" xr3:uid="{9528DBE8-E54A-4172-AE03-0305EC36F9F9}" name="Column12150"/>
    <tableColumn id="12156" xr3:uid="{10A2A949-1A52-41A8-ABF7-E0610646F064}" name="Column12151"/>
    <tableColumn id="12157" xr3:uid="{5F9C8C09-99C2-4256-A91A-AD8EB2D12E2A}" name="Column12152"/>
    <tableColumn id="12158" xr3:uid="{F5E38C9E-B04F-415C-B07E-E6C75903A191}" name="Column12153"/>
    <tableColumn id="12159" xr3:uid="{5D3EED3F-928A-4DCA-B69A-0E9C501993CC}" name="Column12154"/>
    <tableColumn id="12160" xr3:uid="{F10FD55F-36E8-47FE-B4FE-27A33A5A729D}" name="Column12155"/>
    <tableColumn id="12161" xr3:uid="{BACA57B1-74A1-41A4-B088-23D5B7C2C918}" name="Column12156"/>
    <tableColumn id="12162" xr3:uid="{70709B00-35BE-484B-BFF3-02412739A784}" name="Column12157"/>
    <tableColumn id="12163" xr3:uid="{0F0EFF99-9321-4ECD-A6D2-DED9C71C162A}" name="Column12158"/>
    <tableColumn id="12164" xr3:uid="{D6834863-1A22-4976-AD29-83C1B89B2AAD}" name="Column12159"/>
    <tableColumn id="12165" xr3:uid="{31F85CBF-54B3-43F8-846D-DBAEFA7E7A27}" name="Column12160"/>
    <tableColumn id="12166" xr3:uid="{0B80A9CE-AF56-4FF4-9003-17EB5782630C}" name="Column12161"/>
    <tableColumn id="12167" xr3:uid="{159EF284-E19C-4C2E-8E96-41BE86EB2B16}" name="Column12162"/>
    <tableColumn id="12168" xr3:uid="{8E47AB31-9FDD-4DA2-B922-DBB2EB2DB642}" name="Column12163"/>
    <tableColumn id="12169" xr3:uid="{4F3C900A-F649-4A2D-81AF-7C1303E0E0E7}" name="Column12164"/>
    <tableColumn id="12170" xr3:uid="{A363D8CB-F154-4988-BC5E-7B2D3A73BA86}" name="Column12165"/>
    <tableColumn id="12171" xr3:uid="{4C00C735-5A1A-4CC7-83C9-3926B07043A2}" name="Column12166"/>
    <tableColumn id="12172" xr3:uid="{A30DF95E-9A03-4D7C-A022-BFC38E93EC06}" name="Column12167"/>
    <tableColumn id="12173" xr3:uid="{D08EE686-ED7A-4CBB-876F-8B18E20BB899}" name="Column12168"/>
    <tableColumn id="12174" xr3:uid="{D9FE935E-F640-405B-88B4-7A500F9C0C49}" name="Column12169"/>
    <tableColumn id="12175" xr3:uid="{2279C4A9-D3EC-44C5-BC42-F48402CD7B2A}" name="Column12170"/>
    <tableColumn id="12176" xr3:uid="{D8BB39F8-C35E-4280-9AEB-4963E60C3952}" name="Column12171"/>
    <tableColumn id="12177" xr3:uid="{ED08A838-09DF-4FD9-8D7F-9E2D2EDDBEA9}" name="Column12172"/>
    <tableColumn id="12178" xr3:uid="{58446ED7-FDE7-4DA9-84A1-50451E0B2B1C}" name="Column12173"/>
    <tableColumn id="12179" xr3:uid="{3DD0299D-3AA0-4918-8DA0-68F7CB3C6DFA}" name="Column12174"/>
    <tableColumn id="12180" xr3:uid="{D406B6CB-723C-44EA-AD2E-D9AC16E908EE}" name="Column12175"/>
    <tableColumn id="12181" xr3:uid="{94B94E26-2EEC-4CF5-B729-45052DF6F868}" name="Column12176"/>
    <tableColumn id="12182" xr3:uid="{586F9AE5-D214-4B33-8F96-4F62305CCA3C}" name="Column12177"/>
    <tableColumn id="12183" xr3:uid="{1E972765-0183-426D-9F65-22E659119274}" name="Column12178"/>
    <tableColumn id="12184" xr3:uid="{890C0B06-C0D6-4235-80B2-4281E42F9C0B}" name="Column12179"/>
    <tableColumn id="12185" xr3:uid="{7277C4F5-7A80-4AE5-80A4-E89279CFFAC4}" name="Column12180"/>
    <tableColumn id="12186" xr3:uid="{FD7849CC-3A16-4B48-9F3D-673810C2AB3E}" name="Column12181"/>
    <tableColumn id="12187" xr3:uid="{C0D56DC7-446C-45E0-8966-4C43F7878C4A}" name="Column12182"/>
    <tableColumn id="12188" xr3:uid="{017EE4CD-9AFC-4FFB-8AD9-1205305AE938}" name="Column12183"/>
    <tableColumn id="12189" xr3:uid="{9BDB39CE-FA6B-40F3-A73E-B2FC1A6007A1}" name="Column12184"/>
    <tableColumn id="12190" xr3:uid="{93F16A24-1C9E-4B2B-B766-B0CB66E32C05}" name="Column12185"/>
    <tableColumn id="12191" xr3:uid="{CE3006D0-7327-4895-B86B-A19D92C1D990}" name="Column12186"/>
    <tableColumn id="12192" xr3:uid="{3A494023-BC0E-4C8A-B011-A60C72639A05}" name="Column12187"/>
    <tableColumn id="12193" xr3:uid="{DA097138-293D-457A-986E-E33E394B725C}" name="Column12188"/>
    <tableColumn id="12194" xr3:uid="{EB489EF1-85E5-4D59-8F5A-022A9304388F}" name="Column12189"/>
    <tableColumn id="12195" xr3:uid="{27BAEA33-04CB-4742-8F55-4D2978F84E53}" name="Column12190"/>
    <tableColumn id="12196" xr3:uid="{5957A066-B47E-4426-B728-9CF85C83A443}" name="Column12191"/>
    <tableColumn id="12197" xr3:uid="{32C1853F-5BB4-47C4-80BF-9E06829FC8BE}" name="Column12192"/>
    <tableColumn id="12198" xr3:uid="{CC36F83A-EBB8-489F-B8D8-F70672F1781A}" name="Column12193"/>
    <tableColumn id="12199" xr3:uid="{FA6C1D9E-223E-4DFE-96C8-45D7B6201F3C}" name="Column12194"/>
    <tableColumn id="12200" xr3:uid="{34822A03-BFB3-4A80-A04F-51C5B226E2DD}" name="Column12195"/>
    <tableColumn id="12201" xr3:uid="{467E2E9D-04F8-442E-A9A3-3795457F159A}" name="Column12196"/>
    <tableColumn id="12202" xr3:uid="{9C0C854F-9E70-4257-9DBD-FA6F50202483}" name="Column12197"/>
    <tableColumn id="12203" xr3:uid="{604D6C96-B2F0-439F-B7A7-6DF27776676C}" name="Column12198"/>
    <tableColumn id="12204" xr3:uid="{ECBA039E-2C73-4F35-9BF3-0BEAB4AF5A26}" name="Column12199"/>
    <tableColumn id="12205" xr3:uid="{3FF8BEC4-B0C0-49AB-8186-76B400717FE9}" name="Column12200"/>
    <tableColumn id="12206" xr3:uid="{3115564D-4D3E-4ABD-8828-CA99742DB124}" name="Column12201"/>
    <tableColumn id="12207" xr3:uid="{EDDB6391-E468-446C-9E8F-878D5C80B2A1}" name="Column12202"/>
    <tableColumn id="12208" xr3:uid="{3858BBF6-9C30-4929-867C-A3F60E74DA62}" name="Column12203"/>
    <tableColumn id="12209" xr3:uid="{20019B30-E596-4D51-ACF7-AFAA42BCD144}" name="Column12204"/>
    <tableColumn id="12210" xr3:uid="{5E5F6AAB-02D2-437D-ADE4-38AB878BE2DC}" name="Column12205"/>
    <tableColumn id="12211" xr3:uid="{F1DFB64B-94D6-4983-8EF5-30325689C65F}" name="Column12206"/>
    <tableColumn id="12212" xr3:uid="{6D57CB2A-9B0C-4C2F-951F-37A78B6FBA89}" name="Column12207"/>
    <tableColumn id="12213" xr3:uid="{A2679C6A-D07C-4091-839A-1D26AF1A7136}" name="Column12208"/>
    <tableColumn id="12214" xr3:uid="{F0FB07BD-535A-4D75-83FD-B5185670C8D3}" name="Column12209"/>
    <tableColumn id="12215" xr3:uid="{75C9641C-EE44-435C-B14D-AE09D590F646}" name="Column12210"/>
    <tableColumn id="12216" xr3:uid="{F5BC0BD9-8701-4774-92C7-06F7CDA622CD}" name="Column12211"/>
    <tableColumn id="12217" xr3:uid="{63FED1B3-1818-4A75-9B8D-1A8AAD78AFD0}" name="Column12212"/>
    <tableColumn id="12218" xr3:uid="{787E4E8F-0431-4D83-9C72-9CE43639BA24}" name="Column12213"/>
    <tableColumn id="12219" xr3:uid="{EA08093E-E979-451A-BBD7-6711B3AA4CFF}" name="Column12214"/>
    <tableColumn id="12220" xr3:uid="{4B06DD17-DB79-4CC2-90FD-7BBCB36A4319}" name="Column12215"/>
    <tableColumn id="12221" xr3:uid="{AFF1C2BD-8E0B-4140-8224-09F6A68BCDE2}" name="Column12216"/>
    <tableColumn id="12222" xr3:uid="{6CBCAE03-023F-4914-A654-651B4F601E30}" name="Column12217"/>
    <tableColumn id="12223" xr3:uid="{5ACBFF87-DE77-4B4C-8930-5F6F9A6CFD67}" name="Column12218"/>
    <tableColumn id="12224" xr3:uid="{78308130-7A0D-4FC6-8319-C8C4667884B8}" name="Column12219"/>
    <tableColumn id="12225" xr3:uid="{82ABDCE8-4E16-4B81-9B90-FFAF73620DFC}" name="Column12220"/>
    <tableColumn id="12226" xr3:uid="{87CE5FFE-65F8-46DC-B4B9-0A7770ECB1AA}" name="Column12221"/>
    <tableColumn id="12227" xr3:uid="{1BE494B0-20E0-4F6D-A3B0-0F749CBF7291}" name="Column12222"/>
    <tableColumn id="12228" xr3:uid="{D2D946EB-96B9-4771-BA62-9CC888F7A69A}" name="Column12223"/>
    <tableColumn id="12229" xr3:uid="{1D684390-B249-4348-9698-3D454C3DCB28}" name="Column12224"/>
    <tableColumn id="12230" xr3:uid="{CE5AFFC1-949B-4BDF-B9AB-2DE577B798CE}" name="Column12225"/>
    <tableColumn id="12231" xr3:uid="{929BE9D4-175B-448F-BBAB-0D56D264D728}" name="Column12226"/>
    <tableColumn id="12232" xr3:uid="{93790747-C85D-4DF8-8497-7AB8FF5F981B}" name="Column12227"/>
    <tableColumn id="12233" xr3:uid="{32E3166C-6B98-4D4C-B7B9-2B284F151FB9}" name="Column12228"/>
    <tableColumn id="12234" xr3:uid="{F47D7419-1709-471E-B913-CAAC47631081}" name="Column12229"/>
    <tableColumn id="12235" xr3:uid="{2889AB02-A50E-4A39-9EBF-38D1BECBE38F}" name="Column12230"/>
    <tableColumn id="12236" xr3:uid="{E6C1CDD8-0242-4E84-B8F0-D9AE3A63DA6F}" name="Column12231"/>
    <tableColumn id="12237" xr3:uid="{DDE030AB-4F0D-4DAA-9F57-3AFECFF0F9EF}" name="Column12232"/>
    <tableColumn id="12238" xr3:uid="{462BA9A6-CA69-47C0-A640-5C1F79D9ED87}" name="Column12233"/>
    <tableColumn id="12239" xr3:uid="{DBCD8D99-C684-4347-B54E-34DB84F27EAA}" name="Column12234"/>
    <tableColumn id="12240" xr3:uid="{7F94616F-E4A2-4A6F-88A1-2831909D0938}" name="Column12235"/>
    <tableColumn id="12241" xr3:uid="{055C3D56-B504-4459-B782-5CCF20170589}" name="Column12236"/>
    <tableColumn id="12242" xr3:uid="{27B19F42-9E65-45C5-9795-B6483BF3D9A2}" name="Column12237"/>
    <tableColumn id="12243" xr3:uid="{7884A127-45F0-43B8-B6FA-F915E74FA4F4}" name="Column12238"/>
    <tableColumn id="12244" xr3:uid="{F8B37247-AE95-49DB-89EB-BFDB8A50D9C5}" name="Column12239"/>
    <tableColumn id="12245" xr3:uid="{29DC343A-65A8-4813-954A-9C533EAE478A}" name="Column12240"/>
    <tableColumn id="12246" xr3:uid="{623103DB-0668-469B-9B45-5661D01471CD}" name="Column12241"/>
    <tableColumn id="12247" xr3:uid="{A3787027-B1E4-47DD-B409-CD1C2B2E41E5}" name="Column12242"/>
    <tableColumn id="12248" xr3:uid="{DB6E5383-87BC-4330-AC13-AE72CAE1B6B5}" name="Column12243"/>
    <tableColumn id="12249" xr3:uid="{2A2A9B2E-60DE-48B1-B6FE-F4A0F8CE01C4}" name="Column12244"/>
    <tableColumn id="12250" xr3:uid="{02E67D51-6F3D-44E4-A223-F5AAF60F4270}" name="Column12245"/>
    <tableColumn id="12251" xr3:uid="{FF2A528C-DF04-4ADF-89B4-532850A63EDF}" name="Column12246"/>
    <tableColumn id="12252" xr3:uid="{D6CA58B0-A2A5-4A44-ABEE-FFB0A5865419}" name="Column12247"/>
    <tableColumn id="12253" xr3:uid="{00118CB8-6DD7-4B7E-B55D-1136180FBDC3}" name="Column12248"/>
    <tableColumn id="12254" xr3:uid="{B2BC50C8-3DBF-4C49-AB7A-1735229D1BCA}" name="Column12249"/>
    <tableColumn id="12255" xr3:uid="{77370481-1405-4E2E-90FD-7CD90856B981}" name="Column12250"/>
    <tableColumn id="12256" xr3:uid="{1A3DE0C9-00FB-4147-961F-10FEC917DC46}" name="Column12251"/>
    <tableColumn id="12257" xr3:uid="{F7E67602-5102-4C16-9302-8693D718957C}" name="Column12252"/>
    <tableColumn id="12258" xr3:uid="{B8685D51-6C3F-492B-9278-AA11657A3247}" name="Column12253"/>
    <tableColumn id="12259" xr3:uid="{11DE05AF-12E2-42EB-8E8D-327F82D1499C}" name="Column12254"/>
    <tableColumn id="12260" xr3:uid="{3BA6E5BD-3CDD-4FA4-8B15-6DA6530CFC33}" name="Column12255"/>
    <tableColumn id="12261" xr3:uid="{D644B27C-0D59-4EF7-B041-FFD21757C96E}" name="Column12256"/>
    <tableColumn id="12262" xr3:uid="{E9D6B4FF-860C-40E4-8985-28974FF612C4}" name="Column12257"/>
    <tableColumn id="12263" xr3:uid="{800F76E3-F0C3-42E7-BC63-B48F3650273D}" name="Column12258"/>
    <tableColumn id="12264" xr3:uid="{5A2A656E-3A4F-41EF-A673-8FABFB701EAD}" name="Column12259"/>
    <tableColumn id="12265" xr3:uid="{B36ECCB1-E854-44CD-9907-CF2F2A6A295C}" name="Column12260"/>
    <tableColumn id="12266" xr3:uid="{C4551014-5788-4ED7-BA7A-7DE6836D34AE}" name="Column12261"/>
    <tableColumn id="12267" xr3:uid="{F7EBE425-E1A6-4BCA-A140-550E09A14C21}" name="Column12262"/>
    <tableColumn id="12268" xr3:uid="{1B28E465-15FC-4F0A-9E19-CE515473A157}" name="Column12263"/>
    <tableColumn id="12269" xr3:uid="{0EEACAE6-7836-4411-A1DD-E2C14B1D7A18}" name="Column12264"/>
    <tableColumn id="12270" xr3:uid="{D2F9075C-F69F-4D60-AB8A-2E4AD1A13311}" name="Column12265"/>
    <tableColumn id="12271" xr3:uid="{DB71EBC2-AF2F-4433-9F27-BD0A0C111443}" name="Column12266"/>
    <tableColumn id="12272" xr3:uid="{01FD6002-03BF-4643-8693-A6642E95E086}" name="Column12267"/>
    <tableColumn id="12273" xr3:uid="{2D7567E5-95B7-4E55-B36E-DBF95C6DF27F}" name="Column12268"/>
    <tableColumn id="12274" xr3:uid="{72AE2C5F-4ADC-4420-B763-EF54FDEE18DA}" name="Column12269"/>
    <tableColumn id="12275" xr3:uid="{1494CF8C-5686-49DC-ADEB-76DD20968570}" name="Column12270"/>
    <tableColumn id="12276" xr3:uid="{2144C8B2-E83A-4462-87F2-36ACF7039F44}" name="Column12271"/>
    <tableColumn id="12277" xr3:uid="{90F93788-CB8F-4DDE-828C-73447293B393}" name="Column12272"/>
    <tableColumn id="12278" xr3:uid="{622FFF0D-B907-4DCF-9C0A-8EC737FAF22F}" name="Column12273"/>
    <tableColumn id="12279" xr3:uid="{DADE96DE-B925-4CE4-98FB-BDB92DEB6198}" name="Column12274"/>
    <tableColumn id="12280" xr3:uid="{DDFC627D-F865-4C11-8F53-C59C24B258EA}" name="Column12275"/>
    <tableColumn id="12281" xr3:uid="{550C35D2-6A4C-4AB1-8603-734654D97B32}" name="Column12276"/>
    <tableColumn id="12282" xr3:uid="{6DDB76EB-CC7A-4A2B-8E55-EDA1F0B265B9}" name="Column12277"/>
    <tableColumn id="12283" xr3:uid="{AC7796DF-BF39-48EF-96B1-70FAB9C61701}" name="Column12278"/>
    <tableColumn id="12284" xr3:uid="{DF88C4A5-0FB1-42B2-B223-8750240F73D3}" name="Column12279"/>
    <tableColumn id="12285" xr3:uid="{B7468D25-54C6-4CF5-8B3D-C5D5D41C1523}" name="Column12280"/>
    <tableColumn id="12286" xr3:uid="{03A20F22-0719-45F7-AC6A-81FD0F4EF734}" name="Column12281"/>
    <tableColumn id="12287" xr3:uid="{8384BA02-87B3-48E6-8DB6-7629B6A98C39}" name="Column12282"/>
    <tableColumn id="12288" xr3:uid="{581EE3AE-15CE-48D7-9ACF-94BA5DD1AD81}" name="Column12283"/>
    <tableColumn id="12289" xr3:uid="{D055187A-D7D1-48F1-8D24-2C57D777DF91}" name="Column12284"/>
    <tableColumn id="12290" xr3:uid="{C48A8901-4BA8-4BDB-AC34-4A8ADE5F8B9B}" name="Column12285"/>
    <tableColumn id="12291" xr3:uid="{C5DB8614-ED4F-412C-BCA2-724712395148}" name="Column12286"/>
    <tableColumn id="12292" xr3:uid="{3D709F1C-3F2D-416B-992A-3CA02FD2E07B}" name="Column12287"/>
    <tableColumn id="12293" xr3:uid="{374FF323-46E2-4C8C-8FEF-FEA48F9B80B8}" name="Column12288"/>
    <tableColumn id="12294" xr3:uid="{F81F717C-2ED3-458E-AEB6-4255275A99AD}" name="Column12289"/>
    <tableColumn id="12295" xr3:uid="{015880C3-BDFC-46BD-98CB-210E5554DBF8}" name="Column12290"/>
    <tableColumn id="12296" xr3:uid="{81F47C2D-C294-4BC9-9D12-C920707D2264}" name="Column12291"/>
    <tableColumn id="12297" xr3:uid="{A3A5DB51-B0C9-4459-A4D9-13A4644B7D1C}" name="Column12292"/>
    <tableColumn id="12298" xr3:uid="{8187EA3C-3DC0-45E5-B139-8E6A97ECCAA8}" name="Column12293"/>
    <tableColumn id="12299" xr3:uid="{BAD1FC78-140D-40A3-874B-768A2A599DF5}" name="Column12294"/>
    <tableColumn id="12300" xr3:uid="{771A3CFF-0E1F-4BB5-B065-957AD1BB8FEE}" name="Column12295"/>
    <tableColumn id="12301" xr3:uid="{6DA57293-1352-40FF-B5C9-20429529C33A}" name="Column12296"/>
    <tableColumn id="12302" xr3:uid="{AEFCD1C7-3A92-4E06-9FBF-81BF94C0DC9B}" name="Column12297"/>
    <tableColumn id="12303" xr3:uid="{A118F1FC-E39C-49EE-993E-9C735C624C14}" name="Column12298"/>
    <tableColumn id="12304" xr3:uid="{10C1071B-E26E-4EA2-9E7F-8E1CBCA52128}" name="Column12299"/>
    <tableColumn id="12305" xr3:uid="{96CF6EBD-2E42-46CD-AC24-A4BE0D6213A6}" name="Column12300"/>
    <tableColumn id="12306" xr3:uid="{1B4BCBBB-1981-42D1-80D8-5F7022082D9F}" name="Column12301"/>
    <tableColumn id="12307" xr3:uid="{26CA1E66-4493-44DB-98CF-472E092B7812}" name="Column12302"/>
    <tableColumn id="12308" xr3:uid="{B0CD814A-D3C9-422E-AB71-65EB311AEF59}" name="Column12303"/>
    <tableColumn id="12309" xr3:uid="{B3D58A92-3834-4194-A31A-EE36C6A3E2FB}" name="Column12304"/>
    <tableColumn id="12310" xr3:uid="{D08EBD6D-E8F7-48C5-A268-8B548F3FBC32}" name="Column12305"/>
    <tableColumn id="12311" xr3:uid="{6E29B9E1-FDA0-44CA-B540-BC03F494B59C}" name="Column12306"/>
    <tableColumn id="12312" xr3:uid="{F96DC368-4CA7-4419-8EF2-3DD96B02A766}" name="Column12307"/>
    <tableColumn id="12313" xr3:uid="{2CD28654-65FE-463D-9BF5-65B5CC3981CF}" name="Column12308"/>
    <tableColumn id="12314" xr3:uid="{D2106D7F-A006-4727-BBA9-B32BE98747D5}" name="Column12309"/>
    <tableColumn id="12315" xr3:uid="{531E6E0D-AB84-4020-BA2B-9E137A2535D0}" name="Column12310"/>
    <tableColumn id="12316" xr3:uid="{7A214DDE-1093-480A-B1E3-2C11FBF11393}" name="Column12311"/>
    <tableColumn id="12317" xr3:uid="{2AB56E0B-4A10-4447-996B-8EAF283DE6E8}" name="Column12312"/>
    <tableColumn id="12318" xr3:uid="{D7AF826C-8321-49C0-96A0-69ADAF582145}" name="Column12313"/>
    <tableColumn id="12319" xr3:uid="{05921A3B-7265-486D-B966-057FA69DCB2A}" name="Column12314"/>
    <tableColumn id="12320" xr3:uid="{196C07BB-F02D-48C1-A35B-BCAF4891DE04}" name="Column12315"/>
    <tableColumn id="12321" xr3:uid="{A8290EBC-56CC-4757-983B-8B84C6AB5387}" name="Column12316"/>
    <tableColumn id="12322" xr3:uid="{CE97201E-3014-4565-AADE-115A546683EA}" name="Column12317"/>
    <tableColumn id="12323" xr3:uid="{108BB495-483D-481D-BAAC-A8FD383894A9}" name="Column12318"/>
    <tableColumn id="12324" xr3:uid="{1A67E540-777C-49E7-B519-5F480FC8E9C8}" name="Column12319"/>
    <tableColumn id="12325" xr3:uid="{7B23F913-F639-4793-92E9-2E35DE263033}" name="Column12320"/>
    <tableColumn id="12326" xr3:uid="{B1187790-5E11-40F3-B083-2641957922EC}" name="Column12321"/>
    <tableColumn id="12327" xr3:uid="{0255E5D8-EED4-473D-A86D-ACE2FFC97F93}" name="Column12322"/>
    <tableColumn id="12328" xr3:uid="{6268575B-2D90-4372-9B40-1E81CD8AD4B9}" name="Column12323"/>
    <tableColumn id="12329" xr3:uid="{3A8404E5-0082-4011-B19F-A4E541B37CF3}" name="Column12324"/>
    <tableColumn id="12330" xr3:uid="{D338386F-98F5-4AC3-AA57-9FF52886DA24}" name="Column12325"/>
    <tableColumn id="12331" xr3:uid="{AECF6BB6-2446-4259-8801-44B31DC354ED}" name="Column12326"/>
    <tableColumn id="12332" xr3:uid="{6DD3991B-F2CF-4000-91D4-7A3CFF2921D1}" name="Column12327"/>
    <tableColumn id="12333" xr3:uid="{A1924FB0-CB6C-48AF-A2C5-ADC856935420}" name="Column12328"/>
    <tableColumn id="12334" xr3:uid="{19626950-8AEA-4907-A1A5-84ADC6309C7D}" name="Column12329"/>
    <tableColumn id="12335" xr3:uid="{8BFAFC5C-0507-49F2-AD13-831A75A5351F}" name="Column12330"/>
    <tableColumn id="12336" xr3:uid="{AEA8A21E-C95D-47AF-A770-33581B588CBA}" name="Column12331"/>
    <tableColumn id="12337" xr3:uid="{C40C0F8F-1F94-4EB9-A925-7E234B362C9B}" name="Column12332"/>
    <tableColumn id="12338" xr3:uid="{D53AE61E-AC34-4BD9-A473-16BCC5120C9E}" name="Column12333"/>
    <tableColumn id="12339" xr3:uid="{D707A5BC-CC88-42F9-862A-8DA20811451F}" name="Column12334"/>
    <tableColumn id="12340" xr3:uid="{BAB82831-920B-4671-AF94-D0130D3507EC}" name="Column12335"/>
    <tableColumn id="12341" xr3:uid="{BE29CBF5-CD39-48FC-9278-8A31FB87C626}" name="Column12336"/>
    <tableColumn id="12342" xr3:uid="{BCE5917B-B9B0-412C-A97D-C19C99B49319}" name="Column12337"/>
    <tableColumn id="12343" xr3:uid="{9B348C2D-C201-4F11-BA34-DD7771D7ED6C}" name="Column12338"/>
    <tableColumn id="12344" xr3:uid="{6F7A573F-38C3-4240-9434-B88763D366FA}" name="Column12339"/>
    <tableColumn id="12345" xr3:uid="{D8B4E352-1D30-4F8A-A749-1A0EE847CB92}" name="Column12340"/>
    <tableColumn id="12346" xr3:uid="{F19B48F8-6444-4919-9EAA-D23C59145094}" name="Column12341"/>
    <tableColumn id="12347" xr3:uid="{164024EE-2D2E-43FC-9C55-077E7D96B870}" name="Column12342"/>
    <tableColumn id="12348" xr3:uid="{9DADC523-1FBE-4FE4-BD0D-A6E1A03C4215}" name="Column12343"/>
    <tableColumn id="12349" xr3:uid="{E8EF559D-22C9-4B89-A9DF-5C3524A580B2}" name="Column12344"/>
    <tableColumn id="12350" xr3:uid="{9A257B8A-23D2-4A94-8FF7-2ED9AE4D5CE7}" name="Column12345"/>
    <tableColumn id="12351" xr3:uid="{9A00DDC4-5C8E-44F8-89C5-007BE99EE25A}" name="Column12346"/>
    <tableColumn id="12352" xr3:uid="{70E33231-ABBF-42D8-9DF3-2EB331E8C800}" name="Column12347"/>
    <tableColumn id="12353" xr3:uid="{65464685-B459-4E7A-B12E-97E2A3A12B91}" name="Column12348"/>
    <tableColumn id="12354" xr3:uid="{B65CBA79-4A12-4CCF-8E0C-E6374161AC63}" name="Column12349"/>
    <tableColumn id="12355" xr3:uid="{B6A5181A-A656-4577-89AE-4300263A8019}" name="Column12350"/>
    <tableColumn id="12356" xr3:uid="{DF694B2C-3925-44F1-A22C-AF65ED110DFD}" name="Column12351"/>
    <tableColumn id="12357" xr3:uid="{4D8E48CA-2530-4A21-BB9C-C2DC153CD387}" name="Column12352"/>
    <tableColumn id="12358" xr3:uid="{CF2B74DF-EE2F-4542-B2AC-BAC0EC502250}" name="Column12353"/>
    <tableColumn id="12359" xr3:uid="{E9F1381E-6C7F-43E1-9AB3-10A1C4C29F4F}" name="Column12354"/>
    <tableColumn id="12360" xr3:uid="{9BC9192B-CAF4-4AC4-BE68-E09751E6175B}" name="Column12355"/>
    <tableColumn id="12361" xr3:uid="{EB175AD2-316C-4E25-AD0E-75E6BB7B7AEC}" name="Column12356"/>
    <tableColumn id="12362" xr3:uid="{12856476-5A45-4A36-BB0F-C900827C80CC}" name="Column12357"/>
    <tableColumn id="12363" xr3:uid="{F1D01699-E7F5-4630-B87D-361E46D7D007}" name="Column12358"/>
    <tableColumn id="12364" xr3:uid="{8340DB70-B509-46CE-89FD-A68A8594EBA1}" name="Column12359"/>
    <tableColumn id="12365" xr3:uid="{A723DFE4-83DF-4842-9F2D-35123F68AC7C}" name="Column12360"/>
    <tableColumn id="12366" xr3:uid="{2DC33BBB-20A9-4888-8BF0-7E3567CDAF3C}" name="Column12361"/>
    <tableColumn id="12367" xr3:uid="{5465E7EA-9480-4B3B-A4C1-9BE934C06596}" name="Column12362"/>
    <tableColumn id="12368" xr3:uid="{5F50A9C3-5578-40F7-B6E8-5BC5AE381433}" name="Column12363"/>
    <tableColumn id="12369" xr3:uid="{DF80C137-5BFD-40D3-BE12-1CD5A6E89707}" name="Column12364"/>
    <tableColumn id="12370" xr3:uid="{2F3AFAE1-BDB0-4B64-B3EE-8C930F1FC1EA}" name="Column12365"/>
    <tableColumn id="12371" xr3:uid="{1590571C-AA97-43DC-A868-D5C461E32BFF}" name="Column12366"/>
    <tableColumn id="12372" xr3:uid="{03CC7784-35A2-47D3-9B9E-34C5AF4B7E25}" name="Column12367"/>
    <tableColumn id="12373" xr3:uid="{E413DAAE-887C-4083-9EEF-B92CB8DC4FE7}" name="Column12368"/>
    <tableColumn id="12374" xr3:uid="{5F12705E-B03E-4C71-8438-9208148CBCB3}" name="Column12369"/>
    <tableColumn id="12375" xr3:uid="{20D861A8-3E8F-4B0F-8ABC-AECBB4F4CA3E}" name="Column12370"/>
    <tableColumn id="12376" xr3:uid="{F1631156-A5A8-4769-B74F-4F279CA0DBCA}" name="Column12371"/>
    <tableColumn id="12377" xr3:uid="{69B86A93-9E16-43EE-A804-1C8C21D14CEE}" name="Column12372"/>
    <tableColumn id="12378" xr3:uid="{BEFD4086-F23B-4C37-B7DA-06AFDF0E4811}" name="Column12373"/>
    <tableColumn id="12379" xr3:uid="{8B82A92D-0157-43DC-B460-726017AE737E}" name="Column12374"/>
    <tableColumn id="12380" xr3:uid="{7D5055DB-717F-4FAE-8395-ADD4D22D0CD5}" name="Column12375"/>
    <tableColumn id="12381" xr3:uid="{F2187461-3AEA-47A8-9D96-FC57640A8B1E}" name="Column12376"/>
    <tableColumn id="12382" xr3:uid="{35BBEAC1-F80A-4A94-B8B6-E7BF7DC5B8FA}" name="Column12377"/>
    <tableColumn id="12383" xr3:uid="{8DB092D0-E7AB-4931-9A68-DC6E72B0BDEB}" name="Column12378"/>
    <tableColumn id="12384" xr3:uid="{9AE715B8-F3D0-4B96-88E4-77E4967CC927}" name="Column12379"/>
    <tableColumn id="12385" xr3:uid="{C9553E71-8B02-4EBF-885C-AB3C5B8C874A}" name="Column12380"/>
    <tableColumn id="12386" xr3:uid="{11EF8648-3161-48BB-A689-614ADD73E09B}" name="Column12381"/>
    <tableColumn id="12387" xr3:uid="{9CCC360A-532B-4A46-AEA2-E81E7E559DC9}" name="Column12382"/>
    <tableColumn id="12388" xr3:uid="{7C5C2FAC-E527-4C8F-B4B9-B53897E3047E}" name="Column12383"/>
    <tableColumn id="12389" xr3:uid="{D61F2380-DF11-4BB6-80F0-F3BAEC0CF802}" name="Column12384"/>
    <tableColumn id="12390" xr3:uid="{397E8D76-7211-4AE5-9FA3-5610DFB7346E}" name="Column12385"/>
    <tableColumn id="12391" xr3:uid="{E1FFCF07-93D1-4338-859D-D13A342ABA0B}" name="Column12386"/>
    <tableColumn id="12392" xr3:uid="{D8DC1C91-5156-44AC-B612-51642A459A05}" name="Column12387"/>
    <tableColumn id="12393" xr3:uid="{064C1683-0C52-4F34-97EF-690F6560C1C6}" name="Column12388"/>
    <tableColumn id="12394" xr3:uid="{5225A8F9-277C-4181-A699-ECDB0D00DF0A}" name="Column12389"/>
    <tableColumn id="12395" xr3:uid="{0C4E0192-79BB-40D2-8B8B-39898CFA8F70}" name="Column12390"/>
    <tableColumn id="12396" xr3:uid="{2D081F1C-1B41-4F99-8718-A7CD775BF77A}" name="Column12391"/>
    <tableColumn id="12397" xr3:uid="{6329D8A5-17D6-4D8E-BDA3-C48563C0F170}" name="Column12392"/>
    <tableColumn id="12398" xr3:uid="{15107B63-7FA9-4693-8056-E61473D5D769}" name="Column12393"/>
    <tableColumn id="12399" xr3:uid="{17C1E876-8F52-4083-81E3-3C4B0602B967}" name="Column12394"/>
    <tableColumn id="12400" xr3:uid="{340EC975-5EF0-40B2-A0A5-280EC5D11827}" name="Column12395"/>
    <tableColumn id="12401" xr3:uid="{E9E1EFC9-AE2A-41C6-91BA-7FEEFF804547}" name="Column12396"/>
    <tableColumn id="12402" xr3:uid="{A73F74E7-5F7E-4A5A-97CB-9D280F40EFB9}" name="Column12397"/>
    <tableColumn id="12403" xr3:uid="{E5B3B752-D6D7-4DB0-AA74-36F4699CAB91}" name="Column12398"/>
    <tableColumn id="12404" xr3:uid="{5BEFC249-DA5D-4A07-AED0-2254C957889A}" name="Column12399"/>
    <tableColumn id="12405" xr3:uid="{0092DEF4-A75B-4DC6-8AB0-F6D5AD5DA77A}" name="Column12400"/>
    <tableColumn id="12406" xr3:uid="{9F31844D-EEC8-4916-80A3-0F941BFE0E39}" name="Column12401"/>
    <tableColumn id="12407" xr3:uid="{9918E6AA-8E80-44BA-AB30-DBD87397D2C9}" name="Column12402"/>
    <tableColumn id="12408" xr3:uid="{EA6CB2B4-F187-433F-9B4C-FE548012BB1D}" name="Column12403"/>
    <tableColumn id="12409" xr3:uid="{14AFB205-3DF3-4A92-BA04-308ED03EAC81}" name="Column12404"/>
    <tableColumn id="12410" xr3:uid="{30DAB4B7-D0FD-4D2E-A1AB-DB9D5003A76F}" name="Column12405"/>
    <tableColumn id="12411" xr3:uid="{1896D3A7-F7DF-4CFC-BDC1-413598B2F7BC}" name="Column12406"/>
    <tableColumn id="12412" xr3:uid="{0073D909-2BA0-412A-B005-FA0E763AD719}" name="Column12407"/>
    <tableColumn id="12413" xr3:uid="{6B297F59-C798-40F3-8616-5336E45E26AC}" name="Column12408"/>
    <tableColumn id="12414" xr3:uid="{53ABA71F-27AD-4621-97BC-FBF5E2C84515}" name="Column12409"/>
    <tableColumn id="12415" xr3:uid="{3D99C47B-F9DA-48C6-B417-4F3A298169CE}" name="Column12410"/>
    <tableColumn id="12416" xr3:uid="{5DDB1D4E-0630-4B82-A571-028B4183A126}" name="Column12411"/>
    <tableColumn id="12417" xr3:uid="{84989CD4-C28F-4913-AC75-C9F158802D65}" name="Column12412"/>
    <tableColumn id="12418" xr3:uid="{1BED9486-B7D5-4599-AF5D-37395DCBF2CE}" name="Column12413"/>
    <tableColumn id="12419" xr3:uid="{28DA2F47-DE8E-4C22-81DD-3391E05827D2}" name="Column12414"/>
    <tableColumn id="12420" xr3:uid="{7EFC3EB9-0BFC-4108-B379-96A3EC320436}" name="Column12415"/>
    <tableColumn id="12421" xr3:uid="{57A4AC72-32D8-439D-B7F9-F6F61DF244CF}" name="Column12416"/>
    <tableColumn id="12422" xr3:uid="{76E193E6-00BA-4432-887A-1CD12A836BE1}" name="Column12417"/>
    <tableColumn id="12423" xr3:uid="{F56F299B-3DB1-466E-8917-E13D8C3E5447}" name="Column12418"/>
    <tableColumn id="12424" xr3:uid="{49D22078-1D2B-4522-8651-806E06C62242}" name="Column12419"/>
    <tableColumn id="12425" xr3:uid="{E5AAD32C-1BA6-406F-AE17-D500006C72A7}" name="Column12420"/>
    <tableColumn id="12426" xr3:uid="{FDE394A7-30AA-4FDE-A639-012B9B805F45}" name="Column12421"/>
    <tableColumn id="12427" xr3:uid="{C44C06B6-A657-4EB1-AF65-4E2F9AB78342}" name="Column12422"/>
    <tableColumn id="12428" xr3:uid="{65362862-1D9F-4C74-9B94-108336334DD5}" name="Column12423"/>
    <tableColumn id="12429" xr3:uid="{B8C90F4D-7611-48FE-A82A-309FC99CAAF1}" name="Column12424"/>
    <tableColumn id="12430" xr3:uid="{2E87330B-B00D-401A-B1BA-1F63FDD814CA}" name="Column12425"/>
    <tableColumn id="12431" xr3:uid="{5403603E-0B96-4009-9A15-75F11668FA54}" name="Column12426"/>
    <tableColumn id="12432" xr3:uid="{49E66381-9101-4F8D-9224-F1551603507B}" name="Column12427"/>
    <tableColumn id="12433" xr3:uid="{8B60B34A-93C5-4026-8CB5-DA625F05F9C4}" name="Column12428"/>
    <tableColumn id="12434" xr3:uid="{5258F5AE-5794-4C40-941F-3C5DC46649CB}" name="Column12429"/>
    <tableColumn id="12435" xr3:uid="{4F0F3241-D8A5-42C5-8242-703D9FE2F6AC}" name="Column12430"/>
    <tableColumn id="12436" xr3:uid="{0A8FA275-1BC2-4E35-95D0-323132690187}" name="Column12431"/>
    <tableColumn id="12437" xr3:uid="{81B3FD6D-6661-4BCE-9B19-DF694C663D16}" name="Column12432"/>
    <tableColumn id="12438" xr3:uid="{18CCCC86-D784-4D47-876D-1859E26A7A01}" name="Column12433"/>
    <tableColumn id="12439" xr3:uid="{186087F9-5CF0-40F9-A1E5-E8BE84C46C63}" name="Column12434"/>
    <tableColumn id="12440" xr3:uid="{59BB8C9B-FCC1-4BF1-8658-77B6E5D0F703}" name="Column12435"/>
    <tableColumn id="12441" xr3:uid="{4F79EF1C-36E3-4B00-B65F-8305C7709A00}" name="Column12436"/>
    <tableColumn id="12442" xr3:uid="{8BC0A41B-B67C-4A77-80BA-EB4829983528}" name="Column12437"/>
    <tableColumn id="12443" xr3:uid="{69FD5D3D-2EDA-4783-9070-FA9E5B3899C4}" name="Column12438"/>
    <tableColumn id="12444" xr3:uid="{EAD5D9F2-3B8E-42B0-A4D7-6C3FDEB4A4AF}" name="Column12439"/>
    <tableColumn id="12445" xr3:uid="{EC6C1394-8915-4312-B218-38EE44D90A7C}" name="Column12440"/>
    <tableColumn id="12446" xr3:uid="{80B62C84-218D-4436-9B57-E9F3582F058E}" name="Column12441"/>
    <tableColumn id="12447" xr3:uid="{4A08760A-C034-4219-AE00-A47BEEC2EEC2}" name="Column12442"/>
    <tableColumn id="12448" xr3:uid="{C1C9ACA8-DD13-4B28-8F50-97EB644D505C}" name="Column12443"/>
    <tableColumn id="12449" xr3:uid="{A649B8CF-3C63-4CAE-9C8C-C510878BFB73}" name="Column12444"/>
    <tableColumn id="12450" xr3:uid="{9CB2B1B1-086B-4401-9085-4254AE391EE3}" name="Column12445"/>
    <tableColumn id="12451" xr3:uid="{F7D99570-CB6C-4169-8CF1-1D1AB064C1B3}" name="Column12446"/>
    <tableColumn id="12452" xr3:uid="{7709570A-4240-46B4-AFD4-0DE6F963DA17}" name="Column12447"/>
    <tableColumn id="12453" xr3:uid="{14EF33F6-0371-4C1B-907F-F71DCF6974A0}" name="Column12448"/>
    <tableColumn id="12454" xr3:uid="{2DCC7B9E-646F-4D7C-9BB6-3251C558A0F1}" name="Column12449"/>
    <tableColumn id="12455" xr3:uid="{7BA1131A-4570-41EE-A231-5CC54BFDDD0B}" name="Column12450"/>
    <tableColumn id="12456" xr3:uid="{0BAE45E6-4463-47CF-A5A0-B00E8A160519}" name="Column12451"/>
    <tableColumn id="12457" xr3:uid="{BA89363C-1962-4F93-BAB7-F5B0C88C684C}" name="Column12452"/>
    <tableColumn id="12458" xr3:uid="{407E843D-9254-4C64-947D-EAC47D3E4B17}" name="Column12453"/>
    <tableColumn id="12459" xr3:uid="{428B3719-7203-4046-9869-02A052A662CA}" name="Column12454"/>
    <tableColumn id="12460" xr3:uid="{A8901A3A-A19E-4C77-B80A-12B368A4959D}" name="Column12455"/>
    <tableColumn id="12461" xr3:uid="{15F0D098-C21F-4E63-B4E3-3DF41B09F0AB}" name="Column12456"/>
    <tableColumn id="12462" xr3:uid="{FB0CC2B3-6F9F-48E0-8408-9D73349C5796}" name="Column12457"/>
    <tableColumn id="12463" xr3:uid="{B69D6B99-3C23-4701-8E40-12E741FC1483}" name="Column12458"/>
    <tableColumn id="12464" xr3:uid="{BD667126-053A-4863-9F0B-76261D1FF802}" name="Column12459"/>
    <tableColumn id="12465" xr3:uid="{DC6B0C15-6CDF-496C-ABF9-C21041F99837}" name="Column12460"/>
    <tableColumn id="12466" xr3:uid="{5A51DAF3-0A7A-49D9-B062-45F82A6FFA29}" name="Column12461"/>
    <tableColumn id="12467" xr3:uid="{BFDAC488-C9AA-4683-8391-2B2FA1C17FBA}" name="Column12462"/>
    <tableColumn id="12468" xr3:uid="{A0CF53B3-06F2-4B9C-B2EC-AE173570AE8D}" name="Column12463"/>
    <tableColumn id="12469" xr3:uid="{8C5050FE-324C-4AA4-B60B-9557CB0593B6}" name="Column12464"/>
    <tableColumn id="12470" xr3:uid="{2096E96F-DF44-4BB2-9F8D-BF36A3CD2F15}" name="Column12465"/>
    <tableColumn id="12471" xr3:uid="{FA520984-EEB9-461E-9698-1C809880099F}" name="Column12466"/>
    <tableColumn id="12472" xr3:uid="{48EA46A3-5038-4354-BAB4-831D76348E3C}" name="Column12467"/>
    <tableColumn id="12473" xr3:uid="{7F45ABD0-5651-4946-9468-8CC6EF0BF119}" name="Column12468"/>
    <tableColumn id="12474" xr3:uid="{8F32CD20-A1D3-4E76-B075-FBFE203E65C8}" name="Column12469"/>
    <tableColumn id="12475" xr3:uid="{C3439174-ABA6-4DBE-A876-E8133A783966}" name="Column12470"/>
    <tableColumn id="12476" xr3:uid="{8162A628-2C66-4664-B9DF-44EE598A7221}" name="Column12471"/>
    <tableColumn id="12477" xr3:uid="{78501B59-3147-4584-B4CC-1A583CF9B5FD}" name="Column12472"/>
    <tableColumn id="12478" xr3:uid="{3286B52F-30DA-461C-AF31-80454220545B}" name="Column12473"/>
    <tableColumn id="12479" xr3:uid="{CA1D01F2-2400-4C08-95CC-49329FF038F6}" name="Column12474"/>
    <tableColumn id="12480" xr3:uid="{C8AAD60C-4CBF-4F54-9657-F1CC86CBBC5C}" name="Column12475"/>
    <tableColumn id="12481" xr3:uid="{3FBC1320-EBD7-49D6-AFE5-BCFAB7B79D8E}" name="Column12476"/>
    <tableColumn id="12482" xr3:uid="{97C393DF-41FA-4BB9-9C93-89D13EDEF700}" name="Column12477"/>
    <tableColumn id="12483" xr3:uid="{831EA894-C4FC-406D-939D-79C30BB08254}" name="Column12478"/>
    <tableColumn id="12484" xr3:uid="{87419DC8-D2A0-4949-8AD5-76354F90FEF3}" name="Column12479"/>
    <tableColumn id="12485" xr3:uid="{438A3934-CC53-4F32-9563-C67632E9488E}" name="Column12480"/>
    <tableColumn id="12486" xr3:uid="{E3ABDC27-A9B0-40B3-BEB5-D3FD3C6B1EB5}" name="Column12481"/>
    <tableColumn id="12487" xr3:uid="{DE5CFE98-5104-449D-83CC-99CDCD287C74}" name="Column12482"/>
    <tableColumn id="12488" xr3:uid="{5C810E8E-D86E-417C-AAEA-F8F2F66FB448}" name="Column12483"/>
    <tableColumn id="12489" xr3:uid="{8E02A5EB-B80D-4E6D-BE1D-8CC0224F6AEA}" name="Column12484"/>
    <tableColumn id="12490" xr3:uid="{D1E8E4A9-2112-412E-AD57-D47EA7D69F5F}" name="Column12485"/>
    <tableColumn id="12491" xr3:uid="{480C44E4-AA31-44A6-9306-1B436DC15498}" name="Column12486"/>
    <tableColumn id="12492" xr3:uid="{DA6F2EBF-0D71-4FEF-A132-56C4F4FC3CEC}" name="Column12487"/>
    <tableColumn id="12493" xr3:uid="{B2A94590-4C3A-408F-97B3-C39148FCE0AC}" name="Column12488"/>
    <tableColumn id="12494" xr3:uid="{3ACEEC9A-0ED1-49DB-92BA-168EE9831BDB}" name="Column12489"/>
    <tableColumn id="12495" xr3:uid="{A2B3E41B-FBA9-46C2-9719-4FE087F84812}" name="Column12490"/>
    <tableColumn id="12496" xr3:uid="{E38D40C1-35D5-48B5-9F11-08115F8FF342}" name="Column12491"/>
    <tableColumn id="12497" xr3:uid="{64B6A085-5B44-4050-A01D-6CD56A389F47}" name="Column12492"/>
    <tableColumn id="12498" xr3:uid="{59922E26-1B78-4A34-8BA8-3E262F7A5CB5}" name="Column12493"/>
    <tableColumn id="12499" xr3:uid="{BFC5A27F-1FC8-4778-860B-C6599B4CF2F9}" name="Column12494"/>
    <tableColumn id="12500" xr3:uid="{4B56DE61-07A8-4703-AB05-E39A5F1A5194}" name="Column12495"/>
    <tableColumn id="12501" xr3:uid="{16CA4CBB-1315-4F3E-B7D0-F7CBB8FF597E}" name="Column12496"/>
    <tableColumn id="12502" xr3:uid="{2E96AF46-B42F-4B99-86D3-5D17537AC536}" name="Column12497"/>
    <tableColumn id="12503" xr3:uid="{9CD3A705-40CF-4DBB-8AAE-F38B515145AE}" name="Column12498"/>
    <tableColumn id="12504" xr3:uid="{62184E16-2573-4347-82C4-73181796454B}" name="Column12499"/>
    <tableColumn id="12505" xr3:uid="{F43DD790-D9BC-474F-812E-7090C95463A1}" name="Column12500"/>
    <tableColumn id="12506" xr3:uid="{417AEFA7-9D2C-4681-8839-5B3E602E02EA}" name="Column12501"/>
    <tableColumn id="12507" xr3:uid="{1DBF5309-FBA7-47BD-AE46-22E538155D53}" name="Column12502"/>
    <tableColumn id="12508" xr3:uid="{6587CFEE-FBE9-4C32-B4FE-73A4759BF502}" name="Column12503"/>
    <tableColumn id="12509" xr3:uid="{81CD4872-87D3-4223-A9E5-C6804F4B7637}" name="Column12504"/>
    <tableColumn id="12510" xr3:uid="{B5109FD1-1B93-49AC-9EF4-B2AB0E8EA0CE}" name="Column12505"/>
    <tableColumn id="12511" xr3:uid="{7CACFE8F-C38F-4BE3-A772-21CF32A8CC69}" name="Column12506"/>
    <tableColumn id="12512" xr3:uid="{0D76279B-21AB-4786-A458-DCD99F30F5F6}" name="Column12507"/>
    <tableColumn id="12513" xr3:uid="{4413360C-924D-4489-AB62-8ECB9D94170C}" name="Column12508"/>
    <tableColumn id="12514" xr3:uid="{723AA9E8-5DA5-4016-849A-01775752E904}" name="Column12509"/>
    <tableColumn id="12515" xr3:uid="{8470F116-4A21-4A0D-AAC6-0A42B99B4606}" name="Column12510"/>
    <tableColumn id="12516" xr3:uid="{AEEA8F70-9CF3-4835-B8D4-7068D099CF2C}" name="Column12511"/>
    <tableColumn id="12517" xr3:uid="{2E000CDB-CB43-4C54-9783-8010653FA982}" name="Column12512"/>
    <tableColumn id="12518" xr3:uid="{9139069E-0DDE-445A-98CD-CA4D2045BA26}" name="Column12513"/>
    <tableColumn id="12519" xr3:uid="{35FE8378-E259-4359-A311-A5CB9C5A1A10}" name="Column12514"/>
    <tableColumn id="12520" xr3:uid="{76E79853-8FE1-4B6B-A103-344DD5F01F96}" name="Column12515"/>
    <tableColumn id="12521" xr3:uid="{71483EEE-0BF8-42C9-BB28-2C37577B358B}" name="Column12516"/>
    <tableColumn id="12522" xr3:uid="{C72030A0-3A91-498F-A113-54E69438C4D5}" name="Column12517"/>
    <tableColumn id="12523" xr3:uid="{69264712-95A6-443C-9C05-D012FAD35511}" name="Column12518"/>
    <tableColumn id="12524" xr3:uid="{6EA27B01-B1EB-48DB-B2B3-FFC68D88F74C}" name="Column12519"/>
    <tableColumn id="12525" xr3:uid="{F0B2ABCB-9F37-489E-874C-36B09BB7F7B9}" name="Column12520"/>
    <tableColumn id="12526" xr3:uid="{E00FB085-E348-4D13-BDEF-47CAF92A37E0}" name="Column12521"/>
    <tableColumn id="12527" xr3:uid="{2F9565F1-84DB-491E-B594-29868DF4092D}" name="Column12522"/>
    <tableColumn id="12528" xr3:uid="{FDED20E8-7DD0-40A9-B9AA-ECCA5BC82CB8}" name="Column12523"/>
    <tableColumn id="12529" xr3:uid="{6F2B6CA4-1601-4634-894B-C8D8CDB1A381}" name="Column12524"/>
    <tableColumn id="12530" xr3:uid="{CE73F1ED-6743-4673-BD16-C53CA950F476}" name="Column12525"/>
    <tableColumn id="12531" xr3:uid="{5E3126A4-DA8E-4377-85ED-DD22DDB090DA}" name="Column12526"/>
    <tableColumn id="12532" xr3:uid="{55FD918B-4EE1-4373-950C-D59A75D42102}" name="Column12527"/>
    <tableColumn id="12533" xr3:uid="{E8423316-EDE0-4FC8-BFD5-64E505F97404}" name="Column12528"/>
    <tableColumn id="12534" xr3:uid="{C0B7BF15-117A-46D8-8662-7C59549DA958}" name="Column12529"/>
    <tableColumn id="12535" xr3:uid="{792E73BB-625F-4150-9797-9D4B8D059575}" name="Column12530"/>
    <tableColumn id="12536" xr3:uid="{B2995280-2569-46E3-A103-248676F74E0E}" name="Column12531"/>
    <tableColumn id="12537" xr3:uid="{3F00C5BC-102D-4722-8C91-33E0B7D0EE11}" name="Column12532"/>
    <tableColumn id="12538" xr3:uid="{4D03EAE8-CBA8-44BB-873C-AD90DCEAC3B8}" name="Column12533"/>
    <tableColumn id="12539" xr3:uid="{22D210AB-68D5-4E93-8360-96D1773B1E29}" name="Column12534"/>
    <tableColumn id="12540" xr3:uid="{8809CCE7-F6C8-4EA0-BEF2-57045C9DACBC}" name="Column12535"/>
    <tableColumn id="12541" xr3:uid="{1869A614-5D2F-4352-9423-C4BDEA5AD768}" name="Column12536"/>
    <tableColumn id="12542" xr3:uid="{5DA19C74-390F-4B5B-96A1-D7820E77DB4D}" name="Column12537"/>
    <tableColumn id="12543" xr3:uid="{0D3B4638-AD3C-49AE-A972-39D39637A410}" name="Column12538"/>
    <tableColumn id="12544" xr3:uid="{DCA98F3D-3687-4458-95C2-BFCDDEAA5F0E}" name="Column12539"/>
    <tableColumn id="12545" xr3:uid="{FD4FAA6E-F006-4F84-8751-9D1E278590A4}" name="Column12540"/>
    <tableColumn id="12546" xr3:uid="{E4A5910B-20A5-4348-BAAD-96144F7D7CEA}" name="Column12541"/>
    <tableColumn id="12547" xr3:uid="{116B1C82-AA88-44DB-8317-A5663514E97D}" name="Column12542"/>
    <tableColumn id="12548" xr3:uid="{D91F78D6-9B4D-4314-A8D6-333EE6BD5D61}" name="Column12543"/>
    <tableColumn id="12549" xr3:uid="{3FE7FC72-EC41-4BB2-800F-9E651C74576E}" name="Column12544"/>
    <tableColumn id="12550" xr3:uid="{6641D903-6BA8-495F-BC80-17378F427531}" name="Column12545"/>
    <tableColumn id="12551" xr3:uid="{B20D104F-F872-4D29-87CD-9422AC095265}" name="Column12546"/>
    <tableColumn id="12552" xr3:uid="{FBDBA67A-C333-4393-AE6A-AB73089AA52A}" name="Column12547"/>
    <tableColumn id="12553" xr3:uid="{0546A5F2-0E36-4CA4-9490-0374C4489DBD}" name="Column12548"/>
    <tableColumn id="12554" xr3:uid="{0134C85D-E668-4E4A-B749-D0490F3D9944}" name="Column12549"/>
    <tableColumn id="12555" xr3:uid="{3300AA38-1C2C-4091-A501-9BE3A060C951}" name="Column12550"/>
    <tableColumn id="12556" xr3:uid="{04BED22D-060E-4C22-A813-D07F785B282E}" name="Column12551"/>
    <tableColumn id="12557" xr3:uid="{AA10EE6C-90BE-42C9-B56D-1000EA96B023}" name="Column12552"/>
    <tableColumn id="12558" xr3:uid="{CAB79572-21AD-449F-86EE-6568681BB160}" name="Column12553"/>
    <tableColumn id="12559" xr3:uid="{655E2AC7-066C-44AC-AFB1-3924734AEB01}" name="Column12554"/>
    <tableColumn id="12560" xr3:uid="{363C8266-92A8-4F86-A134-C671F5C6B609}" name="Column12555"/>
    <tableColumn id="12561" xr3:uid="{DF92DC38-A971-402C-95DA-CF804C348931}" name="Column12556"/>
    <tableColumn id="12562" xr3:uid="{C26C285B-D3AC-41D4-B34A-55FC30B7DED9}" name="Column12557"/>
    <tableColumn id="12563" xr3:uid="{1907881D-7978-472D-8B35-2173B0ECBB13}" name="Column12558"/>
    <tableColumn id="12564" xr3:uid="{073EC680-899B-4619-884C-8D1D14CCDD83}" name="Column12559"/>
    <tableColumn id="12565" xr3:uid="{E01B5223-4A28-4E25-A221-ED30AECAFD6E}" name="Column12560"/>
    <tableColumn id="12566" xr3:uid="{96583361-C49A-4E69-8153-AC46716DD45A}" name="Column12561"/>
    <tableColumn id="12567" xr3:uid="{881D0DBF-3A14-4D5B-BC6E-F9644BAD3B77}" name="Column12562"/>
    <tableColumn id="12568" xr3:uid="{B255726F-E3B6-49D9-8FFA-1093662CA652}" name="Column12563"/>
    <tableColumn id="12569" xr3:uid="{B8A09148-DE35-48FF-A558-CA8E0150560E}" name="Column12564"/>
    <tableColumn id="12570" xr3:uid="{5120EC38-E5B0-49F0-81BD-57F1F6DC0EEB}" name="Column12565"/>
    <tableColumn id="12571" xr3:uid="{C4A67961-4483-44FB-80FE-97660E498B3F}" name="Column12566"/>
    <tableColumn id="12572" xr3:uid="{201DF7EC-1960-4849-873A-1B6A9B430890}" name="Column12567"/>
    <tableColumn id="12573" xr3:uid="{74E6BA54-196E-499C-9CE8-DB284D7DA2D8}" name="Column12568"/>
    <tableColumn id="12574" xr3:uid="{CDC782CE-6BFD-46DB-9C18-238E8D2982A3}" name="Column12569"/>
    <tableColumn id="12575" xr3:uid="{A6215334-59C2-41AA-BB9B-944D5E8E0CD5}" name="Column12570"/>
    <tableColumn id="12576" xr3:uid="{9A850FEF-8F00-4D28-A09D-B8837C882CD7}" name="Column12571"/>
    <tableColumn id="12577" xr3:uid="{32F3BA63-A8C6-41E1-83E7-A3AA75A87336}" name="Column12572"/>
    <tableColumn id="12578" xr3:uid="{7A4109E2-49DB-487A-B5B0-3B668126D933}" name="Column12573"/>
    <tableColumn id="12579" xr3:uid="{D7A93C09-546D-4F7A-9081-7100CC127311}" name="Column12574"/>
    <tableColumn id="12580" xr3:uid="{EA7E8873-E8AE-4DDE-889D-AC8E2EEA1660}" name="Column12575"/>
    <tableColumn id="12581" xr3:uid="{A24EEAF1-26B2-49EC-BE80-2E12AB2F1B9F}" name="Column12576"/>
    <tableColumn id="12582" xr3:uid="{9F9419B8-8067-4720-886C-98269C459CDD}" name="Column12577"/>
    <tableColumn id="12583" xr3:uid="{A6C037FD-C08D-4804-8170-4B2D36F1213A}" name="Column12578"/>
    <tableColumn id="12584" xr3:uid="{45072594-3ECD-4C0C-AA98-27AEA7AF981B}" name="Column12579"/>
    <tableColumn id="12585" xr3:uid="{0318D91A-5ADC-474F-9228-787C7931C276}" name="Column12580"/>
    <tableColumn id="12586" xr3:uid="{D5C9FCEA-B966-47AF-B880-353D0F59CBED}" name="Column12581"/>
    <tableColumn id="12587" xr3:uid="{0F3CF1BE-CD04-44CC-BFDA-4F0989061D7A}" name="Column12582"/>
    <tableColumn id="12588" xr3:uid="{2CBF0BD9-3898-4545-B878-215F646C09F8}" name="Column12583"/>
    <tableColumn id="12589" xr3:uid="{305DCC59-8BFA-490D-8C91-01827C1EB05B}" name="Column12584"/>
    <tableColumn id="12590" xr3:uid="{2D5906B4-779B-4EE7-953D-F09809FB42E5}" name="Column12585"/>
    <tableColumn id="12591" xr3:uid="{26A1D6DE-4A59-4C5F-B6CE-630853C90DA2}" name="Column12586"/>
    <tableColumn id="12592" xr3:uid="{7A148C6F-A7D3-4039-9038-6153CBB83508}" name="Column12587"/>
    <tableColumn id="12593" xr3:uid="{6F52A06A-978F-4A3B-B6BA-CA6B5D285832}" name="Column12588"/>
    <tableColumn id="12594" xr3:uid="{3003A9A3-6E8C-4406-AE58-09A5EA8B0658}" name="Column12589"/>
    <tableColumn id="12595" xr3:uid="{393FC3F7-9A4E-4332-A23F-C658C3376D51}" name="Column12590"/>
    <tableColumn id="12596" xr3:uid="{18F58F92-BD50-461E-8D99-1B9EEBE48B0A}" name="Column12591"/>
    <tableColumn id="12597" xr3:uid="{FC586E37-BCF5-4930-80D7-9B631B10FDD3}" name="Column12592"/>
    <tableColumn id="12598" xr3:uid="{F05C1059-03E8-4B01-AEED-0AC3A47E2723}" name="Column12593"/>
    <tableColumn id="12599" xr3:uid="{44FF768C-C0EB-4B46-98E2-79792CD7124E}" name="Column12594"/>
    <tableColumn id="12600" xr3:uid="{4975CCDE-15C9-4530-9E11-9AA6E1BDCC7D}" name="Column12595"/>
    <tableColumn id="12601" xr3:uid="{B004A7EF-97D7-4C32-B804-DF5BFFA52FA8}" name="Column12596"/>
    <tableColumn id="12602" xr3:uid="{1DBB46D5-9CF0-4FD2-BAC8-85C6ED66A362}" name="Column12597"/>
    <tableColumn id="12603" xr3:uid="{D6393ADE-8BDE-4E83-B857-5898D976C812}" name="Column12598"/>
    <tableColumn id="12604" xr3:uid="{7C5798C2-7FD8-482A-A9B7-01756976D4C3}" name="Column12599"/>
    <tableColumn id="12605" xr3:uid="{9D710F4D-8205-477A-B81E-CF5EB16D2DCA}" name="Column12600"/>
    <tableColumn id="12606" xr3:uid="{9882ADC5-A7C1-4F0B-B9BB-0B08D1C084CE}" name="Column12601"/>
    <tableColumn id="12607" xr3:uid="{6BEA7771-0D30-4EE8-B825-07AA4B74540F}" name="Column12602"/>
    <tableColumn id="12608" xr3:uid="{58DCFA7D-D1FA-4F20-A42B-BB811FF343B6}" name="Column12603"/>
    <tableColumn id="12609" xr3:uid="{E603D985-1F19-43D3-96A4-B0991E3DB7EC}" name="Column12604"/>
    <tableColumn id="12610" xr3:uid="{F5576A49-A26D-4A48-8285-53C15497F027}" name="Column12605"/>
    <tableColumn id="12611" xr3:uid="{9AB81A1E-A6F9-4EDD-8AAF-8218B66B9A99}" name="Column12606"/>
    <tableColumn id="12612" xr3:uid="{35ABBF00-E013-4849-B5DC-6AA1BA390056}" name="Column12607"/>
    <tableColumn id="12613" xr3:uid="{1EF65F61-B405-43F5-9B9D-9E9140B2221E}" name="Column12608"/>
    <tableColumn id="12614" xr3:uid="{72137985-B4E6-49C8-975C-4621961CD408}" name="Column12609"/>
    <tableColumn id="12615" xr3:uid="{C7620223-C8F3-4064-8BBE-FB1DBF1B0E64}" name="Column12610"/>
    <tableColumn id="12616" xr3:uid="{A703178E-1D1E-41C6-9982-3F0AF2FE0277}" name="Column12611"/>
    <tableColumn id="12617" xr3:uid="{7AA30FBD-570F-4CFA-9644-9A80C400FAEE}" name="Column12612"/>
    <tableColumn id="12618" xr3:uid="{B6C90831-CBD7-4E03-8AAF-584D2C022CB3}" name="Column12613"/>
    <tableColumn id="12619" xr3:uid="{03C010BB-2275-4E55-A7FE-DC26C064FD6C}" name="Column12614"/>
    <tableColumn id="12620" xr3:uid="{F6CA1A84-52A5-4548-808E-D4B4229F7561}" name="Column12615"/>
    <tableColumn id="12621" xr3:uid="{18622780-ED1E-459A-91D5-B7A45CD80B13}" name="Column12616"/>
    <tableColumn id="12622" xr3:uid="{96921E20-F5DE-4EBD-BA79-AAE4FB8915A5}" name="Column12617"/>
    <tableColumn id="12623" xr3:uid="{B4A18754-9CF7-4BAD-BA73-AD1B5979B281}" name="Column12618"/>
    <tableColumn id="12624" xr3:uid="{E701A397-E560-428E-B353-ED663C9C77CE}" name="Column12619"/>
    <tableColumn id="12625" xr3:uid="{19794CA9-074A-4283-ACE7-AA9E0E941E73}" name="Column12620"/>
    <tableColumn id="12626" xr3:uid="{C4218A3D-B130-49BA-99A3-ADF90137A61B}" name="Column12621"/>
    <tableColumn id="12627" xr3:uid="{6B8E5E44-2D24-4FAB-B843-B0BD601A7A0A}" name="Column12622"/>
    <tableColumn id="12628" xr3:uid="{1FB49B5C-B7E7-4974-8991-801957A0B38D}" name="Column12623"/>
    <tableColumn id="12629" xr3:uid="{05ECFEAF-AA63-4A23-AA7E-84D27528F367}" name="Column12624"/>
    <tableColumn id="12630" xr3:uid="{865783B2-D147-4F3E-9C93-072E3CB6BE13}" name="Column12625"/>
    <tableColumn id="12631" xr3:uid="{A8F0AD72-6418-47DC-87D5-9DA779CAC8A5}" name="Column12626"/>
    <tableColumn id="12632" xr3:uid="{57608B3D-9FEF-4C35-975F-4F1757083181}" name="Column12627"/>
    <tableColumn id="12633" xr3:uid="{0697ACFA-FF37-4E27-8F08-571F45B1C702}" name="Column12628"/>
    <tableColumn id="12634" xr3:uid="{E842AFD7-69BD-4EE4-940D-38FB9E2F3135}" name="Column12629"/>
    <tableColumn id="12635" xr3:uid="{C37506B0-9EDB-4151-8908-3A89A7166AA0}" name="Column12630"/>
    <tableColumn id="12636" xr3:uid="{3FCAAE08-629F-4EFE-B7FF-A71B7FF70FAB}" name="Column12631"/>
    <tableColumn id="12637" xr3:uid="{E41EF772-8539-4875-995E-8615F883AF6A}" name="Column12632"/>
    <tableColumn id="12638" xr3:uid="{04CBAF97-CA5C-42A6-84B0-C172CE8A5E95}" name="Column12633"/>
    <tableColumn id="12639" xr3:uid="{FEC74AFF-6ADD-42CD-87EE-A56CA7AF1120}" name="Column12634"/>
    <tableColumn id="12640" xr3:uid="{AE3C1BC5-E8EB-42ED-B34B-31615651E455}" name="Column12635"/>
    <tableColumn id="12641" xr3:uid="{BB3158DF-20B3-4147-A58A-A6D9F8A69613}" name="Column12636"/>
    <tableColumn id="12642" xr3:uid="{E0C63A63-7013-4A79-AEF0-BA1FE28C6297}" name="Column12637"/>
    <tableColumn id="12643" xr3:uid="{A703843F-6680-411A-A1F0-4432C923C11D}" name="Column12638"/>
    <tableColumn id="12644" xr3:uid="{0FF78855-98FE-4DAD-AE64-393377A83F3D}" name="Column12639"/>
    <tableColumn id="12645" xr3:uid="{104BFBC9-254C-49CD-BC67-395485D4EDBE}" name="Column12640"/>
    <tableColumn id="12646" xr3:uid="{7313C693-8E5F-468C-8929-2CEE4C7A6B56}" name="Column12641"/>
    <tableColumn id="12647" xr3:uid="{56DB45AC-7348-4F30-A0CC-F10B0E384968}" name="Column12642"/>
    <tableColumn id="12648" xr3:uid="{57B5E6CB-96FF-4FE6-8F22-AF5169508514}" name="Column12643"/>
    <tableColumn id="12649" xr3:uid="{34E697D0-6C39-49ED-8F35-C8FAB93A8357}" name="Column12644"/>
    <tableColumn id="12650" xr3:uid="{AC949979-0F6A-4BCD-898C-101BA864BA77}" name="Column12645"/>
    <tableColumn id="12651" xr3:uid="{1A8FC234-BC01-4F39-9C80-6BE02BE8F9B3}" name="Column12646"/>
    <tableColumn id="12652" xr3:uid="{1149EC63-BE78-4D45-9877-7097C514C3EB}" name="Column12647"/>
    <tableColumn id="12653" xr3:uid="{E4721562-440C-4782-BDF3-00E7CD97E0AE}" name="Column12648"/>
    <tableColumn id="12654" xr3:uid="{9DD9F41E-1B25-49E6-9FD9-DB68CD39E7F8}" name="Column12649"/>
    <tableColumn id="12655" xr3:uid="{CB022899-9F91-48E5-8B2C-8BAD15C72EEB}" name="Column12650"/>
    <tableColumn id="12656" xr3:uid="{8774B838-26C7-4E53-814A-24332B473FC8}" name="Column12651"/>
    <tableColumn id="12657" xr3:uid="{F2DA1802-5B88-4C51-9BBE-D958885FFF6D}" name="Column12652"/>
    <tableColumn id="12658" xr3:uid="{AF37DFBC-B857-40BD-84E7-AAFD9326376F}" name="Column12653"/>
    <tableColumn id="12659" xr3:uid="{D819F3AE-25DA-4460-B7FB-D0E3577FD3FB}" name="Column12654"/>
    <tableColumn id="12660" xr3:uid="{6E7A6B83-82D0-4DBA-A5B6-9F6E721AFB9B}" name="Column12655"/>
    <tableColumn id="12661" xr3:uid="{A9059E51-3C79-4D01-92A7-93A992DEDBB3}" name="Column12656"/>
    <tableColumn id="12662" xr3:uid="{9ED9F484-3A5D-4CFF-91B8-0516C81D0FB7}" name="Column12657"/>
    <tableColumn id="12663" xr3:uid="{9250403E-3FDB-43B8-A2E3-E6AD818F7B66}" name="Column12658"/>
    <tableColumn id="12664" xr3:uid="{88F11F12-AD5A-477D-A996-3A526D113F74}" name="Column12659"/>
    <tableColumn id="12665" xr3:uid="{6ABDC9C0-0DD1-4A0A-BD43-B80F0D67A3DE}" name="Column12660"/>
    <tableColumn id="12666" xr3:uid="{76C1E5DB-1162-4071-B8A8-C92F707D9782}" name="Column12661"/>
    <tableColumn id="12667" xr3:uid="{B6D2E03A-4CFE-44E9-A0AC-8D20545DD47D}" name="Column12662"/>
    <tableColumn id="12668" xr3:uid="{BC5FFA78-9921-4FBA-803C-3FE2B2A71A1D}" name="Column12663"/>
    <tableColumn id="12669" xr3:uid="{5ACF6975-6AB4-4649-8A86-290EED034123}" name="Column12664"/>
    <tableColumn id="12670" xr3:uid="{5E09E249-5F70-4EC1-B54E-11FF3C87F980}" name="Column12665"/>
    <tableColumn id="12671" xr3:uid="{8551C605-D75E-424D-BBA0-89F5633D709D}" name="Column12666"/>
    <tableColumn id="12672" xr3:uid="{F2C2FF72-9C1C-41B8-8AA8-DCF30C3249A9}" name="Column12667"/>
    <tableColumn id="12673" xr3:uid="{AB4ABE32-1548-432F-A0EF-F715C6261CE7}" name="Column12668"/>
    <tableColumn id="12674" xr3:uid="{5BA79785-61E1-489D-A830-6C87D0EDC515}" name="Column12669"/>
    <tableColumn id="12675" xr3:uid="{3AFCF675-224D-4436-82B4-F9694EEA162E}" name="Column12670"/>
    <tableColumn id="12676" xr3:uid="{3D2441B9-DC94-4F76-B2DC-046B6D2F7E37}" name="Column12671"/>
    <tableColumn id="12677" xr3:uid="{509167A3-3219-4EFA-81A3-08CFF9CE53B1}" name="Column12672"/>
    <tableColumn id="12678" xr3:uid="{D4274BDC-F721-4F43-98BE-25C3D06D326A}" name="Column12673"/>
    <tableColumn id="12679" xr3:uid="{F5299B21-E572-4C2E-8913-9A24F25F67B6}" name="Column12674"/>
    <tableColumn id="12680" xr3:uid="{2248F98F-B413-43FD-AB49-12AF4E75D438}" name="Column12675"/>
    <tableColumn id="12681" xr3:uid="{7AFE7804-E195-46EF-A25C-10FDA77428F0}" name="Column12676"/>
    <tableColumn id="12682" xr3:uid="{5E6B3C28-3C70-4D9C-B2F7-CC46FD444E90}" name="Column12677"/>
    <tableColumn id="12683" xr3:uid="{D4A04567-AA88-4A2F-8617-765D2F277D67}" name="Column12678"/>
    <tableColumn id="12684" xr3:uid="{C9223F40-F000-41A3-B829-B184E97F854B}" name="Column12679"/>
    <tableColumn id="12685" xr3:uid="{84510845-5805-46BC-B969-CF1B9964A0FE}" name="Column12680"/>
    <tableColumn id="12686" xr3:uid="{AAF613BF-5A22-4E50-9A4C-AB59040C3D80}" name="Column12681"/>
    <tableColumn id="12687" xr3:uid="{C732147D-7D67-4866-A58D-A3EF08985B33}" name="Column12682"/>
    <tableColumn id="12688" xr3:uid="{E314ED03-31A6-4644-9CC2-FC9557E8FF62}" name="Column12683"/>
    <tableColumn id="12689" xr3:uid="{531E5027-A13E-4EB3-B977-EA74EC63FEA8}" name="Column12684"/>
    <tableColumn id="12690" xr3:uid="{CBCFACAC-D175-4F34-96DF-DD9241161427}" name="Column12685"/>
    <tableColumn id="12691" xr3:uid="{8466350D-4DFD-4AB7-AB6F-375E4AD129A5}" name="Column12686"/>
    <tableColumn id="12692" xr3:uid="{D39E088F-0CE1-477F-807B-EB30927D6AD0}" name="Column12687"/>
    <tableColumn id="12693" xr3:uid="{701805CE-8D9C-4899-9266-F53ED45B59EC}" name="Column12688"/>
    <tableColumn id="12694" xr3:uid="{9D6D6D82-7116-4BCC-A661-4C2E29B84DE7}" name="Column12689"/>
    <tableColumn id="12695" xr3:uid="{BC627F66-8539-4DCF-A793-4E7C04566E14}" name="Column12690"/>
    <tableColumn id="12696" xr3:uid="{C497C5E6-4981-4E7C-9F02-F10B2556D4EF}" name="Column12691"/>
    <tableColumn id="12697" xr3:uid="{107808D2-82D2-4D71-AEC8-59598797A840}" name="Column12692"/>
    <tableColumn id="12698" xr3:uid="{AA702B59-60B9-4EE6-AA48-AB0F630CC80E}" name="Column12693"/>
    <tableColumn id="12699" xr3:uid="{72BCBB6D-82B0-4FCF-812F-597CE57E598E}" name="Column12694"/>
    <tableColumn id="12700" xr3:uid="{1E5EB285-3E7F-4252-8F98-49923414695D}" name="Column12695"/>
    <tableColumn id="12701" xr3:uid="{E3ADFD54-BBA9-4CB6-AB76-4DBB65F234DB}" name="Column12696"/>
    <tableColumn id="12702" xr3:uid="{3C6ED3A5-E9B9-49A5-B288-24B5D452824D}" name="Column12697"/>
    <tableColumn id="12703" xr3:uid="{60A485EB-67E8-4B2C-B377-B0CD7736615D}" name="Column12698"/>
    <tableColumn id="12704" xr3:uid="{0567120A-6503-4367-8819-850F9BA9B355}" name="Column12699"/>
    <tableColumn id="12705" xr3:uid="{27DE8C6D-DC1F-4757-AFA0-68E2A4328A96}" name="Column12700"/>
    <tableColumn id="12706" xr3:uid="{1DDEC5F7-68A3-45E9-A83B-02C9BC41B713}" name="Column12701"/>
    <tableColumn id="12707" xr3:uid="{3E8B247F-EA1D-4FA0-96CB-4E78C2B446DA}" name="Column12702"/>
    <tableColumn id="12708" xr3:uid="{B201318A-2805-4927-A608-EEB06089D68E}" name="Column12703"/>
    <tableColumn id="12709" xr3:uid="{7311539A-D4C3-4558-BD35-29FF3BBBB92E}" name="Column12704"/>
    <tableColumn id="12710" xr3:uid="{28C092A2-369F-45A8-8BF8-CD3CEE1D6D97}" name="Column12705"/>
    <tableColumn id="12711" xr3:uid="{1AC0A6E9-0347-4FB8-8A61-7833E7212780}" name="Column12706"/>
    <tableColumn id="12712" xr3:uid="{9C70D70F-2C8F-4F4A-B978-DBBC5AE9B25C}" name="Column12707"/>
    <tableColumn id="12713" xr3:uid="{509D475B-065E-4BA1-9BA3-7F1280D6A985}" name="Column12708"/>
    <tableColumn id="12714" xr3:uid="{51BA26A8-20FE-4A3E-A25A-88C2BA71A5D6}" name="Column12709"/>
    <tableColumn id="12715" xr3:uid="{3AD3757D-6FC2-47DC-B1E5-03132773E2D7}" name="Column12710"/>
    <tableColumn id="12716" xr3:uid="{537AB13E-8E2A-49A7-9827-609594F60535}" name="Column12711"/>
    <tableColumn id="12717" xr3:uid="{FF9C5018-C6A4-4F3A-8D5F-EE2B261F01CD}" name="Column12712"/>
    <tableColumn id="12718" xr3:uid="{24744A70-827C-43E7-8170-F3D5AA1ECADA}" name="Column12713"/>
    <tableColumn id="12719" xr3:uid="{15C809AB-00B8-4DD0-8781-18548E4EF4C1}" name="Column12714"/>
    <tableColumn id="12720" xr3:uid="{669CE059-D503-4226-8817-BCC3E4B7D08F}" name="Column12715"/>
    <tableColumn id="12721" xr3:uid="{BBFD399A-057C-4796-8D46-25B81190D8A9}" name="Column12716"/>
    <tableColumn id="12722" xr3:uid="{4D96111C-4185-4D2D-AD4A-B4430ED0A60B}" name="Column12717"/>
    <tableColumn id="12723" xr3:uid="{EEADE43F-BAD1-4EBC-9024-31B0D328DD44}" name="Column12718"/>
    <tableColumn id="12724" xr3:uid="{0A3A146B-D236-43EB-9D37-11582BD7D7B2}" name="Column12719"/>
    <tableColumn id="12725" xr3:uid="{7FEBC42C-173F-460A-8C19-8571E891AB3E}" name="Column12720"/>
    <tableColumn id="12726" xr3:uid="{78872A32-A2B2-4573-BF15-8466E899288D}" name="Column12721"/>
    <tableColumn id="12727" xr3:uid="{F52365AE-4F1C-4FED-A7B2-7DE7C6923440}" name="Column12722"/>
    <tableColumn id="12728" xr3:uid="{C99F759C-2B7F-4B98-91F9-14C656EB93A1}" name="Column12723"/>
    <tableColumn id="12729" xr3:uid="{2F6102E0-E57C-442E-99F8-52F5E8300D9A}" name="Column12724"/>
    <tableColumn id="12730" xr3:uid="{147DE6AF-E9D8-4503-90FC-EA1161976970}" name="Column12725"/>
    <tableColumn id="12731" xr3:uid="{BD29B594-1B5C-4B05-9BB9-FA989683801E}" name="Column12726"/>
    <tableColumn id="12732" xr3:uid="{F2767E8D-94D1-4B23-B49C-C9700E87AD80}" name="Column12727"/>
    <tableColumn id="12733" xr3:uid="{1FBF5856-2596-462C-AE9F-BAF16E8448FF}" name="Column12728"/>
    <tableColumn id="12734" xr3:uid="{264B29DC-9D92-4226-960E-A0FB3213C4FF}" name="Column12729"/>
    <tableColumn id="12735" xr3:uid="{3B816387-BFE3-4220-A91E-D263AF498CA0}" name="Column12730"/>
    <tableColumn id="12736" xr3:uid="{1F53863D-8CF8-46B5-AFE9-5E5A41DF6493}" name="Column12731"/>
    <tableColumn id="12737" xr3:uid="{735A546A-0A5E-48CA-988F-5A9A510C0E90}" name="Column12732"/>
    <tableColumn id="12738" xr3:uid="{77C9AC1D-FE4A-4A8F-9413-DCBEA1D7AB16}" name="Column12733"/>
    <tableColumn id="12739" xr3:uid="{355495D5-E69C-4C4D-9B2D-EC6418AB108E}" name="Column12734"/>
    <tableColumn id="12740" xr3:uid="{2B2741C1-44D5-4920-BC5C-30A4566324F8}" name="Column12735"/>
    <tableColumn id="12741" xr3:uid="{6B7874C0-84EC-434D-9FF8-C2D6B082EA76}" name="Column12736"/>
    <tableColumn id="12742" xr3:uid="{5573C16E-D2D1-4A13-BAF8-6E0BF24959F7}" name="Column12737"/>
    <tableColumn id="12743" xr3:uid="{EF24A547-3CDC-4C2B-B0CD-EAE9BAB278B7}" name="Column12738"/>
    <tableColumn id="12744" xr3:uid="{69C05881-F998-44D4-8C56-6172D7D9859D}" name="Column12739"/>
    <tableColumn id="12745" xr3:uid="{A2EF1FBB-E4AD-4A64-91D8-A4356B654B2C}" name="Column12740"/>
    <tableColumn id="12746" xr3:uid="{29EA1533-2F43-4748-B1FF-B3A4788974B7}" name="Column12741"/>
    <tableColumn id="12747" xr3:uid="{A1D1DA85-602D-4649-B1C2-E39D0F3F1165}" name="Column12742"/>
    <tableColumn id="12748" xr3:uid="{C324AB39-9199-4DB1-BB62-2AB1D1FA9670}" name="Column12743"/>
    <tableColumn id="12749" xr3:uid="{9F6B9C38-3A98-45D2-9E4A-B07980B8FCD1}" name="Column12744"/>
    <tableColumn id="12750" xr3:uid="{D236BA2E-0A1E-442D-81F2-DB891D1C9F3D}" name="Column12745"/>
    <tableColumn id="12751" xr3:uid="{42964E0B-BE0F-4FB2-B3B3-AF7FF1325A2E}" name="Column12746"/>
    <tableColumn id="12752" xr3:uid="{F16055D0-D01C-4075-AFAF-8A443FE8495E}" name="Column12747"/>
    <tableColumn id="12753" xr3:uid="{A8C031EF-378A-4276-BE2D-BAEC624D0B6D}" name="Column12748"/>
    <tableColumn id="12754" xr3:uid="{F6DA9D30-FA65-4E9D-BD09-431472637F7A}" name="Column12749"/>
    <tableColumn id="12755" xr3:uid="{1FC29E9A-9FA6-47A6-A131-A5216A193CD4}" name="Column12750"/>
    <tableColumn id="12756" xr3:uid="{D02D81F0-EE54-43B5-9F00-FD0DCCA339B0}" name="Column12751"/>
    <tableColumn id="12757" xr3:uid="{4F98DA78-08D5-4209-978C-CBB4404019CD}" name="Column12752"/>
    <tableColumn id="12758" xr3:uid="{13BA748D-3D8E-4878-9A9F-C657BD21FAC7}" name="Column12753"/>
    <tableColumn id="12759" xr3:uid="{FA871EEE-C295-4300-996F-A2ADC3B57011}" name="Column12754"/>
    <tableColumn id="12760" xr3:uid="{98D6C977-50C2-4D85-A273-648B4BD37632}" name="Column12755"/>
    <tableColumn id="12761" xr3:uid="{34B3EA8B-4F2A-4544-9B68-56566139319C}" name="Column12756"/>
    <tableColumn id="12762" xr3:uid="{C35F3061-D895-42F9-BEEF-E62992B988F6}" name="Column12757"/>
    <tableColumn id="12763" xr3:uid="{F06F7597-E3F3-4B64-B4A8-21AB44D60D6F}" name="Column12758"/>
    <tableColumn id="12764" xr3:uid="{D4E64B92-7131-437A-80F3-1B3183F50562}" name="Column12759"/>
    <tableColumn id="12765" xr3:uid="{2740FF2C-3B00-423A-9168-8B41131F2448}" name="Column12760"/>
    <tableColumn id="12766" xr3:uid="{5BBF97C7-1517-4293-AF52-DFDAFFBB9CE6}" name="Column12761"/>
    <tableColumn id="12767" xr3:uid="{3E4B757A-C1EA-4CE4-84B4-085BAA88579F}" name="Column12762"/>
    <tableColumn id="12768" xr3:uid="{BDB0E4FB-E4C3-4EB9-8EBB-FDD120E403EA}" name="Column12763"/>
    <tableColumn id="12769" xr3:uid="{6DE4CC49-C2FB-4A37-942D-76C9AFD10A33}" name="Column12764"/>
    <tableColumn id="12770" xr3:uid="{B661EA6B-89C8-405D-A88F-6DD3809E2AC3}" name="Column12765"/>
    <tableColumn id="12771" xr3:uid="{77E62012-0530-414C-9CE6-7C7B5A81D502}" name="Column12766"/>
    <tableColumn id="12772" xr3:uid="{1F455F51-2AA7-4774-ABD8-AD9F81D4FC60}" name="Column12767"/>
    <tableColumn id="12773" xr3:uid="{38C2DA10-6A61-484C-BF8A-30E330E7A322}" name="Column12768"/>
    <tableColumn id="12774" xr3:uid="{23E641FA-1546-4FBA-A791-24F820004DE3}" name="Column12769"/>
    <tableColumn id="12775" xr3:uid="{90DA4D00-6C20-4B11-B418-61F32AC456EE}" name="Column12770"/>
    <tableColumn id="12776" xr3:uid="{428B0ACC-A3AF-4517-8612-F7087201ECA3}" name="Column12771"/>
    <tableColumn id="12777" xr3:uid="{524B3CCD-9ECA-480A-888E-558124EF36A3}" name="Column12772"/>
    <tableColumn id="12778" xr3:uid="{FDBA00CB-BD8F-4DAB-8BDF-175C49639B07}" name="Column12773"/>
    <tableColumn id="12779" xr3:uid="{0C7E03A3-D750-4B21-845D-4A6597183E15}" name="Column12774"/>
    <tableColumn id="12780" xr3:uid="{A7F1C6C7-34C3-48E1-B078-1895655CF837}" name="Column12775"/>
    <tableColumn id="12781" xr3:uid="{26DE612B-954B-4332-A53F-F482A0F4595D}" name="Column12776"/>
    <tableColumn id="12782" xr3:uid="{0F049C93-2F93-45C0-92CC-D04EC0181D7A}" name="Column12777"/>
    <tableColumn id="12783" xr3:uid="{A9C7A67E-556B-45F1-A223-1B6950009B00}" name="Column12778"/>
    <tableColumn id="12784" xr3:uid="{855C3C8E-EDD1-45D9-9133-DCF918A8FC36}" name="Column12779"/>
    <tableColumn id="12785" xr3:uid="{432707A7-579D-4051-997B-09B5976D0BA6}" name="Column12780"/>
    <tableColumn id="12786" xr3:uid="{BCEF4C00-58B2-456D-9B7F-09F571EAA856}" name="Column12781"/>
    <tableColumn id="12787" xr3:uid="{34E00DFD-8EB8-4598-9A8F-D858A42CCB76}" name="Column12782"/>
    <tableColumn id="12788" xr3:uid="{96A008CC-FE07-4E6C-8FAA-88AC52BB41FE}" name="Column12783"/>
    <tableColumn id="12789" xr3:uid="{862BF8A9-E599-4375-8024-9D1DA9D57968}" name="Column12784"/>
    <tableColumn id="12790" xr3:uid="{1724D090-3C09-474B-9E1C-5CBEAD17CA21}" name="Column12785"/>
    <tableColumn id="12791" xr3:uid="{CABFD618-BEFB-4DCF-8AFC-A0BC94EC0E9F}" name="Column12786"/>
    <tableColumn id="12792" xr3:uid="{9C44B2C6-E43C-4707-B01B-47C75D5CE03C}" name="Column12787"/>
    <tableColumn id="12793" xr3:uid="{DCB30CCB-9BB5-4B3D-84CC-3E1899C15EBF}" name="Column12788"/>
    <tableColumn id="12794" xr3:uid="{1E1E3936-2E04-4D58-AF2E-CD7CB0F8BA9A}" name="Column12789"/>
    <tableColumn id="12795" xr3:uid="{110C96A1-6BCE-44B0-AE56-95B8BD287B7D}" name="Column12790"/>
    <tableColumn id="12796" xr3:uid="{0522E3A0-78F1-45DC-BFE4-755B697EC0E3}" name="Column12791"/>
    <tableColumn id="12797" xr3:uid="{0F95A98C-3084-44B2-B1A0-C8295B6B5268}" name="Column12792"/>
    <tableColumn id="12798" xr3:uid="{347DB71A-CFA7-45A0-940C-E5A04595AAA7}" name="Column12793"/>
    <tableColumn id="12799" xr3:uid="{AAB1AD44-12B6-46B8-B7FC-50A864656935}" name="Column12794"/>
    <tableColumn id="12800" xr3:uid="{79C7BCA3-C95D-4CA0-BD53-BDA90093BC8E}" name="Column12795"/>
    <tableColumn id="12801" xr3:uid="{F29217CD-784B-4962-873E-59CAAC04E5D4}" name="Column12796"/>
    <tableColumn id="12802" xr3:uid="{E0E52446-4F09-4A4D-8CCE-1660D9E69335}" name="Column12797"/>
    <tableColumn id="12803" xr3:uid="{802200C9-6FE0-4A31-9EEE-C305A97A1F2B}" name="Column12798"/>
    <tableColumn id="12804" xr3:uid="{5D089553-7680-4B26-97C2-FEE033C573AB}" name="Column12799"/>
    <tableColumn id="12805" xr3:uid="{799D038D-D8EE-412A-BB8A-C026AFFAB773}" name="Column12800"/>
    <tableColumn id="12806" xr3:uid="{53842195-3149-4E87-B00B-099315CC27D1}" name="Column12801"/>
    <tableColumn id="12807" xr3:uid="{33F842D4-33CC-4FA7-862A-5E0241139DE5}" name="Column12802"/>
    <tableColumn id="12808" xr3:uid="{995039ED-2597-4233-82EA-6BF0CF782D61}" name="Column12803"/>
    <tableColumn id="12809" xr3:uid="{C6EA812B-641D-4464-BB46-AA7B71A80442}" name="Column12804"/>
    <tableColumn id="12810" xr3:uid="{259B51A3-567F-4CFE-BA0A-5CE4B380BF2E}" name="Column12805"/>
    <tableColumn id="12811" xr3:uid="{703D356E-2E57-4615-8A9E-5D7A3C020949}" name="Column12806"/>
    <tableColumn id="12812" xr3:uid="{ED58B6CE-E9F2-47E1-8C17-62AF65574A1F}" name="Column12807"/>
    <tableColumn id="12813" xr3:uid="{608424EF-419B-4814-BFB2-808458519DC3}" name="Column12808"/>
    <tableColumn id="12814" xr3:uid="{289F27ED-1A57-44F0-B84C-C1B2C5EE6C5A}" name="Column12809"/>
    <tableColumn id="12815" xr3:uid="{490D8075-86AF-4178-BC0D-E5216B23517E}" name="Column12810"/>
    <tableColumn id="12816" xr3:uid="{91CDC0FE-3EF3-41D0-8B6C-AA4F42DD257F}" name="Column12811"/>
    <tableColumn id="12817" xr3:uid="{FE196DAA-0857-43A6-BAE9-4F829E8EB0AF}" name="Column12812"/>
    <tableColumn id="12818" xr3:uid="{D4DA0FB4-065A-4CD2-9FA2-F227D1AC3283}" name="Column12813"/>
    <tableColumn id="12819" xr3:uid="{4BAAA66D-0B84-4A36-B9CF-1A57D5A81E62}" name="Column12814"/>
    <tableColumn id="12820" xr3:uid="{20B3D54D-0193-489F-8A49-73640D90714A}" name="Column12815"/>
    <tableColumn id="12821" xr3:uid="{E2E2319A-D530-4B85-9732-B4DACD2DD8B3}" name="Column12816"/>
    <tableColumn id="12822" xr3:uid="{FD32AB32-34A5-4F64-96D6-C3CA0DD5B519}" name="Column12817"/>
    <tableColumn id="12823" xr3:uid="{B3E80550-E297-4E13-ACD7-7BDF75FD3931}" name="Column12818"/>
    <tableColumn id="12824" xr3:uid="{4E868AED-6BC3-4C61-BBEF-3801FA08C453}" name="Column12819"/>
    <tableColumn id="12825" xr3:uid="{4D46EB3E-B1ED-4C8E-A177-F310A6161425}" name="Column12820"/>
    <tableColumn id="12826" xr3:uid="{60B1647D-B5C5-43B0-889C-49DBDC01FC91}" name="Column12821"/>
    <tableColumn id="12827" xr3:uid="{FF33FE48-541E-45BF-9EDB-5456730F49C7}" name="Column12822"/>
    <tableColumn id="12828" xr3:uid="{AFD236A9-7EE5-4A41-828E-9C5AFD45F238}" name="Column12823"/>
    <tableColumn id="12829" xr3:uid="{3E31F3DD-E43A-4B2B-A78E-E6AE02D706BA}" name="Column12824"/>
    <tableColumn id="12830" xr3:uid="{697AA882-4D0E-4493-A076-EB63A902ED04}" name="Column12825"/>
    <tableColumn id="12831" xr3:uid="{6B198B24-D8CA-4FA1-A5D9-CCD4BCF10159}" name="Column12826"/>
    <tableColumn id="12832" xr3:uid="{A69AE604-2692-41EA-B85F-EE6C5368297A}" name="Column12827"/>
    <tableColumn id="12833" xr3:uid="{76E7F254-1D2E-4483-88ED-2D6EE1B1176A}" name="Column12828"/>
    <tableColumn id="12834" xr3:uid="{8DDC7D0B-8155-4249-BB0F-3725656D1202}" name="Column12829"/>
    <tableColumn id="12835" xr3:uid="{BE989F4B-A45E-4A13-9B0D-4B41F5B0EBD3}" name="Column12830"/>
    <tableColumn id="12836" xr3:uid="{080F52EC-3047-464E-AB4C-6C9D208631D7}" name="Column12831"/>
    <tableColumn id="12837" xr3:uid="{90722A5C-61EC-42E8-9BFF-878CA21ADCD3}" name="Column12832"/>
    <tableColumn id="12838" xr3:uid="{49F83D56-3BDA-4460-912F-B8A4D0852EA9}" name="Column12833"/>
    <tableColumn id="12839" xr3:uid="{473C5C9B-563C-4FC0-8F25-2B56A70D3950}" name="Column12834"/>
    <tableColumn id="12840" xr3:uid="{53755854-A428-49E4-A8D2-B5E6323CB7E7}" name="Column12835"/>
    <tableColumn id="12841" xr3:uid="{094F1240-CE31-4DC8-8B3E-DDB5DB6E1FB9}" name="Column12836"/>
    <tableColumn id="12842" xr3:uid="{903CEAAA-75CA-4A97-BCF4-90B656C231CB}" name="Column12837"/>
    <tableColumn id="12843" xr3:uid="{7610D24C-7566-46BD-96CA-DE46D91A8F26}" name="Column12838"/>
    <tableColumn id="12844" xr3:uid="{887146D0-DD81-4343-9C86-DC7586094DB7}" name="Column12839"/>
    <tableColumn id="12845" xr3:uid="{B2DD0643-A0F9-4BAC-961D-45355362D71D}" name="Column12840"/>
    <tableColumn id="12846" xr3:uid="{260E1208-EF7A-43F5-A5D6-10669D8F7E86}" name="Column12841"/>
    <tableColumn id="12847" xr3:uid="{03C13698-F325-4332-AE5B-AEB8C29306A7}" name="Column12842"/>
    <tableColumn id="12848" xr3:uid="{EDFD78C1-3042-423B-A05E-30E677DD89D0}" name="Column12843"/>
    <tableColumn id="12849" xr3:uid="{4BC9D9D7-8B98-4B34-BB5A-93202AA1A4F3}" name="Column12844"/>
    <tableColumn id="12850" xr3:uid="{68F7B88B-FCCE-4866-BFAD-9CEB0F0D840C}" name="Column12845"/>
    <tableColumn id="12851" xr3:uid="{BFE83243-D3FC-4D68-B5F1-8AD3FBB1BDF6}" name="Column12846"/>
    <tableColumn id="12852" xr3:uid="{712A79F1-A029-4756-9BC2-0C2A8D58EAB4}" name="Column12847"/>
    <tableColumn id="12853" xr3:uid="{DCB71E2B-02F3-4BC1-9C48-40BA7DA20B7B}" name="Column12848"/>
    <tableColumn id="12854" xr3:uid="{5ADF6BDD-B38E-4430-A277-B3E475300780}" name="Column12849"/>
    <tableColumn id="12855" xr3:uid="{4FEFF981-10D7-4F5F-9EEC-FAA9F87F3C12}" name="Column12850"/>
    <tableColumn id="12856" xr3:uid="{9237F670-5B82-4635-8838-6C6F050088AE}" name="Column12851"/>
    <tableColumn id="12857" xr3:uid="{A53D5048-CD45-4FC1-9A59-5840BB48D913}" name="Column12852"/>
    <tableColumn id="12858" xr3:uid="{293573DC-60CD-4ADF-866D-937618F81F0C}" name="Column12853"/>
    <tableColumn id="12859" xr3:uid="{41A3AF0B-46B6-41D7-85A3-8464C605B9D1}" name="Column12854"/>
    <tableColumn id="12860" xr3:uid="{D35548FF-B36E-48D0-8185-99BF7FF9CA24}" name="Column12855"/>
    <tableColumn id="12861" xr3:uid="{56D05FF5-E9AA-4BD7-93F3-2F332323FFB2}" name="Column12856"/>
    <tableColumn id="12862" xr3:uid="{1D4DE9C2-5083-437A-88A6-04649CFE4459}" name="Column12857"/>
    <tableColumn id="12863" xr3:uid="{FB1E0686-CC2D-40BB-B508-8452659277FB}" name="Column12858"/>
    <tableColumn id="12864" xr3:uid="{A8FD5CE3-6C41-4657-B5C6-5965E864668C}" name="Column12859"/>
    <tableColumn id="12865" xr3:uid="{89BA6BDD-A115-4F5B-9B0E-CBCB33D8036D}" name="Column12860"/>
    <tableColumn id="12866" xr3:uid="{ECA93F1D-6923-4761-9C5E-D22DDE9A56BE}" name="Column12861"/>
    <tableColumn id="12867" xr3:uid="{CC43307A-6F2B-4FD4-AABD-2C789FF7FA01}" name="Column12862"/>
    <tableColumn id="12868" xr3:uid="{334BD458-853E-48A5-82A6-23029EA1EF46}" name="Column12863"/>
    <tableColumn id="12869" xr3:uid="{6B5DDF96-B9F2-4A4F-8821-6C876D0B895B}" name="Column12864"/>
    <tableColumn id="12870" xr3:uid="{1827DC17-4743-437D-BCEA-C507B5E40C48}" name="Column12865"/>
    <tableColumn id="12871" xr3:uid="{25D2C7B5-C036-4831-B428-A811F27ABBE0}" name="Column12866"/>
    <tableColumn id="12872" xr3:uid="{5792B297-DCD6-43EB-87DA-EA539D0941FD}" name="Column12867"/>
    <tableColumn id="12873" xr3:uid="{4BEF6580-8036-481D-A2FB-B2D3038BEFCE}" name="Column12868"/>
    <tableColumn id="12874" xr3:uid="{7A37C2B5-0FF4-4D2F-B476-21BBB55BF2EF}" name="Column12869"/>
    <tableColumn id="12875" xr3:uid="{39C0C9EF-7136-45CB-9052-F584995B3D8B}" name="Column12870"/>
    <tableColumn id="12876" xr3:uid="{8BDA4A6A-D68B-4917-A3DC-FDA4B0025700}" name="Column12871"/>
    <tableColumn id="12877" xr3:uid="{22F3990D-2746-4A14-B447-ED1DDC22AD6D}" name="Column12872"/>
    <tableColumn id="12878" xr3:uid="{B79E85E1-8B5D-4AF3-B2D0-D8574AC2537D}" name="Column12873"/>
    <tableColumn id="12879" xr3:uid="{501AC556-A799-4A67-9725-14521C516024}" name="Column12874"/>
    <tableColumn id="12880" xr3:uid="{A2F5D399-5392-4000-9A6B-C4033A256BE8}" name="Column12875"/>
    <tableColumn id="12881" xr3:uid="{BE25B8B3-07F8-4790-8346-8385F1279D01}" name="Column12876"/>
    <tableColumn id="12882" xr3:uid="{29717FF0-DABB-43F5-B66D-69ED8E53A758}" name="Column12877"/>
    <tableColumn id="12883" xr3:uid="{4ABCA34B-0962-46BE-A3C8-EF400AEC8570}" name="Column12878"/>
    <tableColumn id="12884" xr3:uid="{9A534410-9D19-4FAA-9047-F3CAF6488421}" name="Column12879"/>
    <tableColumn id="12885" xr3:uid="{0A65F82E-CA8E-47CC-B84A-A33E62E78EA9}" name="Column12880"/>
    <tableColumn id="12886" xr3:uid="{2ED72F3C-10CE-4F6B-88BF-8D911C4B1888}" name="Column12881"/>
    <tableColumn id="12887" xr3:uid="{154880FE-11C7-4750-8804-07296D83CAF0}" name="Column12882"/>
    <tableColumn id="12888" xr3:uid="{18CD6A0F-A9A8-4101-A250-C6672ECD3F0D}" name="Column12883"/>
    <tableColumn id="12889" xr3:uid="{A9CD9B5D-B46C-4010-9531-63711ABFBBB5}" name="Column12884"/>
    <tableColumn id="12890" xr3:uid="{85DC0B0C-D083-48DC-9F38-1498A91EF9EC}" name="Column12885"/>
    <tableColumn id="12891" xr3:uid="{614B0CB1-4543-4C85-960D-F1CFFA2A968F}" name="Column12886"/>
    <tableColumn id="12892" xr3:uid="{1BA7259F-5D58-4220-B21F-365CC78D08AC}" name="Column12887"/>
    <tableColumn id="12893" xr3:uid="{0B8EC008-BB5B-4E2B-B679-3A14DEAEC862}" name="Column12888"/>
    <tableColumn id="12894" xr3:uid="{1ED757C9-5132-4987-B26A-3DF3925C2032}" name="Column12889"/>
    <tableColumn id="12895" xr3:uid="{1F6C7AB0-E185-42AE-A346-B2EDDD329E25}" name="Column12890"/>
    <tableColumn id="12896" xr3:uid="{7F44A758-4A01-4193-8180-9E73C3D69586}" name="Column12891"/>
    <tableColumn id="12897" xr3:uid="{68219257-8339-4DBC-80AC-924664738E1E}" name="Column12892"/>
    <tableColumn id="12898" xr3:uid="{E6CB46A7-89E6-48A8-A05E-2086DBE7AB64}" name="Column12893"/>
    <tableColumn id="12899" xr3:uid="{946B8C32-81EF-4A40-A4E9-1B4AFA9AB540}" name="Column12894"/>
    <tableColumn id="12900" xr3:uid="{D8734264-2920-4701-B3C5-B9C4059A54E9}" name="Column12895"/>
    <tableColumn id="12901" xr3:uid="{6A293C7C-4EF8-4B6B-AA3E-925D6B4640A8}" name="Column12896"/>
    <tableColumn id="12902" xr3:uid="{B9D705A8-FDD6-4D1D-A983-5FD918A99A99}" name="Column12897"/>
    <tableColumn id="12903" xr3:uid="{B59BBCB6-A80A-483B-8B04-F8C66C2B7949}" name="Column12898"/>
    <tableColumn id="12904" xr3:uid="{A34AB102-4B84-4559-9AB6-60974F4805B8}" name="Column12899"/>
    <tableColumn id="12905" xr3:uid="{9FB0752D-4895-491A-9D5E-6D5E466139E3}" name="Column12900"/>
    <tableColumn id="12906" xr3:uid="{A9DA16FE-061C-4F44-A9B2-0F4E41775917}" name="Column12901"/>
    <tableColumn id="12907" xr3:uid="{5B981D62-B3D5-4481-80F4-E63A46EC04D1}" name="Column12902"/>
    <tableColumn id="12908" xr3:uid="{8CEC06EE-E252-4F05-B030-8DE63E864043}" name="Column12903"/>
    <tableColumn id="12909" xr3:uid="{B1D9B5BA-8F93-4B73-9607-7D835A27A6F4}" name="Column12904"/>
    <tableColumn id="12910" xr3:uid="{B015A81E-658E-4C82-BD39-70E78EF17B9C}" name="Column12905"/>
    <tableColumn id="12911" xr3:uid="{23B0180E-9493-426F-BE9A-B1FF62909B25}" name="Column12906"/>
    <tableColumn id="12912" xr3:uid="{CFD84800-8952-4B29-9082-B08383523BBD}" name="Column12907"/>
    <tableColumn id="12913" xr3:uid="{50C04122-65D4-47CF-9997-60819A571334}" name="Column12908"/>
    <tableColumn id="12914" xr3:uid="{BA223AB7-F03B-4E9C-B406-DD2F44621F44}" name="Column12909"/>
    <tableColumn id="12915" xr3:uid="{DA6E138A-7EC8-483B-BE02-E5CF4E8C4C52}" name="Column12910"/>
    <tableColumn id="12916" xr3:uid="{26F990B5-C8BD-40F1-BD10-F5FEB3238986}" name="Column12911"/>
    <tableColumn id="12917" xr3:uid="{094DE9BF-6F3B-4AF3-8EE3-52138F004CEA}" name="Column12912"/>
    <tableColumn id="12918" xr3:uid="{89CF1DA9-8C8C-488F-A93E-FFEE22908D83}" name="Column12913"/>
    <tableColumn id="12919" xr3:uid="{384041EF-FB6C-438B-833C-44773E15E3C5}" name="Column12914"/>
    <tableColumn id="12920" xr3:uid="{29D16770-8226-460D-840A-EB8E52B55ED0}" name="Column12915"/>
    <tableColumn id="12921" xr3:uid="{0A82B6AF-DA00-4860-9ECB-2B9D3AB3E9D9}" name="Column12916"/>
    <tableColumn id="12922" xr3:uid="{4E343DD0-60F4-4C19-8168-BBA58205014A}" name="Column12917"/>
    <tableColumn id="12923" xr3:uid="{AC66177A-A668-4438-9F97-9BA05548C90B}" name="Column12918"/>
    <tableColumn id="12924" xr3:uid="{79B0B4CB-F9DB-4406-AE8E-A8597B2671BA}" name="Column12919"/>
    <tableColumn id="12925" xr3:uid="{2D9863E9-352F-42BC-8CC1-D46C0E83957F}" name="Column12920"/>
    <tableColumn id="12926" xr3:uid="{A2E8E660-CF93-4131-A96F-2634C650A22C}" name="Column12921"/>
    <tableColumn id="12927" xr3:uid="{EDCFC26B-357F-45BA-A888-E51EB63A9E46}" name="Column12922"/>
    <tableColumn id="12928" xr3:uid="{46347FF1-ECE6-441A-A493-9B188C5DD59B}" name="Column12923"/>
    <tableColumn id="12929" xr3:uid="{54C7B0F2-28D2-4924-B734-A14BE3B0A056}" name="Column12924"/>
    <tableColumn id="12930" xr3:uid="{2E065D1B-1673-452C-95EC-AF7458778A18}" name="Column12925"/>
    <tableColumn id="12931" xr3:uid="{089E4FDA-D75A-4FFE-ADC2-870766B7C8D5}" name="Column12926"/>
    <tableColumn id="12932" xr3:uid="{41BB776C-94EF-464C-9CB4-923F8DFEC9BC}" name="Column12927"/>
    <tableColumn id="12933" xr3:uid="{C2186D92-7567-4749-9CD5-0B27D5DEC341}" name="Column12928"/>
    <tableColumn id="12934" xr3:uid="{F6E660D8-C2DE-414F-81B5-A561BFEED5BC}" name="Column12929"/>
    <tableColumn id="12935" xr3:uid="{C2E3D9F2-8C0D-4978-B54C-4E010B15DCAE}" name="Column12930"/>
    <tableColumn id="12936" xr3:uid="{13B643DE-4072-4085-B107-C9ED09A7A52C}" name="Column12931"/>
    <tableColumn id="12937" xr3:uid="{7AE8F12A-30A7-4A24-A797-F5315466D595}" name="Column12932"/>
    <tableColumn id="12938" xr3:uid="{CFCE89CD-AB8A-4649-937F-736F4B15C778}" name="Column12933"/>
    <tableColumn id="12939" xr3:uid="{36C1BF20-2C53-4556-ACF3-EAACF7C68038}" name="Column12934"/>
    <tableColumn id="12940" xr3:uid="{035E552C-DA71-4347-A3BE-1AEA1E918916}" name="Column12935"/>
    <tableColumn id="12941" xr3:uid="{877663EF-23C5-4192-B04C-48B06D79048A}" name="Column12936"/>
    <tableColumn id="12942" xr3:uid="{320D2304-2A54-4151-BB35-C9909CCDCF8E}" name="Column12937"/>
    <tableColumn id="12943" xr3:uid="{AE65E129-B9BD-47E7-A826-B300AD448A27}" name="Column12938"/>
    <tableColumn id="12944" xr3:uid="{0F1DB522-8F84-44B4-95C9-89A4E872A8A0}" name="Column12939"/>
    <tableColumn id="12945" xr3:uid="{A2EEE9AA-8D6A-4CD3-A268-F1D35D938B89}" name="Column12940"/>
    <tableColumn id="12946" xr3:uid="{6BDC2C3D-8F0C-48BD-8E07-076A18329319}" name="Column12941"/>
    <tableColumn id="12947" xr3:uid="{9FADA9EB-DD15-41FF-AD0D-5631D27FD387}" name="Column12942"/>
    <tableColumn id="12948" xr3:uid="{B5EC61EF-DCC2-480C-B316-62B0B89DF29B}" name="Column12943"/>
    <tableColumn id="12949" xr3:uid="{4A75DF8A-17A7-4F03-969E-E4A43561FEBF}" name="Column12944"/>
    <tableColumn id="12950" xr3:uid="{C5974C83-2800-4BAC-BAB3-D26698B29047}" name="Column12945"/>
    <tableColumn id="12951" xr3:uid="{BA43C543-693A-4DB5-879E-F67CD1E676A4}" name="Column12946"/>
    <tableColumn id="12952" xr3:uid="{9060166A-0EF6-4B43-8536-CD1C6E7C3B49}" name="Column12947"/>
    <tableColumn id="12953" xr3:uid="{5C3088B7-143E-40C9-83A5-44642FC92E94}" name="Column12948"/>
    <tableColumn id="12954" xr3:uid="{B11E8483-A961-41A4-B429-7B05BA15F478}" name="Column12949"/>
    <tableColumn id="12955" xr3:uid="{D5B1DF8D-2F69-44A2-8896-79588FCF6758}" name="Column12950"/>
    <tableColumn id="12956" xr3:uid="{F4ECAD52-4B26-4BA8-898F-4640B714859D}" name="Column12951"/>
    <tableColumn id="12957" xr3:uid="{8FAEDDF5-0416-46FB-B779-4E3F971FC3A1}" name="Column12952"/>
    <tableColumn id="12958" xr3:uid="{DCB869DC-3811-4D62-AB72-543FA6F800A8}" name="Column12953"/>
    <tableColumn id="12959" xr3:uid="{3D28F4C3-7009-407E-B522-C012610D7E18}" name="Column12954"/>
    <tableColumn id="12960" xr3:uid="{B42C72C9-F4F0-44CE-9E73-EFB390ADDF61}" name="Column12955"/>
    <tableColumn id="12961" xr3:uid="{181FEDEB-9D1D-41CD-88A0-405FA92663E4}" name="Column12956"/>
    <tableColumn id="12962" xr3:uid="{BDD31322-8326-41FE-9D39-3ABBAB069461}" name="Column12957"/>
    <tableColumn id="12963" xr3:uid="{8F5E795D-15B4-4986-A1B8-DBEC5951C5DF}" name="Column12958"/>
    <tableColumn id="12964" xr3:uid="{07A73ECF-E22B-4EDE-B976-F9A904DDE0DE}" name="Column12959"/>
    <tableColumn id="12965" xr3:uid="{74510859-7F02-4C51-A318-F6B707E42111}" name="Column12960"/>
    <tableColumn id="12966" xr3:uid="{947B3F2A-2D63-40CF-8F48-1AFB0541B0DB}" name="Column12961"/>
    <tableColumn id="12967" xr3:uid="{C628F0BC-1FB1-4042-AA0D-D3E3E05FE418}" name="Column12962"/>
    <tableColumn id="12968" xr3:uid="{1FB60616-0E57-4B94-AE54-11924651C7E1}" name="Column12963"/>
    <tableColumn id="12969" xr3:uid="{6911FE3E-23C5-4520-8C7E-7A99988173F8}" name="Column12964"/>
    <tableColumn id="12970" xr3:uid="{BB286149-DE1B-4EE2-B5A5-16E24EEC4325}" name="Column12965"/>
    <tableColumn id="12971" xr3:uid="{D4F2D510-0BA3-43EB-B8CB-0945177E30A4}" name="Column12966"/>
    <tableColumn id="12972" xr3:uid="{4F4F5105-1062-4AF2-9676-143C67FD8994}" name="Column12967"/>
    <tableColumn id="12973" xr3:uid="{7CAB4DE8-C5F0-4431-BF38-CFE7EAB8C1C6}" name="Column12968"/>
    <tableColumn id="12974" xr3:uid="{861C660C-6929-4B6F-B9B8-A662A6DB651B}" name="Column12969"/>
    <tableColumn id="12975" xr3:uid="{33177F3B-64EC-45B3-A3DF-B9161071BAFB}" name="Column12970"/>
    <tableColumn id="12976" xr3:uid="{649604E9-7ED4-44F3-B005-E8588C66EF12}" name="Column12971"/>
    <tableColumn id="12977" xr3:uid="{835CA7A4-DDF5-447E-B2BA-63A9D98D3F62}" name="Column12972"/>
    <tableColumn id="12978" xr3:uid="{A50A41E1-5882-4E84-89F2-C4A4D0AEFA7F}" name="Column12973"/>
    <tableColumn id="12979" xr3:uid="{6E89EC04-06C0-447B-A267-2E092F7CF6C1}" name="Column12974"/>
    <tableColumn id="12980" xr3:uid="{82598C87-B2AA-4C26-9B52-E9B62D848F11}" name="Column12975"/>
    <tableColumn id="12981" xr3:uid="{CB4CDC22-C7A5-4386-A22E-5898428FE63E}" name="Column12976"/>
    <tableColumn id="12982" xr3:uid="{99BB9CD2-2729-48FA-8B94-1BDA653B4980}" name="Column12977"/>
    <tableColumn id="12983" xr3:uid="{5D8C05C5-9772-43F7-A45D-D0A02DBEADE2}" name="Column12978"/>
    <tableColumn id="12984" xr3:uid="{E22ADDA5-5068-487B-BBA2-3D76A59F2E06}" name="Column12979"/>
    <tableColumn id="12985" xr3:uid="{41ABBAC9-8938-44E4-9F27-8F10E53A11A3}" name="Column12980"/>
    <tableColumn id="12986" xr3:uid="{78ED3B01-FD09-4447-AA5A-80E1C3F6AC8D}" name="Column12981"/>
    <tableColumn id="12987" xr3:uid="{A3F8E4B2-01CE-4D54-BC28-12F1430F5FB6}" name="Column12982"/>
    <tableColumn id="12988" xr3:uid="{7F74ACE1-B7B0-4E4D-AE98-4CBD7DAF609E}" name="Column12983"/>
    <tableColumn id="12989" xr3:uid="{35B843D0-5359-4825-8F6F-C8A0E77768D7}" name="Column12984"/>
    <tableColumn id="12990" xr3:uid="{17D06F5D-D331-448F-B627-C12F6E747811}" name="Column12985"/>
    <tableColumn id="12991" xr3:uid="{1EF9E289-38AE-4D67-BE46-0A75C25311C8}" name="Column12986"/>
    <tableColumn id="12992" xr3:uid="{374804A7-6765-46B8-90D2-B7F264600FCC}" name="Column12987"/>
    <tableColumn id="12993" xr3:uid="{1ECCC84B-CEF4-4057-B1AB-0AD7E6454594}" name="Column12988"/>
    <tableColumn id="12994" xr3:uid="{E5A7611C-49FB-4F52-B4FD-85804E8979E9}" name="Column12989"/>
    <tableColumn id="12995" xr3:uid="{B043E702-5A8C-4F8D-9BF2-3B1E93DC68C2}" name="Column12990"/>
    <tableColumn id="12996" xr3:uid="{A11FA869-CB5A-40CE-9BC9-D62AC803DFB6}" name="Column12991"/>
    <tableColumn id="12997" xr3:uid="{C18AB398-147E-47DE-8406-C2F49F272932}" name="Column12992"/>
    <tableColumn id="12998" xr3:uid="{60E6B936-8486-4C5A-9CD7-47024ECEF037}" name="Column12993"/>
    <tableColumn id="12999" xr3:uid="{2DCCD743-695A-4F52-9E1C-B86878D118F2}" name="Column12994"/>
    <tableColumn id="13000" xr3:uid="{EF33B3B3-2462-47A8-B1D7-6DCAA0BD82C4}" name="Column12995"/>
    <tableColumn id="13001" xr3:uid="{1D7EFC6C-596B-4960-AE7B-9B5DFD02D1C8}" name="Column12996"/>
    <tableColumn id="13002" xr3:uid="{5ACE3D44-56AA-4EB1-BBB6-6A0832559E7D}" name="Column12997"/>
    <tableColumn id="13003" xr3:uid="{4FBBD6B2-198F-4257-930D-5E9DEC4052A4}" name="Column12998"/>
    <tableColumn id="13004" xr3:uid="{1A03C372-33E1-4162-B954-9443C2B4C501}" name="Column12999"/>
    <tableColumn id="13005" xr3:uid="{4525F48D-C4BD-4B7B-AE6A-FD1EE33EF6F4}" name="Column13000"/>
    <tableColumn id="13006" xr3:uid="{03A205DD-3D1B-4753-A55D-AAAF6A78F801}" name="Column13001"/>
    <tableColumn id="13007" xr3:uid="{0590AD59-B391-4D6B-92C1-9BFD4CF83C53}" name="Column13002"/>
    <tableColumn id="13008" xr3:uid="{EF6FD110-BBD8-4579-B81F-4B96A81B652A}" name="Column13003"/>
    <tableColumn id="13009" xr3:uid="{AEA0B4B8-EED9-4484-946C-C9075131FC2F}" name="Column13004"/>
    <tableColumn id="13010" xr3:uid="{60F9CC1D-E521-4D22-869D-0E9E18FBCD2C}" name="Column13005"/>
    <tableColumn id="13011" xr3:uid="{B5A9F525-40AD-4A4B-91D2-DA2D422CC7E0}" name="Column13006"/>
    <tableColumn id="13012" xr3:uid="{733C6880-5D3C-4DB6-A0FE-A8DD61277F68}" name="Column13007"/>
    <tableColumn id="13013" xr3:uid="{DFFA1376-A4BD-42D7-8E9B-6A7755854E15}" name="Column13008"/>
    <tableColumn id="13014" xr3:uid="{639E73BD-0585-4163-8ED1-7D47F46E1878}" name="Column13009"/>
    <tableColumn id="13015" xr3:uid="{FABD03E1-B6D5-41F6-9CB1-AB9A4BD669B1}" name="Column13010"/>
    <tableColumn id="13016" xr3:uid="{D8DE3B36-099D-4E5E-8189-2F25CDCB7C64}" name="Column13011"/>
    <tableColumn id="13017" xr3:uid="{F4E70289-DA09-4B31-AA49-4971EE269330}" name="Column13012"/>
    <tableColumn id="13018" xr3:uid="{8E44A9B6-5C86-4B39-818E-6A4B24069FAE}" name="Column13013"/>
    <tableColumn id="13019" xr3:uid="{C8D69C33-55BA-4F55-9DC1-DA906E233C92}" name="Column13014"/>
    <tableColumn id="13020" xr3:uid="{4B0B2A4D-411B-456C-8295-C1690DBE58EB}" name="Column13015"/>
    <tableColumn id="13021" xr3:uid="{501CC215-0232-4288-B57B-D1588EDD7F60}" name="Column13016"/>
    <tableColumn id="13022" xr3:uid="{662BBADD-3F7B-4F1C-BA70-A62C1BB988AC}" name="Column13017"/>
    <tableColumn id="13023" xr3:uid="{15C048A8-4EE9-4352-8228-106DC5A17DFE}" name="Column13018"/>
    <tableColumn id="13024" xr3:uid="{8E8A057D-8A29-4F7F-BA0F-85CF8E36D195}" name="Column13019"/>
    <tableColumn id="13025" xr3:uid="{B466C081-9BD8-48D9-BAB7-A76355A11E66}" name="Column13020"/>
    <tableColumn id="13026" xr3:uid="{D5931124-CA83-4959-B305-875272EE570F}" name="Column13021"/>
    <tableColumn id="13027" xr3:uid="{0FD3958D-BFEB-4A36-8EB3-B7BF113226C8}" name="Column13022"/>
    <tableColumn id="13028" xr3:uid="{868A32F3-43F4-4812-827C-79C3DAF10940}" name="Column13023"/>
    <tableColumn id="13029" xr3:uid="{50A16C2C-AA92-4120-B773-DD3D1D95BEC9}" name="Column13024"/>
    <tableColumn id="13030" xr3:uid="{064C3725-982D-4384-B3D6-95F3C1B156FC}" name="Column13025"/>
    <tableColumn id="13031" xr3:uid="{E33E4220-1599-4150-8C9A-25B5BCBC5759}" name="Column13026"/>
    <tableColumn id="13032" xr3:uid="{7C5F50FF-E24C-48AF-A942-A556D348F4AD}" name="Column13027"/>
    <tableColumn id="13033" xr3:uid="{622BA038-B3DE-489A-874A-380516A8C261}" name="Column13028"/>
    <tableColumn id="13034" xr3:uid="{972AC186-31DD-4EF5-BBBF-B07F87F589AF}" name="Column13029"/>
    <tableColumn id="13035" xr3:uid="{BCC84BC8-B800-4EBC-8F32-A65153262EF1}" name="Column13030"/>
    <tableColumn id="13036" xr3:uid="{2E6AEB0F-1930-4D11-931D-7547C52C7648}" name="Column13031"/>
    <tableColumn id="13037" xr3:uid="{AF97EF63-4B5B-4CD4-AC47-9E9298B80279}" name="Column13032"/>
    <tableColumn id="13038" xr3:uid="{4A16CDB9-426B-4DB7-9AF8-EF9CF45EE2A6}" name="Column13033"/>
    <tableColumn id="13039" xr3:uid="{CA6D072C-9EEB-4181-9C13-91D6A449ABE3}" name="Column13034"/>
    <tableColumn id="13040" xr3:uid="{3F5257C1-0C70-4413-88C2-FFB87973B867}" name="Column13035"/>
    <tableColumn id="13041" xr3:uid="{05F3F3B4-3410-49AB-90ED-9BD4CC738386}" name="Column13036"/>
    <tableColumn id="13042" xr3:uid="{423403DC-FFA1-4562-9CD7-3C72133405DB}" name="Column13037"/>
    <tableColumn id="13043" xr3:uid="{400156FF-D720-43F9-8140-2B49F3B17EDE}" name="Column13038"/>
    <tableColumn id="13044" xr3:uid="{B08AC406-9464-4586-B140-2E3C944B1A12}" name="Column13039"/>
    <tableColumn id="13045" xr3:uid="{BD1A3D85-779A-419D-95E8-9B23A38CF1E8}" name="Column13040"/>
    <tableColumn id="13046" xr3:uid="{AB5A577B-6217-455A-A871-E88E05963836}" name="Column13041"/>
    <tableColumn id="13047" xr3:uid="{562D19C8-08E5-44DC-BCA2-93BFB4C82323}" name="Column13042"/>
    <tableColumn id="13048" xr3:uid="{035DD578-1E70-43AA-BE0C-0876D7753027}" name="Column13043"/>
    <tableColumn id="13049" xr3:uid="{A3E03B09-E2DA-43A6-83F7-5CBF7DDE65BA}" name="Column13044"/>
    <tableColumn id="13050" xr3:uid="{9B6A7402-ECDA-413E-9C26-2E29E00244D3}" name="Column13045"/>
    <tableColumn id="13051" xr3:uid="{2C542816-742E-4705-BF08-15A85D411AB1}" name="Column13046"/>
    <tableColumn id="13052" xr3:uid="{DCB2FE3A-18D7-40F6-AAD6-D8DD3F436455}" name="Column13047"/>
    <tableColumn id="13053" xr3:uid="{25BB76F2-C4DE-4F2F-BBE4-557F69D0BC8C}" name="Column13048"/>
    <tableColumn id="13054" xr3:uid="{9A04E553-2C21-4EE7-ABF0-D75D6BB0CC87}" name="Column13049"/>
    <tableColumn id="13055" xr3:uid="{766D1638-D548-42F0-94D0-B26F47E27100}" name="Column13050"/>
    <tableColumn id="13056" xr3:uid="{DFAEDC7B-65C1-4CFF-807E-E46E9A708020}" name="Column13051"/>
    <tableColumn id="13057" xr3:uid="{21051555-44DE-4748-AAFF-9B91AE43A243}" name="Column13052"/>
    <tableColumn id="13058" xr3:uid="{87DB7569-4241-47FD-9929-DD1C6F772CAB}" name="Column13053"/>
    <tableColumn id="13059" xr3:uid="{111BDC0A-E105-4862-BAE5-86458A04C545}" name="Column13054"/>
    <tableColumn id="13060" xr3:uid="{0AE6B063-39A0-4AF0-96DA-8FD7552DB31A}" name="Column13055"/>
    <tableColumn id="13061" xr3:uid="{9B7B91B6-3519-41D6-9D8E-23C360467517}" name="Column13056"/>
    <tableColumn id="13062" xr3:uid="{30C947B5-D680-40E2-8029-325B67318DA5}" name="Column13057"/>
    <tableColumn id="13063" xr3:uid="{47400F54-FCD3-4C41-9428-2695D3899C40}" name="Column13058"/>
    <tableColumn id="13064" xr3:uid="{4DE294E5-AD34-4F57-9FEB-42D5554A7A61}" name="Column13059"/>
    <tableColumn id="13065" xr3:uid="{5AABAB7B-2B1D-46C8-AD9E-E8FB3C967628}" name="Column13060"/>
    <tableColumn id="13066" xr3:uid="{6627D2CD-41A9-4F42-B9B4-8B43A547A713}" name="Column13061"/>
    <tableColumn id="13067" xr3:uid="{C383C2E6-EEAA-4CDE-990E-4972624FA00E}" name="Column13062"/>
    <tableColumn id="13068" xr3:uid="{30EA6644-2BC0-4517-AC92-EEBE821FBEDA}" name="Column13063"/>
    <tableColumn id="13069" xr3:uid="{83B7BDE7-F9B4-4B57-B0DE-83B14BEA952C}" name="Column13064"/>
    <tableColumn id="13070" xr3:uid="{FE23B515-A2C8-45BD-904F-75FF3D14756A}" name="Column13065"/>
    <tableColumn id="13071" xr3:uid="{C8942D36-8ED0-4C2C-9388-8E75E10499FE}" name="Column13066"/>
    <tableColumn id="13072" xr3:uid="{39E46ECC-4FE5-4488-839A-41AB4F407E7D}" name="Column13067"/>
    <tableColumn id="13073" xr3:uid="{616DC4F1-0264-484B-B4C2-337D8ED84DCF}" name="Column13068"/>
    <tableColumn id="13074" xr3:uid="{875E51B3-B11C-4D2C-A417-35C67FF1FE5A}" name="Column13069"/>
    <tableColumn id="13075" xr3:uid="{45BCB95D-5C2F-46FE-A297-AD5A00051E73}" name="Column13070"/>
    <tableColumn id="13076" xr3:uid="{0D34AAE4-615B-416F-9B87-6FCAA6EB002F}" name="Column13071"/>
    <tableColumn id="13077" xr3:uid="{7E3CD935-0D71-440F-985A-D5A4ECCCEA53}" name="Column13072"/>
    <tableColumn id="13078" xr3:uid="{47EAAF75-A69E-4357-95B8-EB7501951511}" name="Column13073"/>
    <tableColumn id="13079" xr3:uid="{9B812001-1A76-491A-AF43-A71BA817132C}" name="Column13074"/>
    <tableColumn id="13080" xr3:uid="{CDE9265C-CB91-4382-B631-970639EFB835}" name="Column13075"/>
    <tableColumn id="13081" xr3:uid="{028A8497-A306-4486-873E-94E0942F900E}" name="Column13076"/>
    <tableColumn id="13082" xr3:uid="{65FEC844-7C9A-4505-88B2-100ADFBA9576}" name="Column13077"/>
    <tableColumn id="13083" xr3:uid="{8562511C-89E4-40EA-BAFF-0D23B037F6FD}" name="Column13078"/>
    <tableColumn id="13084" xr3:uid="{20B51769-E4D1-4B71-BDAD-79371BF41D50}" name="Column13079"/>
    <tableColumn id="13085" xr3:uid="{6A0A9553-1FFE-4909-9F8F-68AC638DC2F4}" name="Column13080"/>
    <tableColumn id="13086" xr3:uid="{E0C89ECB-60EE-4A27-961C-D62C4713680E}" name="Column13081"/>
    <tableColumn id="13087" xr3:uid="{47543334-431C-45B0-BC7D-EC87663AD5F7}" name="Column13082"/>
    <tableColumn id="13088" xr3:uid="{8035CB52-C92B-4C35-A655-E20BD89BC989}" name="Column13083"/>
    <tableColumn id="13089" xr3:uid="{0E7EDBAD-5BF7-4663-BEFA-0A3A3772CD4B}" name="Column13084"/>
    <tableColumn id="13090" xr3:uid="{834802E9-0A08-41B9-890D-AD240F071789}" name="Column13085"/>
    <tableColumn id="13091" xr3:uid="{5B12FD71-0D76-4A7A-B9EB-060E0055CF76}" name="Column13086"/>
    <tableColumn id="13092" xr3:uid="{5E0DF177-5E54-4940-8AB7-580DEF317808}" name="Column13087"/>
    <tableColumn id="13093" xr3:uid="{57EAAC1A-CCEC-49D8-B36E-0C075FD840EE}" name="Column13088"/>
    <tableColumn id="13094" xr3:uid="{74C8E42A-B694-4867-88AD-1431A75725BB}" name="Column13089"/>
    <tableColumn id="13095" xr3:uid="{F39F8CE6-0D67-47D3-83DA-E98908ECED8B}" name="Column13090"/>
    <tableColumn id="13096" xr3:uid="{CCC0E3D5-63DA-474F-9283-1585B9142717}" name="Column13091"/>
    <tableColumn id="13097" xr3:uid="{8A1EBAFB-3734-4486-87DE-04D285FEC700}" name="Column13092"/>
    <tableColumn id="13098" xr3:uid="{24138BA9-7C27-4CFA-A821-A6B8349A95D9}" name="Column13093"/>
    <tableColumn id="13099" xr3:uid="{40F8241F-9F95-4AD0-AA45-B0AE689782E3}" name="Column13094"/>
    <tableColumn id="13100" xr3:uid="{D597270E-9932-468C-AE2D-045F7E2F3BD5}" name="Column13095"/>
    <tableColumn id="13101" xr3:uid="{904D5589-BA92-4346-AB17-4C98302C9733}" name="Column13096"/>
    <tableColumn id="13102" xr3:uid="{A220746E-6EAA-4F9B-A9F8-7987C952D3F1}" name="Column13097"/>
    <tableColumn id="13103" xr3:uid="{C1437819-BF54-48E0-AAD7-ABDA85D981E9}" name="Column13098"/>
    <tableColumn id="13104" xr3:uid="{D9D2536E-EED6-4A58-BC63-E4AB5EE15369}" name="Column13099"/>
    <tableColumn id="13105" xr3:uid="{5A80301A-D6EC-4204-A3DF-A4F6F6335BD8}" name="Column13100"/>
    <tableColumn id="13106" xr3:uid="{1ED3417A-4F36-46EB-8D11-15296BE50AD7}" name="Column13101"/>
    <tableColumn id="13107" xr3:uid="{735B8184-6C5E-4B2F-B9B5-1C71DF4A0D38}" name="Column13102"/>
    <tableColumn id="13108" xr3:uid="{CFEDBDE7-6808-4279-85A4-C62E5B63EA56}" name="Column13103"/>
    <tableColumn id="13109" xr3:uid="{651E6B74-AC0C-4D40-BBAB-262BBAE4E0E4}" name="Column13104"/>
    <tableColumn id="13110" xr3:uid="{785EE7A6-FDE8-4939-BAE8-A3913597E9D7}" name="Column13105"/>
    <tableColumn id="13111" xr3:uid="{6BDA38D1-FA86-4805-A31A-FCDDDD4784BD}" name="Column13106"/>
    <tableColumn id="13112" xr3:uid="{213F2BFD-AE43-4B74-A424-489B733AEC2F}" name="Column13107"/>
    <tableColumn id="13113" xr3:uid="{F701868E-84A1-4706-8851-E27F95A8BEC3}" name="Column13108"/>
    <tableColumn id="13114" xr3:uid="{8E701122-3C21-4F17-80F2-E29C9B11B6CE}" name="Column13109"/>
    <tableColumn id="13115" xr3:uid="{C0376423-E2BB-496B-9151-7ED9F9E1BEC4}" name="Column13110"/>
    <tableColumn id="13116" xr3:uid="{0B3AAD14-1A2B-44BD-91CE-9C94D5B2049B}" name="Column13111"/>
    <tableColumn id="13117" xr3:uid="{EAA245C7-ACE6-4118-A210-A4F7A7977361}" name="Column13112"/>
    <tableColumn id="13118" xr3:uid="{3AFBDB80-F5C8-44E9-A9CB-97E800E9D88B}" name="Column13113"/>
    <tableColumn id="13119" xr3:uid="{AF4F6EF9-190E-48C5-A83E-34390443EA40}" name="Column13114"/>
    <tableColumn id="13120" xr3:uid="{76A419D5-8AB5-472E-A83A-15265DAB8666}" name="Column13115"/>
    <tableColumn id="13121" xr3:uid="{7EA0BE21-AD49-47DE-BFCF-AE6EDD871D15}" name="Column13116"/>
    <tableColumn id="13122" xr3:uid="{93C38C1B-C6FB-4E36-B9A0-65359A95C714}" name="Column13117"/>
    <tableColumn id="13123" xr3:uid="{4B1B42DA-28A5-4BFA-8E91-E7B102577B08}" name="Column13118"/>
    <tableColumn id="13124" xr3:uid="{BFA74D84-FC18-4674-891F-45AB88B3C328}" name="Column13119"/>
    <tableColumn id="13125" xr3:uid="{688E8D0A-2BD5-4F4F-8459-3E38DED2196E}" name="Column13120"/>
    <tableColumn id="13126" xr3:uid="{353B19E2-72C1-4DA2-807D-011AB201A00D}" name="Column13121"/>
    <tableColumn id="13127" xr3:uid="{B8A33987-D448-44AD-99B2-C34D0906E1BB}" name="Column13122"/>
    <tableColumn id="13128" xr3:uid="{B64DCE9F-3B01-4F4E-9CA5-381CC4826783}" name="Column13123"/>
    <tableColumn id="13129" xr3:uid="{91FE642E-636D-4596-9672-4D9BEB66D75D}" name="Column13124"/>
    <tableColumn id="13130" xr3:uid="{11A4CA9B-C32E-4597-9466-599EA3B6A945}" name="Column13125"/>
    <tableColumn id="13131" xr3:uid="{527797D7-4F31-4361-BE11-E5C3C10DB232}" name="Column13126"/>
    <tableColumn id="13132" xr3:uid="{6839F376-45BD-479D-95BD-654B67D56DCD}" name="Column13127"/>
    <tableColumn id="13133" xr3:uid="{4BAEA234-7005-4C5D-AF41-BA9DFAEDFA2F}" name="Column13128"/>
    <tableColumn id="13134" xr3:uid="{1CFD5D98-7C19-4664-BFA6-AEF9005A9106}" name="Column13129"/>
    <tableColumn id="13135" xr3:uid="{26435D45-21CA-4AFC-AF2D-2F470FE5951B}" name="Column13130"/>
    <tableColumn id="13136" xr3:uid="{F2DEF29A-8621-49D2-9D6B-B9C596E52177}" name="Column13131"/>
    <tableColumn id="13137" xr3:uid="{E9A7AABD-7A91-4204-839D-4F1571986831}" name="Column13132"/>
    <tableColumn id="13138" xr3:uid="{B8FE382C-CC26-4A45-AD05-DEFDC73FC727}" name="Column13133"/>
    <tableColumn id="13139" xr3:uid="{8299D695-855D-4826-BEE0-E5B3E09C384C}" name="Column13134"/>
    <tableColumn id="13140" xr3:uid="{26B42A83-009F-465A-8B5F-E3ABB87D2594}" name="Column13135"/>
    <tableColumn id="13141" xr3:uid="{1EC37E3C-9E29-48BF-9B6C-468806E0D782}" name="Column13136"/>
    <tableColumn id="13142" xr3:uid="{29DB196B-4B11-4745-9EAD-70D46AA3D5C0}" name="Column13137"/>
    <tableColumn id="13143" xr3:uid="{72CBB367-01B4-434E-A784-45EF2364ECBE}" name="Column13138"/>
    <tableColumn id="13144" xr3:uid="{E23B89FD-5570-453D-8901-2F4D7C67888C}" name="Column13139"/>
    <tableColumn id="13145" xr3:uid="{D7747E25-719C-4EF1-A852-423012C8B2C9}" name="Column13140"/>
    <tableColumn id="13146" xr3:uid="{B2D3C841-75DA-40CB-A028-C256BC168E51}" name="Column13141"/>
    <tableColumn id="13147" xr3:uid="{63E67C25-DE7D-47B8-8B7E-555E781D40FB}" name="Column13142"/>
    <tableColumn id="13148" xr3:uid="{FE8AA2A3-3776-4FFC-9135-7BD79DC1AF6D}" name="Column13143"/>
    <tableColumn id="13149" xr3:uid="{8D748CD9-EC8C-4B5B-A5C5-E94470A8C604}" name="Column13144"/>
    <tableColumn id="13150" xr3:uid="{DBA2686E-C9F4-4FDF-8FDC-0A33A4B77ADF}" name="Column13145"/>
    <tableColumn id="13151" xr3:uid="{15273F44-B991-4C86-9AB3-FEED21648EEF}" name="Column13146"/>
    <tableColumn id="13152" xr3:uid="{0089ADB2-A35D-434E-BAD0-0032E955490E}" name="Column13147"/>
    <tableColumn id="13153" xr3:uid="{3DE56A06-0736-4F1C-847A-569D0B49852F}" name="Column13148"/>
    <tableColumn id="13154" xr3:uid="{6C439C36-8FF1-45B8-A7C4-CB0B46CF4981}" name="Column13149"/>
    <tableColumn id="13155" xr3:uid="{2F294C7C-75B5-4403-8605-690797D28BD1}" name="Column13150"/>
    <tableColumn id="13156" xr3:uid="{4D9FE797-389F-4A4C-B5E3-5033359E2466}" name="Column13151"/>
    <tableColumn id="13157" xr3:uid="{8AEF38A6-B487-45B0-86F3-EAE7DC593253}" name="Column13152"/>
    <tableColumn id="13158" xr3:uid="{F7BD2CD0-9070-47D4-B72B-E926C8B0B2B6}" name="Column13153"/>
    <tableColumn id="13159" xr3:uid="{8F9FF8BD-6D4B-4B14-8017-B0012AFE8308}" name="Column13154"/>
    <tableColumn id="13160" xr3:uid="{D8B2D25C-E7CA-4079-8E5C-5327F3006641}" name="Column13155"/>
    <tableColumn id="13161" xr3:uid="{A4D79F4C-C640-4D62-9402-9EC149F2A2AE}" name="Column13156"/>
    <tableColumn id="13162" xr3:uid="{CD5257DF-D2E4-4FE7-8132-ED119E0B7EB6}" name="Column13157"/>
    <tableColumn id="13163" xr3:uid="{30596683-3A1F-49C8-BAE7-E07525440E21}" name="Column13158"/>
    <tableColumn id="13164" xr3:uid="{32206BF6-4C34-4CA3-9308-D35019B701C9}" name="Column13159"/>
    <tableColumn id="13165" xr3:uid="{08EB2FA7-E496-4123-B531-48873FDF859D}" name="Column13160"/>
    <tableColumn id="13166" xr3:uid="{DDEA6FC6-FBF5-4D2B-BAEC-BC955017A166}" name="Column13161"/>
    <tableColumn id="13167" xr3:uid="{CBD63BED-A5E2-425F-A717-B6AF42A32E24}" name="Column13162"/>
    <tableColumn id="13168" xr3:uid="{F5F60F36-3657-45AA-ACD5-96176CF364DB}" name="Column13163"/>
    <tableColumn id="13169" xr3:uid="{346F9996-D723-44FA-AF01-1F5EAE4E2E31}" name="Column13164"/>
    <tableColumn id="13170" xr3:uid="{A30B1433-4556-43FA-A333-3FEA5D9872C1}" name="Column13165"/>
    <tableColumn id="13171" xr3:uid="{856952F0-0B7A-475E-9627-6FCACCA16A30}" name="Column13166"/>
    <tableColumn id="13172" xr3:uid="{A10E1743-4AC5-4539-8EC7-1D70AC83BAAB}" name="Column13167"/>
    <tableColumn id="13173" xr3:uid="{76439457-979E-4415-9340-76CCDEE45890}" name="Column13168"/>
    <tableColumn id="13174" xr3:uid="{313A8B6F-7FB8-41F6-A9E2-D90AC6C8504A}" name="Column13169"/>
    <tableColumn id="13175" xr3:uid="{479CFAC7-7AC3-4639-B3F5-3F7A24CCA188}" name="Column13170"/>
    <tableColumn id="13176" xr3:uid="{55A6C51E-60E3-4DF0-8A4A-AAFDAC961462}" name="Column13171"/>
    <tableColumn id="13177" xr3:uid="{A0213907-A81A-47D4-B908-C089EA21DD92}" name="Column13172"/>
    <tableColumn id="13178" xr3:uid="{AC5C8C26-D412-4082-9F59-05A4FDE77118}" name="Column13173"/>
    <tableColumn id="13179" xr3:uid="{1988CD0A-8055-454E-8A67-A1E34872FCE5}" name="Column13174"/>
    <tableColumn id="13180" xr3:uid="{184B9FE4-10B6-42BA-ACCB-DB93D531D314}" name="Column13175"/>
    <tableColumn id="13181" xr3:uid="{D9774E43-20F5-4586-81E0-6918888A1035}" name="Column13176"/>
    <tableColumn id="13182" xr3:uid="{C294CDCC-A5AF-436E-AAF0-499B4DA1BB49}" name="Column13177"/>
    <tableColumn id="13183" xr3:uid="{472B3392-343F-4A5A-A9D6-E146C81044C5}" name="Column13178"/>
    <tableColumn id="13184" xr3:uid="{82ADFFE6-6865-45D5-A251-7A479A5B937F}" name="Column13179"/>
    <tableColumn id="13185" xr3:uid="{C66BCE3D-A904-4BE8-965E-D9844EF13DE7}" name="Column13180"/>
    <tableColumn id="13186" xr3:uid="{9CC99C94-AFFE-43A6-BD0E-C4C668A331CF}" name="Column13181"/>
    <tableColumn id="13187" xr3:uid="{77F71460-2E16-4D02-A4A6-66F39DD3E69E}" name="Column13182"/>
    <tableColumn id="13188" xr3:uid="{716ACAB6-DDF2-4FF3-8E4E-33B6E0377C2A}" name="Column13183"/>
    <tableColumn id="13189" xr3:uid="{A97D3D19-532C-44A2-B0A5-2CAAB620D934}" name="Column13184"/>
    <tableColumn id="13190" xr3:uid="{96B6C19F-D48E-484F-BEB4-E99C8FF5DC77}" name="Column13185"/>
    <tableColumn id="13191" xr3:uid="{E0FB7CB6-717D-4E00-BFE8-32FA500CDD1F}" name="Column13186"/>
    <tableColumn id="13192" xr3:uid="{EFF6342E-CECD-4687-959C-9C59735EBC4C}" name="Column13187"/>
    <tableColumn id="13193" xr3:uid="{0CA70D01-0923-4A7D-AD5B-3F473E85E79B}" name="Column13188"/>
    <tableColumn id="13194" xr3:uid="{B3B249DD-B9C3-4E29-84CA-A8FBC041253A}" name="Column13189"/>
    <tableColumn id="13195" xr3:uid="{C412DB4B-1F71-4223-B5BD-EF7C30607655}" name="Column13190"/>
    <tableColumn id="13196" xr3:uid="{8B86538B-9309-47FE-9239-2574C84CC152}" name="Column13191"/>
    <tableColumn id="13197" xr3:uid="{9282EA5E-BD23-4111-A8AE-2FC33078317F}" name="Column13192"/>
    <tableColumn id="13198" xr3:uid="{B176F3E2-99B9-4A76-8242-8FE2919DE51C}" name="Column13193"/>
    <tableColumn id="13199" xr3:uid="{BB729DB7-917A-4483-BF1F-1832C6CCDCE8}" name="Column13194"/>
    <tableColumn id="13200" xr3:uid="{F0E8A65A-C0BA-4CB6-9AE1-C9E28104C83F}" name="Column13195"/>
    <tableColumn id="13201" xr3:uid="{1EA7A774-412D-4E2E-AAF8-579F513C2DAF}" name="Column13196"/>
    <tableColumn id="13202" xr3:uid="{9F81CA0D-7D41-4F95-A1B0-48F0DF745ED2}" name="Column13197"/>
    <tableColumn id="13203" xr3:uid="{5206ECF7-DECE-4100-A888-891B1505466B}" name="Column13198"/>
    <tableColumn id="13204" xr3:uid="{F912E08C-1CE4-4AE1-A9D8-9B1E1AE0D100}" name="Column13199"/>
    <tableColumn id="13205" xr3:uid="{F2BAA8B2-D46A-4B37-86A5-AE49E170A952}" name="Column13200"/>
    <tableColumn id="13206" xr3:uid="{756CDBC4-DF40-4A25-888B-08E7FCA6E99B}" name="Column13201"/>
    <tableColumn id="13207" xr3:uid="{36CDF78B-8099-4D0B-97B5-6F879C18DCE5}" name="Column13202"/>
    <tableColumn id="13208" xr3:uid="{1D6733F8-9AB2-412F-AED5-E21746FD4E6A}" name="Column13203"/>
    <tableColumn id="13209" xr3:uid="{1E489A12-48D5-4FAF-9F39-5FA1FC7B5FDC}" name="Column13204"/>
    <tableColumn id="13210" xr3:uid="{E7A6B389-6E2A-4E0B-A49A-6B3185D544AD}" name="Column13205"/>
    <tableColumn id="13211" xr3:uid="{05766D2B-EEBE-46EB-BDAC-339E3EFD1E4A}" name="Column13206"/>
    <tableColumn id="13212" xr3:uid="{2EC00648-68EC-465F-A7A6-42533E66D64A}" name="Column13207"/>
    <tableColumn id="13213" xr3:uid="{260427D2-B3CB-465A-B346-00442D3E935B}" name="Column13208"/>
    <tableColumn id="13214" xr3:uid="{0CD1E9B9-BC6F-4019-80A8-9A0278A114A2}" name="Column13209"/>
    <tableColumn id="13215" xr3:uid="{85E2F362-70EC-40B4-A1F8-BE628F2402C9}" name="Column13210"/>
    <tableColumn id="13216" xr3:uid="{22E8A957-E862-4FDF-9E63-9AFB0A55AAA0}" name="Column13211"/>
    <tableColumn id="13217" xr3:uid="{68045A64-7D62-4A8C-87EF-321750BA23D5}" name="Column13212"/>
    <tableColumn id="13218" xr3:uid="{DCDD567A-5132-4EFB-98EC-7F431B05FF1C}" name="Column13213"/>
    <tableColumn id="13219" xr3:uid="{C0AA73D9-7350-4347-990F-B6A362F5C086}" name="Column13214"/>
    <tableColumn id="13220" xr3:uid="{D1C6B22D-29D0-4EE2-AB88-2DBD2FBF7929}" name="Column13215"/>
    <tableColumn id="13221" xr3:uid="{49359B11-80D2-419A-874E-5FAE789E546C}" name="Column13216"/>
    <tableColumn id="13222" xr3:uid="{7B5410FB-9F2B-4F12-84BB-06997FFB5056}" name="Column13217"/>
    <tableColumn id="13223" xr3:uid="{BFFC11A9-A0F6-48AD-BD87-C64F6E748B6F}" name="Column13218"/>
    <tableColumn id="13224" xr3:uid="{2E86AA35-2F4D-4170-86FD-1AE2433FC2A5}" name="Column13219"/>
    <tableColumn id="13225" xr3:uid="{B839D938-6A7F-4C8C-BAA6-79AAC743AC50}" name="Column13220"/>
    <tableColumn id="13226" xr3:uid="{67871563-F108-4B12-91ED-A7E6480DE96A}" name="Column13221"/>
    <tableColumn id="13227" xr3:uid="{E1233E23-BEB2-4D5D-ACE0-18AEF99B23D3}" name="Column13222"/>
    <tableColumn id="13228" xr3:uid="{709D439C-DAB1-4070-91FF-0D85E3DE8106}" name="Column13223"/>
    <tableColumn id="13229" xr3:uid="{400D730E-FCEB-4BC1-8284-1F6FC57753D4}" name="Column13224"/>
    <tableColumn id="13230" xr3:uid="{85C278FF-E98B-4141-B692-7E153DF1770B}" name="Column13225"/>
    <tableColumn id="13231" xr3:uid="{D569D6F3-DB97-4556-A9EF-B03D656852DC}" name="Column13226"/>
    <tableColumn id="13232" xr3:uid="{C9A12BA3-039D-41E1-8338-F7708650A9C1}" name="Column13227"/>
    <tableColumn id="13233" xr3:uid="{FCA9C524-3B14-453A-9D46-66118BC2AAE0}" name="Column13228"/>
    <tableColumn id="13234" xr3:uid="{C807F3CF-CF5C-4D6E-B415-8CD79A0D7FBC}" name="Column13229"/>
    <tableColumn id="13235" xr3:uid="{A190CABD-003F-4E14-971B-0565EE9293BF}" name="Column13230"/>
    <tableColumn id="13236" xr3:uid="{D58CD6C3-8E80-4096-875E-C52DD4C4A536}" name="Column13231"/>
    <tableColumn id="13237" xr3:uid="{F0AA457D-944B-4D91-A8D2-34A8FB72EBE3}" name="Column13232"/>
    <tableColumn id="13238" xr3:uid="{4077EC48-2D49-49CD-AC9B-F115773C3D35}" name="Column13233"/>
    <tableColumn id="13239" xr3:uid="{77C36137-C96A-4A92-81D3-DE115871175B}" name="Column13234"/>
    <tableColumn id="13240" xr3:uid="{53AD7C4E-2A7B-4E38-9345-057B91CF0A8A}" name="Column13235"/>
    <tableColumn id="13241" xr3:uid="{B4322975-4AA7-4E12-A922-685A5640DC3F}" name="Column13236"/>
    <tableColumn id="13242" xr3:uid="{B69A3BC0-6BCB-4642-A264-39BBD28E4EA4}" name="Column13237"/>
    <tableColumn id="13243" xr3:uid="{C10BCE8A-D576-43B8-8A85-18C8E6F35526}" name="Column13238"/>
    <tableColumn id="13244" xr3:uid="{FDEA44C2-57E6-4E48-A6BD-D324BE1791FF}" name="Column13239"/>
    <tableColumn id="13245" xr3:uid="{274516CF-3CAF-4CF0-8897-78234ADA8783}" name="Column13240"/>
    <tableColumn id="13246" xr3:uid="{20077D57-88BD-4E2E-B457-366D5F6D6AFF}" name="Column13241"/>
    <tableColumn id="13247" xr3:uid="{A72D3CC0-335D-4511-BC7B-1058FB46A831}" name="Column13242"/>
    <tableColumn id="13248" xr3:uid="{D617D271-1811-476A-9E60-37AED78C8771}" name="Column13243"/>
    <tableColumn id="13249" xr3:uid="{F492932B-5267-4AEF-96C5-4B917EE4A454}" name="Column13244"/>
    <tableColumn id="13250" xr3:uid="{AAD941A5-4D10-44C2-87CB-1AA8D23866E2}" name="Column13245"/>
    <tableColumn id="13251" xr3:uid="{D7FA3C27-E566-4A17-AE58-E241A168B61A}" name="Column13246"/>
    <tableColumn id="13252" xr3:uid="{1B78B758-6423-4BEE-B563-A4B73277B6A1}" name="Column13247"/>
    <tableColumn id="13253" xr3:uid="{19B088B9-25A3-40EA-AC16-7B3C9EFD6FF9}" name="Column13248"/>
    <tableColumn id="13254" xr3:uid="{0D0570EA-30A2-449B-BE2C-BF7A16E7BEFA}" name="Column13249"/>
    <tableColumn id="13255" xr3:uid="{4A1C212C-D14D-461A-B6C2-662F5A34B832}" name="Column13250"/>
    <tableColumn id="13256" xr3:uid="{66666AB1-86FA-4AEF-83B0-22E8F654A4F0}" name="Column13251"/>
    <tableColumn id="13257" xr3:uid="{8D28B4A3-D075-4F8A-BF7F-796A1B0B4100}" name="Column13252"/>
    <tableColumn id="13258" xr3:uid="{E0774443-1A51-477C-8F58-B4C53E6C925E}" name="Column13253"/>
    <tableColumn id="13259" xr3:uid="{FC337493-8BEA-4FBD-9111-D49AADDB6551}" name="Column13254"/>
    <tableColumn id="13260" xr3:uid="{7C579ECC-69CE-4F71-882E-5346C1BE92AE}" name="Column13255"/>
    <tableColumn id="13261" xr3:uid="{86C73510-F788-490F-849F-320AC8A64777}" name="Column13256"/>
    <tableColumn id="13262" xr3:uid="{FEE3AE4D-E6E0-48EF-A6A6-C89654D9D94E}" name="Column13257"/>
    <tableColumn id="13263" xr3:uid="{DC7A01BA-7A30-4AF4-B59C-324F6785DE05}" name="Column13258"/>
    <tableColumn id="13264" xr3:uid="{495838D1-CADE-43F0-8F2B-794428E6ADF6}" name="Column13259"/>
    <tableColumn id="13265" xr3:uid="{8DA5D40E-9930-4C05-ADB7-A37C179EA583}" name="Column13260"/>
    <tableColumn id="13266" xr3:uid="{DD136547-BFC3-4288-9A54-296B5179DDDA}" name="Column13261"/>
    <tableColumn id="13267" xr3:uid="{46EDA6F5-1E78-48DE-804F-418F53FDA9EF}" name="Column13262"/>
    <tableColumn id="13268" xr3:uid="{A99A5AF8-4477-4133-964C-AC88FFA2E83A}" name="Column13263"/>
    <tableColumn id="13269" xr3:uid="{4D1DFB24-0113-4B16-ACB8-AED27B2B137E}" name="Column13264"/>
    <tableColumn id="13270" xr3:uid="{E458E267-BEB5-4E1B-8D83-C6BD1635C453}" name="Column13265"/>
    <tableColumn id="13271" xr3:uid="{DBA08FFA-E6FA-47F4-8184-9BD68E4398DF}" name="Column13266"/>
    <tableColumn id="13272" xr3:uid="{77CE48D5-E106-48FE-B6B8-950E0391CA5B}" name="Column13267"/>
    <tableColumn id="13273" xr3:uid="{441753B3-3E2E-475D-B4E5-EC9EBF58D439}" name="Column13268"/>
    <tableColumn id="13274" xr3:uid="{38DBFBF7-FC22-41EE-8CC7-6AA0BEF8BE84}" name="Column13269"/>
    <tableColumn id="13275" xr3:uid="{D9C96D4F-4008-4D56-9D71-E80B33222C2F}" name="Column13270"/>
    <tableColumn id="13276" xr3:uid="{96377EB8-FA9B-46D3-9D30-47B75F6D9EAC}" name="Column13271"/>
    <tableColumn id="13277" xr3:uid="{EBBD754E-E657-45CA-9FDB-E70E2F162ABB}" name="Column13272"/>
    <tableColumn id="13278" xr3:uid="{917A2BB8-C10E-4D18-8742-CCE5FD435D76}" name="Column13273"/>
    <tableColumn id="13279" xr3:uid="{868E05A4-2455-4257-83B4-FAF9E3055646}" name="Column13274"/>
    <tableColumn id="13280" xr3:uid="{9D83183E-6152-4D53-B1B6-C7976D4C6BE7}" name="Column13275"/>
    <tableColumn id="13281" xr3:uid="{207BEC68-8E5A-4352-ABDC-D8760189781F}" name="Column13276"/>
    <tableColumn id="13282" xr3:uid="{BB3ED816-1E7E-49ED-8116-6DE74965A66D}" name="Column13277"/>
    <tableColumn id="13283" xr3:uid="{4443FFC7-7D66-44E7-9991-A9E34EC15DA1}" name="Column13278"/>
    <tableColumn id="13284" xr3:uid="{9E0945CB-5DA9-407E-BA50-A861941CE14D}" name="Column13279"/>
    <tableColumn id="13285" xr3:uid="{5C2C0DAD-1B47-4A7C-9EF3-A72AA6E07F35}" name="Column13280"/>
    <tableColumn id="13286" xr3:uid="{C73243DB-D321-48D4-B726-DAF1A88B8A84}" name="Column13281"/>
    <tableColumn id="13287" xr3:uid="{8F3747B3-91F0-496E-976A-26FD152C68D6}" name="Column13282"/>
    <tableColumn id="13288" xr3:uid="{B9CFEE26-E7C4-4D0B-AB2E-87DC0EF4F1D0}" name="Column13283"/>
    <tableColumn id="13289" xr3:uid="{FDAC43E8-211B-4B5E-A387-C946A997C9F9}" name="Column13284"/>
    <tableColumn id="13290" xr3:uid="{F0CC9266-62FD-4B56-8F3B-431171F96A0B}" name="Column13285"/>
    <tableColumn id="13291" xr3:uid="{F6E82816-36F4-4203-A194-DB00AE0C74D1}" name="Column13286"/>
    <tableColumn id="13292" xr3:uid="{B51C235B-83C7-476E-BF85-C370EA4AD688}" name="Column13287"/>
    <tableColumn id="13293" xr3:uid="{0581078E-A1DB-4554-9E7E-FC9BD3875650}" name="Column13288"/>
    <tableColumn id="13294" xr3:uid="{23FD934F-0548-416D-9FEC-4FC1E5D9468B}" name="Column13289"/>
    <tableColumn id="13295" xr3:uid="{6E59CD9D-5294-4DA5-9563-0E01E1448B46}" name="Column13290"/>
    <tableColumn id="13296" xr3:uid="{E22DC6E0-573B-4A83-9693-60D98241C022}" name="Column13291"/>
    <tableColumn id="13297" xr3:uid="{99A212FC-67E2-42C2-BC5E-BDA2858AEF5E}" name="Column13292"/>
    <tableColumn id="13298" xr3:uid="{63680BC7-995E-4212-8471-35DDF246DE03}" name="Column13293"/>
    <tableColumn id="13299" xr3:uid="{E29DCCEC-3571-4952-A38A-6335E2E18845}" name="Column13294"/>
    <tableColumn id="13300" xr3:uid="{B7971315-B314-45D9-BB56-30BBB45DCAAE}" name="Column13295"/>
    <tableColumn id="13301" xr3:uid="{16813AE0-DD94-4DDA-A854-AEE73A33210E}" name="Column13296"/>
    <tableColumn id="13302" xr3:uid="{50924667-09EA-4282-AA6E-3906CBE01966}" name="Column13297"/>
    <tableColumn id="13303" xr3:uid="{7A765296-F347-467D-8DE7-C2CE6B38460C}" name="Column13298"/>
    <tableColumn id="13304" xr3:uid="{7CB4E7FF-E87C-4D5F-8F08-C8530E06B976}" name="Column13299"/>
    <tableColumn id="13305" xr3:uid="{F1E4C38A-7BCF-4F92-AAFF-43F5724C1F8D}" name="Column13300"/>
    <tableColumn id="13306" xr3:uid="{79385029-6EF1-47A1-B692-7A60CC23A874}" name="Column13301"/>
    <tableColumn id="13307" xr3:uid="{F15777F9-D759-4327-BBEC-0B211BE764A6}" name="Column13302"/>
    <tableColumn id="13308" xr3:uid="{B40EF744-6223-438B-90F2-4E6888FD5A4B}" name="Column13303"/>
    <tableColumn id="13309" xr3:uid="{F1F1E657-CD93-4E45-9CA7-10594F4340F2}" name="Column13304"/>
    <tableColumn id="13310" xr3:uid="{F8743D84-2455-4421-9B9F-8F8AEA9143BA}" name="Column13305"/>
    <tableColumn id="13311" xr3:uid="{CD262D82-5847-4879-A406-4B718DACC5AC}" name="Column13306"/>
    <tableColumn id="13312" xr3:uid="{7357B983-5171-47F7-8218-82D0B7B32973}" name="Column13307"/>
    <tableColumn id="13313" xr3:uid="{25A98199-D5E9-4617-B14E-2A41D4307D8A}" name="Column13308"/>
    <tableColumn id="13314" xr3:uid="{8D8D590B-E875-4452-B5BA-B17C02D641E3}" name="Column13309"/>
    <tableColumn id="13315" xr3:uid="{A2BDF60F-2B4E-4CE5-AA4F-47F8A8D09B8B}" name="Column13310"/>
    <tableColumn id="13316" xr3:uid="{BBBA72DE-71A1-4BA5-A8C9-449EA791CDD5}" name="Column13311"/>
    <tableColumn id="13317" xr3:uid="{8D3C94D4-94E8-48CB-997A-A0B63991B7F6}" name="Column13312"/>
    <tableColumn id="13318" xr3:uid="{AACDD32D-7BC1-48C6-9F8C-A3D61E502CDA}" name="Column13313"/>
    <tableColumn id="13319" xr3:uid="{EEC8D29D-2497-432B-8F78-50E8CB38531F}" name="Column13314"/>
    <tableColumn id="13320" xr3:uid="{A58D08E1-B6F6-4C45-BD11-3E8CA9BE9587}" name="Column13315"/>
    <tableColumn id="13321" xr3:uid="{FA995256-A23D-4A4D-917E-A5890F426B90}" name="Column13316"/>
    <tableColumn id="13322" xr3:uid="{26B267AF-A8CB-4A05-A55B-D0E6A3FFEFDF}" name="Column13317"/>
    <tableColumn id="13323" xr3:uid="{DB24050A-0719-47EB-955E-BC984C1C1FE1}" name="Column13318"/>
    <tableColumn id="13324" xr3:uid="{EBDEF1A9-EFCB-4436-8352-AE3FA760F242}" name="Column13319"/>
    <tableColumn id="13325" xr3:uid="{150E1D5D-0BD6-4877-92DD-9CE7516E4000}" name="Column13320"/>
    <tableColumn id="13326" xr3:uid="{C9EA4DD6-61AC-400D-8319-2194E2B57C73}" name="Column13321"/>
    <tableColumn id="13327" xr3:uid="{32003289-CC7D-4DE5-8A7E-BF910E948A53}" name="Column13322"/>
    <tableColumn id="13328" xr3:uid="{FC3BA5E2-CE09-4918-A03A-209E8F2091C8}" name="Column13323"/>
    <tableColumn id="13329" xr3:uid="{D6FF2FF3-74A1-4873-A39B-F7C33B8D0FD6}" name="Column13324"/>
    <tableColumn id="13330" xr3:uid="{88DA4E83-009B-40CE-80B8-35A423FDEE3B}" name="Column13325"/>
    <tableColumn id="13331" xr3:uid="{534DCD83-60D0-4237-A761-030FD9D9D1AD}" name="Column13326"/>
    <tableColumn id="13332" xr3:uid="{4C7B66CE-38FC-4247-AC4A-A50C0462CFC8}" name="Column13327"/>
    <tableColumn id="13333" xr3:uid="{325C6E07-E263-4C9F-9BC7-F7205CA77FD2}" name="Column13328"/>
    <tableColumn id="13334" xr3:uid="{6AAB7553-49C7-4F19-ACA5-A47E78796D97}" name="Column13329"/>
    <tableColumn id="13335" xr3:uid="{EC604873-AA4C-4A01-8D4D-156E051C7226}" name="Column13330"/>
    <tableColumn id="13336" xr3:uid="{13E5BFBF-4B23-4A6D-A0CF-F218E3378CAC}" name="Column13331"/>
    <tableColumn id="13337" xr3:uid="{F34E928C-E965-40B3-BF6D-052411B0D416}" name="Column13332"/>
    <tableColumn id="13338" xr3:uid="{08DB3D79-5882-4FF3-91B2-8E88F976A509}" name="Column13333"/>
    <tableColumn id="13339" xr3:uid="{B24FA0EE-3ECF-4136-B11F-2BA5C051A55D}" name="Column13334"/>
    <tableColumn id="13340" xr3:uid="{22E9615C-E4FD-47A6-A510-71E198FC5D46}" name="Column13335"/>
    <tableColumn id="13341" xr3:uid="{B300E4C7-80CB-4827-959E-48A0BF82032C}" name="Column13336"/>
    <tableColumn id="13342" xr3:uid="{56276BD4-37D6-4E21-BD51-01DF0F9C048F}" name="Column13337"/>
    <tableColumn id="13343" xr3:uid="{27EE275C-E138-4D3E-8998-8B9981934DB0}" name="Column13338"/>
    <tableColumn id="13344" xr3:uid="{DA6BF1BA-D645-4576-97E6-C2D906EE93FE}" name="Column13339"/>
    <tableColumn id="13345" xr3:uid="{E4DFE0F1-851E-4B5C-98D0-4248CFFF4C6E}" name="Column13340"/>
    <tableColumn id="13346" xr3:uid="{0510DF6E-9272-46A1-AFD2-83959B1B66D3}" name="Column13341"/>
    <tableColumn id="13347" xr3:uid="{B8C1E585-DC28-45E1-9E40-B80F60703F7A}" name="Column13342"/>
    <tableColumn id="13348" xr3:uid="{03DADFBC-A52C-47B7-9F4C-344B17A1DD88}" name="Column13343"/>
    <tableColumn id="13349" xr3:uid="{F5A257FE-0472-4238-9984-F8C14CCAD51F}" name="Column13344"/>
    <tableColumn id="13350" xr3:uid="{06A994EA-93DF-4A90-969A-17A3B26D6544}" name="Column13345"/>
    <tableColumn id="13351" xr3:uid="{844254B4-8E93-4832-A81D-FC2A8CD3388C}" name="Column13346"/>
    <tableColumn id="13352" xr3:uid="{7769E770-6D8C-4DCB-80A7-C502D972D056}" name="Column13347"/>
    <tableColumn id="13353" xr3:uid="{CC2FA8E8-7ACA-4AB9-A2C7-DA015A79C6F6}" name="Column13348"/>
    <tableColumn id="13354" xr3:uid="{892C64C0-2613-4635-A40C-7CD3258F4B6F}" name="Column13349"/>
    <tableColumn id="13355" xr3:uid="{E5FD9E69-C4E4-48B3-B89F-7960E092875A}" name="Column13350"/>
    <tableColumn id="13356" xr3:uid="{94340EA5-160A-4EA4-A8C4-602E3E202ADA}" name="Column13351"/>
    <tableColumn id="13357" xr3:uid="{EE08FC53-57F9-4D33-B82B-ED8A83731125}" name="Column13352"/>
    <tableColumn id="13358" xr3:uid="{3A3A0BA9-7028-41F8-9591-A9C83437A0BF}" name="Column13353"/>
    <tableColumn id="13359" xr3:uid="{6A884981-8E2A-4DA1-A900-D513AE8FDD92}" name="Column13354"/>
    <tableColumn id="13360" xr3:uid="{110919C5-9B14-4D1B-A876-F3A59C572C45}" name="Column13355"/>
    <tableColumn id="13361" xr3:uid="{987BBC13-7816-4371-9F24-140662B0DC43}" name="Column13356"/>
    <tableColumn id="13362" xr3:uid="{A9F19E68-8640-4DD3-81E0-6932C13BE6ED}" name="Column13357"/>
    <tableColumn id="13363" xr3:uid="{557668C7-3580-44B2-850B-E44D2119DFFC}" name="Column13358"/>
    <tableColumn id="13364" xr3:uid="{FDAC0A12-DDD4-4FB1-BD7C-CC1B96C7EB03}" name="Column13359"/>
    <tableColumn id="13365" xr3:uid="{C2C5ABF7-6C38-4D5F-964F-B2199C4CA97D}" name="Column13360"/>
    <tableColumn id="13366" xr3:uid="{0D7F79B7-5255-491A-B21B-75F7695E5EB0}" name="Column13361"/>
    <tableColumn id="13367" xr3:uid="{44BBA128-E939-4CDB-8520-8C7AA7DFEA74}" name="Column13362"/>
    <tableColumn id="13368" xr3:uid="{C8574058-F5CB-4134-AAA2-5F7AC8AC0E85}" name="Column13363"/>
    <tableColumn id="13369" xr3:uid="{7D897C88-A9F1-464F-A2F6-41D3552BA9A8}" name="Column13364"/>
    <tableColumn id="13370" xr3:uid="{F6A9F73C-4B17-441A-9640-1A6BE27B845F}" name="Column13365"/>
    <tableColumn id="13371" xr3:uid="{1A949D93-E1BF-458A-A65F-31C65A030154}" name="Column13366"/>
    <tableColumn id="13372" xr3:uid="{35074673-B96D-4BDD-9304-8AA58F54DFA1}" name="Column13367"/>
    <tableColumn id="13373" xr3:uid="{0EE0969C-ED85-434C-B862-A1C3939E0C55}" name="Column13368"/>
    <tableColumn id="13374" xr3:uid="{D51F92C2-451F-4BE2-8F8A-64780D557F90}" name="Column13369"/>
    <tableColumn id="13375" xr3:uid="{FCCCEB62-1AE1-4B65-B055-FB893CC62C6A}" name="Column13370"/>
    <tableColumn id="13376" xr3:uid="{5539F938-AEA6-4743-9132-C99CAD096C3C}" name="Column13371"/>
    <tableColumn id="13377" xr3:uid="{3E74F7FD-6B6C-499E-9304-3A618DFF5D0A}" name="Column13372"/>
    <tableColumn id="13378" xr3:uid="{A097F5DF-4007-4E36-AA12-C62D88D6B2A2}" name="Column13373"/>
    <tableColumn id="13379" xr3:uid="{423D0890-94F2-4144-93FD-BAA1A54DE0A6}" name="Column13374"/>
    <tableColumn id="13380" xr3:uid="{5A88758B-4DCD-4EB3-8286-C27120E4B624}" name="Column13375"/>
    <tableColumn id="13381" xr3:uid="{C9BF86C6-E48B-4140-AD79-EEF4B9A96796}" name="Column13376"/>
    <tableColumn id="13382" xr3:uid="{10EF0AC5-DDE4-4B03-AB98-063B133F4129}" name="Column13377"/>
    <tableColumn id="13383" xr3:uid="{8A0EDA95-7476-4817-B3F7-BA0CAA3B4A83}" name="Column13378"/>
    <tableColumn id="13384" xr3:uid="{82BF235D-31E5-4BFE-A2BA-9831B8148F80}" name="Column13379"/>
    <tableColumn id="13385" xr3:uid="{3BE1AA5E-4AB8-46FB-B1B4-838C77169D6C}" name="Column13380"/>
    <tableColumn id="13386" xr3:uid="{FD6ECB58-C622-40ED-8598-E830A68B0B1C}" name="Column13381"/>
    <tableColumn id="13387" xr3:uid="{34EE1B84-73BB-4E12-A5F6-9E2486E2FA15}" name="Column13382"/>
    <tableColumn id="13388" xr3:uid="{65BAE0BB-9C30-443D-A280-85100532CA75}" name="Column13383"/>
    <tableColumn id="13389" xr3:uid="{7E7A47C5-089C-414C-83C8-81F5B5DEF730}" name="Column13384"/>
    <tableColumn id="13390" xr3:uid="{25E08083-3E16-439E-BD27-BF0BE5C8F2C3}" name="Column13385"/>
    <tableColumn id="13391" xr3:uid="{83AAAA4E-1F07-48C7-99CA-D2C5FE844C85}" name="Column13386"/>
    <tableColumn id="13392" xr3:uid="{D1BB1E4B-0EE2-4D1E-B00D-AB5880EDC742}" name="Column13387"/>
    <tableColumn id="13393" xr3:uid="{B547A48A-431A-4B79-815F-CA4717042CB3}" name="Column13388"/>
    <tableColumn id="13394" xr3:uid="{2846F481-C7C6-47A2-B421-7AD8B968D978}" name="Column13389"/>
    <tableColumn id="13395" xr3:uid="{E80F449A-B4C4-40F8-822C-FD8477C13203}" name="Column13390"/>
    <tableColumn id="13396" xr3:uid="{9ECBD422-D51B-4A06-94DB-6FCB2CEC59BB}" name="Column13391"/>
    <tableColumn id="13397" xr3:uid="{CEA83AE1-A664-4ADE-B34A-7CE8626080BB}" name="Column13392"/>
    <tableColumn id="13398" xr3:uid="{5ADB6B2C-AC10-42B3-B518-A489D83833EA}" name="Column13393"/>
    <tableColumn id="13399" xr3:uid="{87240CB8-B046-4236-A48F-52F40CA52DE8}" name="Column13394"/>
    <tableColumn id="13400" xr3:uid="{B0D3EC62-3A34-4DD5-85AD-4F111AB3726A}" name="Column13395"/>
    <tableColumn id="13401" xr3:uid="{54DF8B51-61B4-48EF-8492-A1DFAF724C04}" name="Column13396"/>
    <tableColumn id="13402" xr3:uid="{10ED4A6E-4786-4C27-ACA8-6CBCFA1E6183}" name="Column13397"/>
    <tableColumn id="13403" xr3:uid="{83E40E94-2265-40E2-8757-9C2DD0F751DC}" name="Column13398"/>
    <tableColumn id="13404" xr3:uid="{7A892EEF-4DD6-4AB6-9D3F-6A9C8D90D567}" name="Column13399"/>
    <tableColumn id="13405" xr3:uid="{8C583C63-2533-47EB-9D09-CA4711831EC6}" name="Column13400"/>
    <tableColumn id="13406" xr3:uid="{F18E1DEA-57AE-4349-8240-F6202C9BB399}" name="Column13401"/>
    <tableColumn id="13407" xr3:uid="{050540AB-3CA0-4B23-B731-3A5C3B71894F}" name="Column13402"/>
    <tableColumn id="13408" xr3:uid="{A7D177E3-2F94-4594-9F12-B11B8E2387E8}" name="Column13403"/>
    <tableColumn id="13409" xr3:uid="{6E3C3935-A66F-4F42-91B3-DE30E0EA94AE}" name="Column13404"/>
    <tableColumn id="13410" xr3:uid="{97176AC6-EB42-4658-923A-910C3AFB59E8}" name="Column13405"/>
    <tableColumn id="13411" xr3:uid="{D52ECDD6-E507-4E30-B474-190C182DC410}" name="Column13406"/>
    <tableColumn id="13412" xr3:uid="{591F81C2-395A-4DE0-9E49-15473905B9D5}" name="Column13407"/>
    <tableColumn id="13413" xr3:uid="{CD55EC0C-2471-4DD3-A1BC-AC8842CE119E}" name="Column13408"/>
    <tableColumn id="13414" xr3:uid="{8CB7E655-BA59-4F8A-88A7-ADFF771A6CC9}" name="Column13409"/>
    <tableColumn id="13415" xr3:uid="{D7989226-4630-45F9-8F6B-1445C3BFB8F3}" name="Column13410"/>
    <tableColumn id="13416" xr3:uid="{43BF1D75-52D9-4CB4-9933-837CC0C1D03D}" name="Column13411"/>
    <tableColumn id="13417" xr3:uid="{656AB98B-704E-442D-B939-3DC97F3C8D95}" name="Column13412"/>
    <tableColumn id="13418" xr3:uid="{A801FA9C-6496-4558-B789-1B097356A59F}" name="Column13413"/>
    <tableColumn id="13419" xr3:uid="{A46700CE-76A2-4E83-B6BA-57A3A3BF9E6D}" name="Column13414"/>
    <tableColumn id="13420" xr3:uid="{F6F47829-A2FB-41AC-B292-DF32EAE5FA25}" name="Column13415"/>
    <tableColumn id="13421" xr3:uid="{993CCEC5-D8D7-478E-8B7F-C7C6BEED21FF}" name="Column13416"/>
    <tableColumn id="13422" xr3:uid="{9A5DC11E-190D-4D17-8B28-79BE9C3C0B66}" name="Column13417"/>
    <tableColumn id="13423" xr3:uid="{27155E81-D9B3-4273-97AF-F5E6B692D2E5}" name="Column13418"/>
    <tableColumn id="13424" xr3:uid="{07E51538-F505-460C-9FC1-A3B1EA731B79}" name="Column13419"/>
    <tableColumn id="13425" xr3:uid="{A1C82206-6091-4E59-9E53-D6C821342DC7}" name="Column13420"/>
    <tableColumn id="13426" xr3:uid="{DE3AFF71-E138-44EF-9176-1AF0CFA3D9C9}" name="Column13421"/>
    <tableColumn id="13427" xr3:uid="{49D6F8D7-49D9-4376-A4C2-B215EB5E3345}" name="Column13422"/>
    <tableColumn id="13428" xr3:uid="{189B7994-73FE-49D4-B2CF-6A192EFEF7AB}" name="Column13423"/>
    <tableColumn id="13429" xr3:uid="{00A2B1FE-6DC5-4561-B1D7-5F9717DF06B3}" name="Column13424"/>
    <tableColumn id="13430" xr3:uid="{2554CE24-37E8-4C45-8CB4-638B8C1001C6}" name="Column13425"/>
    <tableColumn id="13431" xr3:uid="{C40B80BE-4A37-4DFF-9912-3F26EFD8C20E}" name="Column13426"/>
    <tableColumn id="13432" xr3:uid="{56867234-FF90-48A7-BBA6-4A5CA65306F0}" name="Column13427"/>
    <tableColumn id="13433" xr3:uid="{B4D26530-817C-4E61-B0DB-29C9D3726BEF}" name="Column13428"/>
    <tableColumn id="13434" xr3:uid="{B4DFE4AD-3367-429A-B369-CAFF3EE6F5C4}" name="Column13429"/>
    <tableColumn id="13435" xr3:uid="{3FCB28C2-CED5-4BC5-8412-885ADD551DA5}" name="Column13430"/>
    <tableColumn id="13436" xr3:uid="{A45DB251-8571-45E5-89F6-95E00A1617A4}" name="Column13431"/>
    <tableColumn id="13437" xr3:uid="{7DEF3470-55F5-49FA-BBCB-677BEE18DF4B}" name="Column13432"/>
    <tableColumn id="13438" xr3:uid="{8DF453E6-1EB6-43E1-99AE-403C8EC41EAB}" name="Column13433"/>
    <tableColumn id="13439" xr3:uid="{37502C2C-EA26-42BC-8B99-5FE2F677CE05}" name="Column13434"/>
    <tableColumn id="13440" xr3:uid="{205CB5D7-E2E2-42FB-AC75-ABD504022646}" name="Column13435"/>
    <tableColumn id="13441" xr3:uid="{441823AE-E310-41A6-B868-576B2EFB9D10}" name="Column13436"/>
    <tableColumn id="13442" xr3:uid="{C4F9327E-955C-47EA-B101-425BFD9AD878}" name="Column13437"/>
    <tableColumn id="13443" xr3:uid="{C2A6DF9E-0CA1-42DB-A264-184FB2E0548F}" name="Column13438"/>
    <tableColumn id="13444" xr3:uid="{C2E1656D-CF1D-40CC-B553-816BABD15600}" name="Column13439"/>
    <tableColumn id="13445" xr3:uid="{919C4E07-2531-4BAF-8F4C-5361FD98D807}" name="Column13440"/>
    <tableColumn id="13446" xr3:uid="{84DC6230-4D3B-42EE-BF50-566D7CBCE5E2}" name="Column13441"/>
    <tableColumn id="13447" xr3:uid="{9AB8F096-9C8C-404A-9D03-69BF012FC3B3}" name="Column13442"/>
    <tableColumn id="13448" xr3:uid="{306AC89A-809D-4210-B465-C83267BEB446}" name="Column13443"/>
    <tableColumn id="13449" xr3:uid="{3AACB47A-2EC3-4731-B7A7-1A55A0D4592A}" name="Column13444"/>
    <tableColumn id="13450" xr3:uid="{4F3B2B94-4A3F-43D7-9E92-160B2927555B}" name="Column13445"/>
    <tableColumn id="13451" xr3:uid="{772CCF67-4282-4325-B414-C314F3941818}" name="Column13446"/>
    <tableColumn id="13452" xr3:uid="{3BAED911-6C31-4D32-93F0-2C9B6DF7F13D}" name="Column13447"/>
    <tableColumn id="13453" xr3:uid="{DC4BB88A-DE21-4391-8632-A61AB291B1B7}" name="Column13448"/>
    <tableColumn id="13454" xr3:uid="{85306C93-819F-46C7-8916-ECF9789FF82B}" name="Column13449"/>
    <tableColumn id="13455" xr3:uid="{A8DDDFCA-5AE6-43FA-A659-7FC771AFCA2C}" name="Column13450"/>
    <tableColumn id="13456" xr3:uid="{AAA5A993-FB49-4811-952D-5023CF95F60F}" name="Column13451"/>
    <tableColumn id="13457" xr3:uid="{5339F030-D3DB-4C32-9ABC-72109679E6BE}" name="Column13452"/>
    <tableColumn id="13458" xr3:uid="{1E5618F9-8840-47A1-B781-18CC300EF823}" name="Column13453"/>
    <tableColumn id="13459" xr3:uid="{77859F8A-2841-43A7-9988-8E10621B946C}" name="Column13454"/>
    <tableColumn id="13460" xr3:uid="{C813C8BE-ADC1-47A4-8A7E-986EEDDF050F}" name="Column13455"/>
    <tableColumn id="13461" xr3:uid="{D483D2B3-5282-40D2-9A88-EDD729B3AA9D}" name="Column13456"/>
    <tableColumn id="13462" xr3:uid="{548BFCA3-DF1F-4511-B95A-1FDFDEF4FBD4}" name="Column13457"/>
    <tableColumn id="13463" xr3:uid="{6FA4E492-C751-42B0-965D-7C87464E544A}" name="Column13458"/>
    <tableColumn id="13464" xr3:uid="{A9D3AAB0-1205-44A5-8937-A1B4B5B828CA}" name="Column13459"/>
    <tableColumn id="13465" xr3:uid="{3017D8C8-8FA1-4B10-BE23-D2134FF6C15C}" name="Column13460"/>
    <tableColumn id="13466" xr3:uid="{7AA55309-20DC-4425-832A-532B5AEEB8DD}" name="Column13461"/>
    <tableColumn id="13467" xr3:uid="{E9EB6D81-55A7-45E1-AD47-F5099D574767}" name="Column13462"/>
    <tableColumn id="13468" xr3:uid="{D5AB74FF-711B-410B-BFAE-6ADE11EE21F2}" name="Column13463"/>
    <tableColumn id="13469" xr3:uid="{C03396CF-4990-4919-84C5-6D7472113D31}" name="Column13464"/>
    <tableColumn id="13470" xr3:uid="{83B272DD-7C34-478F-812F-75850043E874}" name="Column13465"/>
    <tableColumn id="13471" xr3:uid="{7EDB498A-A269-4050-B257-109548C0A70A}" name="Column13466"/>
    <tableColumn id="13472" xr3:uid="{3E141D33-CD5F-4E5C-BBB6-EFD81119F75C}" name="Column13467"/>
    <tableColumn id="13473" xr3:uid="{E108062B-A02D-437D-A589-E7DB739F52FF}" name="Column13468"/>
    <tableColumn id="13474" xr3:uid="{6707E52B-E0D9-42D4-86A0-9AE3DD7ADE36}" name="Column13469"/>
    <tableColumn id="13475" xr3:uid="{26D74BDD-FCEC-4BB8-87AF-067CDC646E36}" name="Column13470"/>
    <tableColumn id="13476" xr3:uid="{828BDB0B-CF7A-4107-8308-E2E3D993C211}" name="Column13471"/>
    <tableColumn id="13477" xr3:uid="{AE85AAF6-5724-42D4-9B6B-E7961ADE13D8}" name="Column13472"/>
    <tableColumn id="13478" xr3:uid="{77CF6323-7582-4B3C-94F1-DB4F4A589714}" name="Column13473"/>
    <tableColumn id="13479" xr3:uid="{C3A07F53-DE61-4DC1-819E-342C657EF53C}" name="Column13474"/>
    <tableColumn id="13480" xr3:uid="{CB9E80D5-4BE9-4068-8160-D90CDD12A806}" name="Column13475"/>
    <tableColumn id="13481" xr3:uid="{DD702B19-741D-4849-9A5E-D6DAAD9D41EB}" name="Column13476"/>
    <tableColumn id="13482" xr3:uid="{5276FF03-9A6D-470E-B1ED-2E7BF7F9CE36}" name="Column13477"/>
    <tableColumn id="13483" xr3:uid="{AC2732D5-A650-4471-BEEF-DE62B6623610}" name="Column13478"/>
    <tableColumn id="13484" xr3:uid="{BF40055A-6EF0-4F58-B3CB-405F8A8BDCED}" name="Column13479"/>
    <tableColumn id="13485" xr3:uid="{D92F7C08-5F6B-4267-80DA-7A78A583D68E}" name="Column13480"/>
    <tableColumn id="13486" xr3:uid="{820DEB21-3066-4066-B6C8-5C72F1272C18}" name="Column13481"/>
    <tableColumn id="13487" xr3:uid="{C536E30F-6E17-42D7-9060-54128F8AD16C}" name="Column13482"/>
    <tableColumn id="13488" xr3:uid="{7555F23B-CD7D-499F-B236-2A0B801B4F92}" name="Column13483"/>
    <tableColumn id="13489" xr3:uid="{18267CA9-2FCE-48E2-949B-52482BC233D4}" name="Column13484"/>
    <tableColumn id="13490" xr3:uid="{A2245F18-64EE-4933-8AFE-E28F9186BA59}" name="Column13485"/>
    <tableColumn id="13491" xr3:uid="{B6130B7B-A339-4C75-A5A6-DBF3118678B6}" name="Column13486"/>
    <tableColumn id="13492" xr3:uid="{2F359132-B211-4D81-BD83-E35FE195D7F6}" name="Column13487"/>
    <tableColumn id="13493" xr3:uid="{DED593EA-687A-419C-BC47-6B91784798FD}" name="Column13488"/>
    <tableColumn id="13494" xr3:uid="{4F719CB8-53C3-47A0-8ABC-3411EDAA0257}" name="Column13489"/>
    <tableColumn id="13495" xr3:uid="{B0C458D6-1EDC-4DCA-A5BA-7CE3D76772B3}" name="Column13490"/>
    <tableColumn id="13496" xr3:uid="{215C8618-3184-439F-B0FB-D372F2516D23}" name="Column13491"/>
    <tableColumn id="13497" xr3:uid="{074E0B4E-5E11-4855-9296-9D342EB7657F}" name="Column13492"/>
    <tableColumn id="13498" xr3:uid="{17624CD5-AA1C-41D8-97CC-48050DC05B49}" name="Column13493"/>
    <tableColumn id="13499" xr3:uid="{15A7D439-A454-4049-BD1E-679282A7984A}" name="Column13494"/>
    <tableColumn id="13500" xr3:uid="{2BF1F8E4-58C4-410C-ACE4-A1C213EE95FD}" name="Column13495"/>
    <tableColumn id="13501" xr3:uid="{01579611-D34B-4B53-BC3A-03A5143C368E}" name="Column13496"/>
    <tableColumn id="13502" xr3:uid="{97DD22D3-F725-487D-89E3-D116DB204830}" name="Column13497"/>
    <tableColumn id="13503" xr3:uid="{79605239-1984-4333-90D1-CE8C144611AF}" name="Column13498"/>
    <tableColumn id="13504" xr3:uid="{43561DD1-FE20-4B9E-9EC4-607A949BE24D}" name="Column13499"/>
    <tableColumn id="13505" xr3:uid="{170734D5-F684-46EB-BD05-125A59C0B772}" name="Column13500"/>
    <tableColumn id="13506" xr3:uid="{55A26A3E-B7C5-43D3-9646-C5FC3A875BBB}" name="Column13501"/>
    <tableColumn id="13507" xr3:uid="{E131DDE1-D7DF-4D94-B867-8AF1E77F503F}" name="Column13502"/>
    <tableColumn id="13508" xr3:uid="{DFE701A3-0CD7-4820-8039-7DB42787AD5D}" name="Column13503"/>
    <tableColumn id="13509" xr3:uid="{B1F91212-C1F8-43C8-B1CC-D675297DD707}" name="Column13504"/>
    <tableColumn id="13510" xr3:uid="{B9E20419-1A19-47B3-A5B7-89423F541AA1}" name="Column13505"/>
    <tableColumn id="13511" xr3:uid="{B7F879D5-C02D-4AE6-9195-CB31BEAF1EF7}" name="Column13506"/>
    <tableColumn id="13512" xr3:uid="{FECCA5DA-1318-4B82-96CA-72EF14F38E4F}" name="Column13507"/>
    <tableColumn id="13513" xr3:uid="{87D423E0-799D-4DE8-8C2C-B825CF772D04}" name="Column13508"/>
    <tableColumn id="13514" xr3:uid="{BF3C0A63-515A-48B6-86E1-ABAE4242B4D9}" name="Column13509"/>
    <tableColumn id="13515" xr3:uid="{3BB54DA1-2632-4B51-815A-6431F2B63B49}" name="Column13510"/>
    <tableColumn id="13516" xr3:uid="{9C1C40D7-2DC4-4217-B458-43BF4473E82D}" name="Column13511"/>
    <tableColumn id="13517" xr3:uid="{8668463F-E97F-4FF8-9A75-067AE9028953}" name="Column13512"/>
    <tableColumn id="13518" xr3:uid="{80A64F1C-EA5E-4E15-BC79-700A2574C8D2}" name="Column13513"/>
    <tableColumn id="13519" xr3:uid="{B128182A-9E23-4F2A-998C-62AE941A74ED}" name="Column13514"/>
    <tableColumn id="13520" xr3:uid="{ADE7CCF7-026E-42A6-8C64-F509C21B62B8}" name="Column13515"/>
    <tableColumn id="13521" xr3:uid="{62840698-993B-45AB-9B76-CC558CAA9BEE}" name="Column13516"/>
    <tableColumn id="13522" xr3:uid="{B92EBE3D-2B53-4EBB-9002-246D9AD2B9DA}" name="Column13517"/>
    <tableColumn id="13523" xr3:uid="{AB5FFC19-48BC-449E-BBA1-65D3D92F26D9}" name="Column13518"/>
    <tableColumn id="13524" xr3:uid="{1408924C-699E-443C-A2CE-7CA40FA7B8CA}" name="Column13519"/>
    <tableColumn id="13525" xr3:uid="{762229EF-6C3C-4EAC-A633-4BF461C1B1ED}" name="Column13520"/>
    <tableColumn id="13526" xr3:uid="{FFB994E7-DB1D-4BA7-8965-CF2C94B418AF}" name="Column13521"/>
    <tableColumn id="13527" xr3:uid="{9DE5BA84-8678-4A1F-B2C0-0A17C7E3DF05}" name="Column13522"/>
    <tableColumn id="13528" xr3:uid="{7906C508-8FED-4BCB-8402-46D353183BA6}" name="Column13523"/>
    <tableColumn id="13529" xr3:uid="{EE5F4E49-BC86-4F23-904D-4499D4E0889C}" name="Column13524"/>
    <tableColumn id="13530" xr3:uid="{CA37882C-91D7-4859-99E2-3A37DB1613AB}" name="Column13525"/>
    <tableColumn id="13531" xr3:uid="{3A4BDE2D-4F24-4B7F-AB65-BBE0827362D8}" name="Column13526"/>
    <tableColumn id="13532" xr3:uid="{64B22D0E-DB5E-426E-A5E2-2A2F997D3CEF}" name="Column13527"/>
    <tableColumn id="13533" xr3:uid="{49692416-C870-4C2E-B736-AC38724AC05C}" name="Column13528"/>
    <tableColumn id="13534" xr3:uid="{1AC30973-51B0-4CBC-A0BA-51BE5EE3DDA4}" name="Column13529"/>
    <tableColumn id="13535" xr3:uid="{666376F0-8B93-426D-B3D1-289758909CE2}" name="Column13530"/>
    <tableColumn id="13536" xr3:uid="{71ED26FE-674A-4B29-8EC9-8786EFB7333F}" name="Column13531"/>
    <tableColumn id="13537" xr3:uid="{F5D6190C-DBCB-4998-9F5C-47B453060314}" name="Column13532"/>
    <tableColumn id="13538" xr3:uid="{19C0E910-BE7D-4E23-9054-32BFE968A5BC}" name="Column13533"/>
    <tableColumn id="13539" xr3:uid="{DFA0745B-0F3B-4946-A6C5-E82DC8C44311}" name="Column13534"/>
    <tableColumn id="13540" xr3:uid="{1133953C-7EC3-4661-A786-C5F559D02294}" name="Column13535"/>
    <tableColumn id="13541" xr3:uid="{9796CD3C-9B0D-4473-BD9C-53D2925355F1}" name="Column13536"/>
    <tableColumn id="13542" xr3:uid="{632408F7-095B-41DC-90BF-FAB5D9994712}" name="Column13537"/>
    <tableColumn id="13543" xr3:uid="{472FE638-3E8D-40F3-B5D5-81CC2DF3E0B3}" name="Column13538"/>
    <tableColumn id="13544" xr3:uid="{4DECA7C2-E4C5-405C-AC02-964F798954B1}" name="Column13539"/>
    <tableColumn id="13545" xr3:uid="{6BD9D992-5A38-4D8F-A716-C7770A49061E}" name="Column13540"/>
    <tableColumn id="13546" xr3:uid="{AAA8ABB3-5725-4F48-85EB-2510F4CAEDC7}" name="Column13541"/>
    <tableColumn id="13547" xr3:uid="{A12E5AE6-09D9-49E4-9E11-ACFE0A1258C3}" name="Column13542"/>
    <tableColumn id="13548" xr3:uid="{94345BA5-B783-485B-BA27-AF57B7A5A551}" name="Column13543"/>
    <tableColumn id="13549" xr3:uid="{9342A3E4-7E02-46CB-A78E-F88382C978B3}" name="Column13544"/>
    <tableColumn id="13550" xr3:uid="{5F198962-5040-4E29-AAEE-BC2D220687E2}" name="Column13545"/>
    <tableColumn id="13551" xr3:uid="{599AE2D8-1EB7-4C56-8C45-5DF273AEDC2C}" name="Column13546"/>
    <tableColumn id="13552" xr3:uid="{4EF6CE85-D9D7-4226-A65E-D0F7EB0F49B1}" name="Column13547"/>
    <tableColumn id="13553" xr3:uid="{EA067A9E-1CBA-4DD0-AD51-C7246182B6BA}" name="Column13548"/>
    <tableColumn id="13554" xr3:uid="{331172AB-F7AA-480A-AB26-B0313039845B}" name="Column13549"/>
    <tableColumn id="13555" xr3:uid="{EFD64671-4C94-4D86-A32E-03B82111E6F9}" name="Column13550"/>
    <tableColumn id="13556" xr3:uid="{F3FC4761-7DB0-4949-A266-CD7FD3FF78E7}" name="Column13551"/>
    <tableColumn id="13557" xr3:uid="{C3C7F299-8128-46E3-BBA2-43CAFB969A1E}" name="Column13552"/>
    <tableColumn id="13558" xr3:uid="{1C9780C2-E73E-4AA9-AEDA-B83033106117}" name="Column13553"/>
    <tableColumn id="13559" xr3:uid="{E663841C-4ECC-4894-80FF-95E233313EA3}" name="Column13554"/>
    <tableColumn id="13560" xr3:uid="{2FE797EC-33AC-47C4-B8CC-BE647828C5AC}" name="Column13555"/>
    <tableColumn id="13561" xr3:uid="{4E4EA528-760B-4D5A-9D54-3BDD0A2E9FC9}" name="Column13556"/>
    <tableColumn id="13562" xr3:uid="{0AB18B10-B21D-483B-8A75-999CB6DC1630}" name="Column13557"/>
    <tableColumn id="13563" xr3:uid="{E46BD5F6-EE06-4254-A929-2C261BCE23DA}" name="Column13558"/>
    <tableColumn id="13564" xr3:uid="{C90E9D6D-CE61-4FD6-A5A4-491285898378}" name="Column13559"/>
    <tableColumn id="13565" xr3:uid="{A258A92F-38CC-423E-868F-BAAC52750F99}" name="Column13560"/>
    <tableColumn id="13566" xr3:uid="{411F31D3-5E79-46CF-9FC6-5AC7E0545034}" name="Column13561"/>
    <tableColumn id="13567" xr3:uid="{EEBBD12C-D631-4F2A-A41F-65B2DD5BC83E}" name="Column13562"/>
    <tableColumn id="13568" xr3:uid="{399B69F5-56F9-4E8D-991B-1F921096513B}" name="Column13563"/>
    <tableColumn id="13569" xr3:uid="{D75EFEA1-F590-4F18-9E38-54606B455F30}" name="Column13564"/>
    <tableColumn id="13570" xr3:uid="{3820FF7F-CDD4-4019-B497-84411382E56D}" name="Column13565"/>
    <tableColumn id="13571" xr3:uid="{F05941C4-22E9-41AD-AD92-3A92659EBA28}" name="Column13566"/>
    <tableColumn id="13572" xr3:uid="{849312B5-DF3D-4B33-8EC8-FAF82EAE2DD0}" name="Column13567"/>
    <tableColumn id="13573" xr3:uid="{09AFC4C0-A207-4F31-B20D-D9A049532BB5}" name="Column13568"/>
    <tableColumn id="13574" xr3:uid="{5CC51F37-D2BF-4CF9-80A9-7E36DBF094F0}" name="Column13569"/>
    <tableColumn id="13575" xr3:uid="{E54543F7-B587-402B-9B57-91E31B706A1F}" name="Column13570"/>
    <tableColumn id="13576" xr3:uid="{F5421BFE-D6F8-4CB1-BC7B-7F422C1D3F1C}" name="Column13571"/>
    <tableColumn id="13577" xr3:uid="{6EC91F83-34C3-4554-9FF8-837C0D930F04}" name="Column13572"/>
    <tableColumn id="13578" xr3:uid="{1A034161-347E-4ED5-8C31-941B120A75B8}" name="Column13573"/>
    <tableColumn id="13579" xr3:uid="{50264203-D810-42D2-8A1C-6018F56658D1}" name="Column13574"/>
    <tableColumn id="13580" xr3:uid="{D181A3DB-8765-4ABF-892F-75F273DB4B26}" name="Column13575"/>
    <tableColumn id="13581" xr3:uid="{45A337F8-2B37-4C53-A0D3-156602EDA6B3}" name="Column13576"/>
    <tableColumn id="13582" xr3:uid="{0FF20CA1-62B4-4C6A-9BD5-F09614E87F97}" name="Column13577"/>
    <tableColumn id="13583" xr3:uid="{0505024A-BE8C-4BA3-800E-0B38925EA036}" name="Column13578"/>
    <tableColumn id="13584" xr3:uid="{80B5FFCB-2D12-4D9C-8449-AAF5A8D44898}" name="Column13579"/>
    <tableColumn id="13585" xr3:uid="{D347016F-5A77-4419-BA94-C164A5ACADEF}" name="Column13580"/>
    <tableColumn id="13586" xr3:uid="{82F7AD21-0B4D-4AC1-BE91-A9D131C5E1E9}" name="Column13581"/>
    <tableColumn id="13587" xr3:uid="{886E99DC-DC39-4668-86BC-1BE6E05F1103}" name="Column13582"/>
    <tableColumn id="13588" xr3:uid="{35351062-C8D4-4038-B7B9-57C8D05C5C94}" name="Column13583"/>
    <tableColumn id="13589" xr3:uid="{7D100684-4F7F-4631-8CD3-BADD0A3B1D7F}" name="Column13584"/>
    <tableColumn id="13590" xr3:uid="{99845628-F2D0-4083-86A8-88CA90AC231F}" name="Column13585"/>
    <tableColumn id="13591" xr3:uid="{2B184E37-3F35-423F-A3C7-0DD7C8DC93D8}" name="Column13586"/>
    <tableColumn id="13592" xr3:uid="{DC585C42-0D81-407A-88C3-F13F8B852860}" name="Column13587"/>
    <tableColumn id="13593" xr3:uid="{2C62FEA6-BB79-4AB5-B0EB-A4B3AEA482C5}" name="Column13588"/>
    <tableColumn id="13594" xr3:uid="{2B50B806-0EA8-4D62-8974-FBE2FBE909CA}" name="Column13589"/>
    <tableColumn id="13595" xr3:uid="{C1B3752E-DE09-46C6-9E21-B3119EBA3180}" name="Column13590"/>
    <tableColumn id="13596" xr3:uid="{C9651B75-B9D5-408F-866A-D403443F12CB}" name="Column13591"/>
    <tableColumn id="13597" xr3:uid="{D1A234D1-8BA0-460B-A8E0-58B770F17DF9}" name="Column13592"/>
    <tableColumn id="13598" xr3:uid="{29304113-B3B8-49B8-91FD-06668AC67AEF}" name="Column13593"/>
    <tableColumn id="13599" xr3:uid="{29406B57-6E52-464D-A5EF-54B7040AC6DC}" name="Column13594"/>
    <tableColumn id="13600" xr3:uid="{5DC8D8C4-7AF0-4B1A-99A7-920597881C41}" name="Column13595"/>
    <tableColumn id="13601" xr3:uid="{C3EF1AAB-BC65-4EF5-95B4-970D1596448D}" name="Column13596"/>
    <tableColumn id="13602" xr3:uid="{EBD409C2-7D27-435F-8FD1-D26F2CB26981}" name="Column13597"/>
    <tableColumn id="13603" xr3:uid="{316B8CF9-55B2-4381-AE59-6FBFC86932E2}" name="Column13598"/>
    <tableColumn id="13604" xr3:uid="{76D75C25-DCC8-44C5-B897-63DBC9887963}" name="Column13599"/>
    <tableColumn id="13605" xr3:uid="{F1C9CF10-3552-415E-BF14-0949DA4110A8}" name="Column13600"/>
    <tableColumn id="13606" xr3:uid="{707F9453-4ACE-4ADC-B430-4D4FBD73840A}" name="Column13601"/>
    <tableColumn id="13607" xr3:uid="{3E9E845A-6286-47F3-8D19-F8345938CCC5}" name="Column13602"/>
    <tableColumn id="13608" xr3:uid="{D7A04A93-FD45-4F79-944B-771B5483B0EE}" name="Column13603"/>
    <tableColumn id="13609" xr3:uid="{B94C1AB3-CF26-4CC4-BD2B-572F8DE2AF5C}" name="Column13604"/>
    <tableColumn id="13610" xr3:uid="{CB8AB4F7-3A37-4C83-8948-0734D8474FDF}" name="Column13605"/>
    <tableColumn id="13611" xr3:uid="{0A7A0F44-E35D-4433-BDB6-18C836A9EAA0}" name="Column13606"/>
    <tableColumn id="13612" xr3:uid="{78E49113-3E10-4236-9F69-944B8F9F6C92}" name="Column13607"/>
    <tableColumn id="13613" xr3:uid="{5F1BBE83-DDF7-411E-A039-CC082D98E395}" name="Column13608"/>
    <tableColumn id="13614" xr3:uid="{53B09A5F-676C-4815-A827-67C8A0A27843}" name="Column13609"/>
    <tableColumn id="13615" xr3:uid="{D791E6CF-8521-4D9F-9BB9-3458FF6138DA}" name="Column13610"/>
    <tableColumn id="13616" xr3:uid="{4F208D8B-CE72-4689-9326-4440C3EF7571}" name="Column13611"/>
    <tableColumn id="13617" xr3:uid="{30542EB7-EE96-4F09-9C24-FA982E2FC0B8}" name="Column13612"/>
    <tableColumn id="13618" xr3:uid="{13A2A609-620C-4E29-B7E3-C346D94D618C}" name="Column13613"/>
    <tableColumn id="13619" xr3:uid="{B4E766B1-4074-4BD5-8488-A8D4ECA2A782}" name="Column13614"/>
    <tableColumn id="13620" xr3:uid="{5EEDE917-0900-48E1-B521-B328859A3B22}" name="Column13615"/>
    <tableColumn id="13621" xr3:uid="{DFF0E43B-ECB3-426C-AF9F-0925FE92E800}" name="Column13616"/>
    <tableColumn id="13622" xr3:uid="{F6F2F9DC-BAF0-4A52-9202-234C6A7D90CD}" name="Column13617"/>
    <tableColumn id="13623" xr3:uid="{84B8216F-F396-4143-8C39-6A97C30DBFD6}" name="Column13618"/>
    <tableColumn id="13624" xr3:uid="{7C03F1A9-748A-449E-9D0F-B90F2F5F9A97}" name="Column13619"/>
    <tableColumn id="13625" xr3:uid="{3F92A971-C617-4947-8CFC-F668841DB60C}" name="Column13620"/>
    <tableColumn id="13626" xr3:uid="{BBC34E6F-E04B-47BB-827A-2CBCFACA421A}" name="Column13621"/>
    <tableColumn id="13627" xr3:uid="{AB1688A9-6E6D-4FE1-B8F9-1B13FAFFE2C6}" name="Column13622"/>
    <tableColumn id="13628" xr3:uid="{7B2DAE91-90E7-4C3E-9DD2-0F0D5DF22B11}" name="Column13623"/>
    <tableColumn id="13629" xr3:uid="{13D706D9-7F55-45DC-8AB4-3A87E47F9B8B}" name="Column13624"/>
    <tableColumn id="13630" xr3:uid="{2FE16DB7-2A07-4E1C-86C1-7B80B648150A}" name="Column13625"/>
    <tableColumn id="13631" xr3:uid="{65D14CE9-5921-45D0-B18D-8D69FF8243BB}" name="Column13626"/>
    <tableColumn id="13632" xr3:uid="{D725FAAC-2683-4675-8952-D13BF91E499C}" name="Column13627"/>
    <tableColumn id="13633" xr3:uid="{9E36E17A-7D5D-4B99-A013-D64E3922285C}" name="Column13628"/>
    <tableColumn id="13634" xr3:uid="{66B96B34-97EF-4EC7-8E5B-C6617AB9F956}" name="Column13629"/>
    <tableColumn id="13635" xr3:uid="{6D763CF7-01A5-4B67-BE85-666BB4114EF0}" name="Column13630"/>
    <tableColumn id="13636" xr3:uid="{81736864-A87E-41C3-987B-009E953DA534}" name="Column13631"/>
    <tableColumn id="13637" xr3:uid="{16A6F9FE-5E0B-4B25-B324-9336BFDBD48A}" name="Column13632"/>
    <tableColumn id="13638" xr3:uid="{548338B8-89B0-410A-9C34-E07771D61293}" name="Column13633"/>
    <tableColumn id="13639" xr3:uid="{7E630F96-F33B-4AE6-BEF4-410FC837B153}" name="Column13634"/>
    <tableColumn id="13640" xr3:uid="{1DDB5991-576A-4BC8-898C-D011D22AE779}" name="Column13635"/>
    <tableColumn id="13641" xr3:uid="{746DBEFF-09A8-4A8A-85BC-5EF2F7FE93D4}" name="Column13636"/>
    <tableColumn id="13642" xr3:uid="{386EBAD6-2336-4FDB-A843-B3D7306854DD}" name="Column13637"/>
    <tableColumn id="13643" xr3:uid="{2B3A5693-CCED-4F7D-99F8-61FFB021CA82}" name="Column13638"/>
    <tableColumn id="13644" xr3:uid="{9CB18862-49BB-43D2-AE0D-6E6FC91E7EBC}" name="Column13639"/>
    <tableColumn id="13645" xr3:uid="{FBC8F2DB-E342-40F4-8E5C-7B9F10070DEF}" name="Column13640"/>
    <tableColumn id="13646" xr3:uid="{5BA1A13A-9811-4849-BE06-3D3EC82A04DB}" name="Column13641"/>
    <tableColumn id="13647" xr3:uid="{8729F5FB-5E58-4C11-84DA-04638FBC7DAF}" name="Column13642"/>
    <tableColumn id="13648" xr3:uid="{2C4B6C30-C4FA-43CE-9980-00EE4DAC3AB2}" name="Column13643"/>
    <tableColumn id="13649" xr3:uid="{0A1F9451-AB21-4A35-A19F-E5FD54A26BD1}" name="Column13644"/>
    <tableColumn id="13650" xr3:uid="{AE21E095-A631-4C9D-AA5B-ECE704C6A571}" name="Column13645"/>
    <tableColumn id="13651" xr3:uid="{FD8229EA-BEB4-4971-B470-5139159B815C}" name="Column13646"/>
    <tableColumn id="13652" xr3:uid="{C45A29FE-545D-4844-A4AB-2BF844FDD4AA}" name="Column13647"/>
    <tableColumn id="13653" xr3:uid="{D64EA1E4-1E90-49FD-AC51-F02BB29C3699}" name="Column13648"/>
    <tableColumn id="13654" xr3:uid="{56640027-1760-4F2A-A5DD-CA62F4C829E6}" name="Column13649"/>
    <tableColumn id="13655" xr3:uid="{4EFE98D1-9532-4F68-A86A-D79F53A07A00}" name="Column13650"/>
    <tableColumn id="13656" xr3:uid="{6D42BC95-0056-4039-8D77-AAB7436DD6D5}" name="Column13651"/>
    <tableColumn id="13657" xr3:uid="{62587453-A8E2-48AA-B2ED-99DB4FB9A478}" name="Column13652"/>
    <tableColumn id="13658" xr3:uid="{9683822E-6E35-44F1-AD7C-8A4EA68227DF}" name="Column13653"/>
    <tableColumn id="13659" xr3:uid="{FEAAEE2D-6D79-476F-B7B8-8A51295FC2F1}" name="Column13654"/>
    <tableColumn id="13660" xr3:uid="{380E2B84-1FA4-4150-AF9A-546871916058}" name="Column13655"/>
    <tableColumn id="13661" xr3:uid="{7BE2C0E9-C7E0-449B-B8E3-299348B41F1D}" name="Column13656"/>
    <tableColumn id="13662" xr3:uid="{ED8D9626-31BB-40EC-8B0D-3E506567DBD4}" name="Column13657"/>
    <tableColumn id="13663" xr3:uid="{DE583A58-16FB-4C3D-9193-093A9F380D62}" name="Column13658"/>
    <tableColumn id="13664" xr3:uid="{2D9E8652-7F41-4565-878C-52C41CABA78E}" name="Column13659"/>
    <tableColumn id="13665" xr3:uid="{7F79EE66-C90A-42F9-887C-7C1B21435155}" name="Column13660"/>
    <tableColumn id="13666" xr3:uid="{F79DDFD0-684E-4EBB-87B0-61F28074DFC5}" name="Column13661"/>
    <tableColumn id="13667" xr3:uid="{28149F06-FAA5-4983-AF81-9FE3DA57FF9C}" name="Column13662"/>
    <tableColumn id="13668" xr3:uid="{B83C5403-D5D6-4064-82B4-2B8D0EF213A5}" name="Column13663"/>
    <tableColumn id="13669" xr3:uid="{06F72253-64B5-4C14-9445-7E31F0B8A01A}" name="Column13664"/>
    <tableColumn id="13670" xr3:uid="{BFDF9F0E-BA0A-4A51-9C47-9037FF02FE06}" name="Column13665"/>
    <tableColumn id="13671" xr3:uid="{86ADAEF3-8F39-46CF-90A2-5347F5EA915B}" name="Column13666"/>
    <tableColumn id="13672" xr3:uid="{BBAA83C2-B92E-4087-91DF-75FAFD9135B5}" name="Column13667"/>
    <tableColumn id="13673" xr3:uid="{5FA9BF26-F472-47B8-A3CA-E19BFA5F1BF9}" name="Column13668"/>
    <tableColumn id="13674" xr3:uid="{8B0789B3-CFB2-479D-B618-55F3E4BEE505}" name="Column13669"/>
    <tableColumn id="13675" xr3:uid="{DE116378-C10F-4DFD-991D-89F747A0EFFC}" name="Column13670"/>
    <tableColumn id="13676" xr3:uid="{71E1BE4A-1147-4007-9FB5-8B8919CACB9D}" name="Column13671"/>
    <tableColumn id="13677" xr3:uid="{97F77765-74A9-4CB6-B729-950BA613D13B}" name="Column13672"/>
    <tableColumn id="13678" xr3:uid="{326BC367-6EAD-4D3E-BC89-4F5048D67DE9}" name="Column13673"/>
    <tableColumn id="13679" xr3:uid="{F239A482-D5C1-4994-B3C4-A9291A81D8D6}" name="Column13674"/>
    <tableColumn id="13680" xr3:uid="{CC86EF7F-1C2E-4D20-A531-3A43AD57085A}" name="Column13675"/>
    <tableColumn id="13681" xr3:uid="{92546115-6A28-488F-A3D1-6E5F3042FAA2}" name="Column13676"/>
    <tableColumn id="13682" xr3:uid="{C296D29B-B30A-4A7B-8FC8-094FB7174F18}" name="Column13677"/>
    <tableColumn id="13683" xr3:uid="{6CA6D8FE-832F-4884-B702-5AC3940F4DDA}" name="Column13678"/>
    <tableColumn id="13684" xr3:uid="{B1ABD5A8-A0B0-4C20-A448-A83D4D2BB28A}" name="Column13679"/>
    <tableColumn id="13685" xr3:uid="{DD962023-EEFD-4C59-B19C-D5E7F6D5C24E}" name="Column13680"/>
    <tableColumn id="13686" xr3:uid="{0A173451-9EEC-4C40-8E42-467DF46F3A25}" name="Column13681"/>
    <tableColumn id="13687" xr3:uid="{03238461-BE52-4FD9-800E-B113E6078CDD}" name="Column13682"/>
    <tableColumn id="13688" xr3:uid="{2A5DB843-4DCB-4AFD-B39B-CB180AEDF7EB}" name="Column13683"/>
    <tableColumn id="13689" xr3:uid="{03773CF8-E9DA-45F8-AC6B-CB1F925211BE}" name="Column13684"/>
    <tableColumn id="13690" xr3:uid="{82B0273E-2154-4A69-A73E-672B1D4D5423}" name="Column13685"/>
    <tableColumn id="13691" xr3:uid="{44D05EBE-093D-4262-A4CA-1EEA84C9EA27}" name="Column13686"/>
    <tableColumn id="13692" xr3:uid="{14E6A0E0-76F0-4447-BE93-9DE107D6AE17}" name="Column13687"/>
    <tableColumn id="13693" xr3:uid="{A8AA6AF2-5A63-44CC-90A1-F6530C76ACB7}" name="Column13688"/>
    <tableColumn id="13694" xr3:uid="{F68C7501-C3F0-4927-89FD-C50EE563D037}" name="Column13689"/>
    <tableColumn id="13695" xr3:uid="{B916E352-ED82-4FA8-B2C2-0F75E25BB2A2}" name="Column13690"/>
    <tableColumn id="13696" xr3:uid="{4CF76BE0-EE45-449C-9517-E44FBFEE7599}" name="Column13691"/>
    <tableColumn id="13697" xr3:uid="{5794C18C-96B0-420A-A97C-58AADF2D4C5B}" name="Column13692"/>
    <tableColumn id="13698" xr3:uid="{8892E96D-42BE-4D93-9BB3-04834DCE2A53}" name="Column13693"/>
    <tableColumn id="13699" xr3:uid="{94DE51E8-6831-41C9-8625-2A5BEAEE135A}" name="Column13694"/>
    <tableColumn id="13700" xr3:uid="{763AC67F-C6B4-4572-A107-EE87A7289EEC}" name="Column13695"/>
    <tableColumn id="13701" xr3:uid="{8192CC64-E1CE-4EE4-9AD7-1A90B1705B40}" name="Column13696"/>
    <tableColumn id="13702" xr3:uid="{BB2B7D42-4BC5-4208-9F22-5E221427A8D0}" name="Column13697"/>
    <tableColumn id="13703" xr3:uid="{3D8196E9-48CD-4E7F-AB17-977F89B05E44}" name="Column13698"/>
    <tableColumn id="13704" xr3:uid="{7388B7DC-3156-4F5E-8D2B-AEAC9ABE5ECA}" name="Column13699"/>
    <tableColumn id="13705" xr3:uid="{FECC7D73-06BB-479A-863C-CC176615CB0A}" name="Column13700"/>
    <tableColumn id="13706" xr3:uid="{840417C6-0CB7-432A-A08A-4F361A06E781}" name="Column13701"/>
    <tableColumn id="13707" xr3:uid="{17DD5EAA-D1B9-40BB-BD44-C4CD69422A31}" name="Column13702"/>
    <tableColumn id="13708" xr3:uid="{5CE49826-02C5-48BB-A917-4F0F8E95C450}" name="Column13703"/>
    <tableColumn id="13709" xr3:uid="{7938E8FC-5D22-4204-AFC0-BC4F64ACCD81}" name="Column13704"/>
    <tableColumn id="13710" xr3:uid="{D81766AF-A72A-4B1F-AA5D-E94F67F245BB}" name="Column13705"/>
    <tableColumn id="13711" xr3:uid="{8F873078-C744-46CC-A492-2631DF5E1B6C}" name="Column13706"/>
    <tableColumn id="13712" xr3:uid="{CE37982C-7B1A-44C2-85D9-FAD693DC5606}" name="Column13707"/>
    <tableColumn id="13713" xr3:uid="{0AEAF42A-ED82-4003-AE1E-008ED66D7472}" name="Column13708"/>
    <tableColumn id="13714" xr3:uid="{DC4C279B-890C-4C31-97E8-6766C7A8DFDD}" name="Column13709"/>
    <tableColumn id="13715" xr3:uid="{00571AB4-E081-4CBA-A270-8DA560E07FD2}" name="Column13710"/>
    <tableColumn id="13716" xr3:uid="{31AF8792-0FC9-40DF-B267-168A54E43817}" name="Column13711"/>
    <tableColumn id="13717" xr3:uid="{2E061900-3E9F-4AB1-A894-63F362F5FBE1}" name="Column13712"/>
    <tableColumn id="13718" xr3:uid="{E4B51539-26C7-40BD-B946-5E4BB1DB1C11}" name="Column13713"/>
    <tableColumn id="13719" xr3:uid="{EC204CB8-AD25-4D8A-9D34-D8DDB87A0044}" name="Column13714"/>
    <tableColumn id="13720" xr3:uid="{AE58ADA3-BF8A-4E5F-ABF4-493E82B2F2AA}" name="Column13715"/>
    <tableColumn id="13721" xr3:uid="{368BEF69-4617-4EDA-8298-3FCA9038815E}" name="Column13716"/>
    <tableColumn id="13722" xr3:uid="{E742EE8F-C942-4442-8772-F0381A1927C8}" name="Column13717"/>
    <tableColumn id="13723" xr3:uid="{0BCDD979-4DB5-4A3D-A510-2F856EA4CC90}" name="Column13718"/>
    <tableColumn id="13724" xr3:uid="{B4CFB250-04EF-44D6-9618-6F6E56FE8DD6}" name="Column13719"/>
    <tableColumn id="13725" xr3:uid="{4F43BA06-2451-4914-BDD0-83F12968627A}" name="Column13720"/>
    <tableColumn id="13726" xr3:uid="{9113108F-DCBF-4B7D-B698-177618F981E5}" name="Column13721"/>
    <tableColumn id="13727" xr3:uid="{33941243-FA3D-4AE7-B9FC-FFEAE34F81DD}" name="Column13722"/>
    <tableColumn id="13728" xr3:uid="{D5F09D0B-3E8A-434F-B489-1D9469AA4981}" name="Column13723"/>
    <tableColumn id="13729" xr3:uid="{9CC4D7E7-8949-44FE-ABFB-01C40E76B9B5}" name="Column13724"/>
    <tableColumn id="13730" xr3:uid="{1CF687EE-6CD4-458A-BD10-6750057F41FE}" name="Column13725"/>
    <tableColumn id="13731" xr3:uid="{0361C9CE-8208-4166-8E1C-CAE2D2E99F86}" name="Column13726"/>
    <tableColumn id="13732" xr3:uid="{15AD6D43-5BC3-4D2E-89CD-C6CA148315FB}" name="Column13727"/>
    <tableColumn id="13733" xr3:uid="{5614CB3C-5E95-4672-961C-8F808369FBDA}" name="Column13728"/>
    <tableColumn id="13734" xr3:uid="{F19907CF-8FC2-4FB1-86A6-D7A219E02400}" name="Column13729"/>
    <tableColumn id="13735" xr3:uid="{72052B07-1559-4E39-B298-68B3113420FD}" name="Column13730"/>
    <tableColumn id="13736" xr3:uid="{789FD472-8646-410A-9A0A-B13C478F4140}" name="Column13731"/>
    <tableColumn id="13737" xr3:uid="{7EFBC489-0CAE-4850-B6FE-B0A46BD55F00}" name="Column13732"/>
    <tableColumn id="13738" xr3:uid="{5E69195C-6DAD-4B48-9ADC-628E73923D1E}" name="Column13733"/>
    <tableColumn id="13739" xr3:uid="{77FAA0B8-D231-470E-ACB2-7D9F4B5FC745}" name="Column13734"/>
    <tableColumn id="13740" xr3:uid="{8F6BB4E3-A076-45B1-8AA5-3AF885B17FBE}" name="Column13735"/>
    <tableColumn id="13741" xr3:uid="{E97B9C76-94B1-4D83-9F5F-2CF6AF63FAD2}" name="Column13736"/>
    <tableColumn id="13742" xr3:uid="{25E87769-46C8-4121-A984-3B2672271932}" name="Column13737"/>
    <tableColumn id="13743" xr3:uid="{C1D16D30-3AE1-4306-B1CB-FB2483DE6CD1}" name="Column13738"/>
    <tableColumn id="13744" xr3:uid="{88590911-EBEA-46BF-9DBE-9AE328E213DC}" name="Column13739"/>
    <tableColumn id="13745" xr3:uid="{0EC606CA-EEC3-4D74-81C0-A3097CD104C3}" name="Column13740"/>
    <tableColumn id="13746" xr3:uid="{DF5EA1E8-3FC2-4F6C-A42B-E8B7C1E7B182}" name="Column13741"/>
    <tableColumn id="13747" xr3:uid="{434C5FA7-87BC-45F2-80A1-5224123DFF38}" name="Column13742"/>
    <tableColumn id="13748" xr3:uid="{00968D5F-39C6-4227-BA64-EF6A88C3AE86}" name="Column13743"/>
    <tableColumn id="13749" xr3:uid="{736E3F75-122C-4610-A191-A4628DA639CC}" name="Column13744"/>
    <tableColumn id="13750" xr3:uid="{782AB304-DB11-4CC1-8E2D-8EF53A00BE65}" name="Column13745"/>
    <tableColumn id="13751" xr3:uid="{F15792A1-B1AA-4791-8D57-3F353E2063E1}" name="Column13746"/>
    <tableColumn id="13752" xr3:uid="{93C8BF6B-1650-40CC-80C5-924207CB6A6E}" name="Column13747"/>
    <tableColumn id="13753" xr3:uid="{08F6F786-8518-409F-961C-D1AF5D648B40}" name="Column13748"/>
    <tableColumn id="13754" xr3:uid="{1DF960E1-8A93-4E59-8BC5-57332CAA413E}" name="Column13749"/>
    <tableColumn id="13755" xr3:uid="{18DEC7B8-DC6E-4C19-A05F-73156290C7A6}" name="Column13750"/>
    <tableColumn id="13756" xr3:uid="{90FF27A4-503E-4F26-948A-A106ABE69352}" name="Column13751"/>
    <tableColumn id="13757" xr3:uid="{9939B97D-20B5-4390-AE9A-DF586DDE2E23}" name="Column13752"/>
    <tableColumn id="13758" xr3:uid="{8D7465A4-81B6-47C6-81BF-DD59A4AF1E09}" name="Column13753"/>
    <tableColumn id="13759" xr3:uid="{1E491033-7CC6-47CF-8A17-A3BB73500AAB}" name="Column13754"/>
    <tableColumn id="13760" xr3:uid="{969DB816-7FD8-4AC6-841F-D9FFA61AC465}" name="Column13755"/>
    <tableColumn id="13761" xr3:uid="{BA77EAAA-B50E-4595-BDC4-87966524B42F}" name="Column13756"/>
    <tableColumn id="13762" xr3:uid="{7D093A8F-E481-4B0E-BF52-C03C30FCFAF5}" name="Column13757"/>
    <tableColumn id="13763" xr3:uid="{6033AF3A-F310-42D8-B85B-3998F1909F47}" name="Column13758"/>
    <tableColumn id="13764" xr3:uid="{BB89D8CD-1050-4B2E-9FB1-434476092194}" name="Column13759"/>
    <tableColumn id="13765" xr3:uid="{62BDB460-8B9E-4C18-92F5-235B632F4866}" name="Column13760"/>
    <tableColumn id="13766" xr3:uid="{3AE486A0-0F22-4F08-9ACB-07F5B7F08D3E}" name="Column13761"/>
    <tableColumn id="13767" xr3:uid="{A8B62B7C-E686-4D29-8424-D9D876A82222}" name="Column13762"/>
    <tableColumn id="13768" xr3:uid="{0F2C47E3-F643-4A61-B47A-DF3974FDE438}" name="Column13763"/>
    <tableColumn id="13769" xr3:uid="{2F8F6F04-5A51-4AF2-A0D9-D4712AECF8EE}" name="Column13764"/>
    <tableColumn id="13770" xr3:uid="{7CB8FB90-3E8F-4276-8835-07A07306DB6D}" name="Column13765"/>
    <tableColumn id="13771" xr3:uid="{8971B65E-2BB0-4D44-BAD4-DC27018BA64A}" name="Column13766"/>
    <tableColumn id="13772" xr3:uid="{B0C0F483-99E8-42DB-AD67-F9D9AA890A7A}" name="Column13767"/>
    <tableColumn id="13773" xr3:uid="{A1CE7099-AE9E-4008-B00B-9CD53C064DD4}" name="Column13768"/>
    <tableColumn id="13774" xr3:uid="{7473B18F-EA03-4057-98BE-4379D5915259}" name="Column13769"/>
    <tableColumn id="13775" xr3:uid="{451B180B-3017-482D-9BEC-DF269D3B96D8}" name="Column13770"/>
    <tableColumn id="13776" xr3:uid="{D80649BF-B1B6-4B2C-9F42-85E3682ECDA9}" name="Column13771"/>
    <tableColumn id="13777" xr3:uid="{31E657CE-B7F4-4250-9952-5F777CEA8B52}" name="Column13772"/>
    <tableColumn id="13778" xr3:uid="{332A78EB-48F3-45B6-BE47-33CC4FBEEAE1}" name="Column13773"/>
    <tableColumn id="13779" xr3:uid="{B6725038-3225-499F-BBEE-2DFB4E657C93}" name="Column13774"/>
    <tableColumn id="13780" xr3:uid="{7708098A-C92B-4D3B-91E0-D0313F399D92}" name="Column13775"/>
    <tableColumn id="13781" xr3:uid="{B565EF6E-9626-401A-BACE-FC5726341C14}" name="Column13776"/>
    <tableColumn id="13782" xr3:uid="{F20B4410-24DF-4512-AAC8-A3D129B3AEBD}" name="Column13777"/>
    <tableColumn id="13783" xr3:uid="{6D200DFF-D23B-4B2F-8231-2F5521E5FE6A}" name="Column13778"/>
    <tableColumn id="13784" xr3:uid="{BAFDBC3E-8340-4D5A-8B20-9B0FC3C42B1D}" name="Column13779"/>
    <tableColumn id="13785" xr3:uid="{7FB42C78-F4EF-4584-BC9F-E9D71432B550}" name="Column13780"/>
    <tableColumn id="13786" xr3:uid="{66EEA9DA-E9F0-4391-90C6-D9976075CB98}" name="Column13781"/>
    <tableColumn id="13787" xr3:uid="{02101C49-3D88-4C94-AF07-20D88E84599F}" name="Column13782"/>
    <tableColumn id="13788" xr3:uid="{64AD1652-6704-487E-871A-80D88F48B649}" name="Column13783"/>
    <tableColumn id="13789" xr3:uid="{AB443B20-7AF8-4AA8-97FF-63D0956F843F}" name="Column13784"/>
    <tableColumn id="13790" xr3:uid="{92BB564C-E4FB-4C23-BBB5-23D060E27E12}" name="Column13785"/>
    <tableColumn id="13791" xr3:uid="{DC2981E8-8A94-4B2B-B8D8-9DD2612D3844}" name="Column13786"/>
    <tableColumn id="13792" xr3:uid="{FB012490-BE31-4363-AA4F-90B45F5A4F3F}" name="Column13787"/>
    <tableColumn id="13793" xr3:uid="{C4FEB20B-E7B9-4D24-B496-A204AA8171B1}" name="Column13788"/>
    <tableColumn id="13794" xr3:uid="{8003DFB8-2171-4562-A5A5-98C4772A57EB}" name="Column13789"/>
    <tableColumn id="13795" xr3:uid="{A50B83ED-CD16-4D52-B942-466B5087822B}" name="Column13790"/>
    <tableColumn id="13796" xr3:uid="{DC60FCEC-CE70-4DA8-9C3A-B32C16F63D7C}" name="Column13791"/>
    <tableColumn id="13797" xr3:uid="{34D3D34C-AC6D-4F91-8CB0-974204AA4F83}" name="Column13792"/>
    <tableColumn id="13798" xr3:uid="{EEDB6C1E-9C44-4008-A5AF-719FE6F341CF}" name="Column13793"/>
    <tableColumn id="13799" xr3:uid="{2143E7A7-3C96-477B-9F28-559D34DD5F66}" name="Column13794"/>
    <tableColumn id="13800" xr3:uid="{FF22372C-48A6-44BF-AF4C-238565298291}" name="Column13795"/>
    <tableColumn id="13801" xr3:uid="{166FB590-D958-4EE4-9335-E121C80E4645}" name="Column13796"/>
    <tableColumn id="13802" xr3:uid="{7EABE597-C09D-4373-9615-F9E44085457C}" name="Column13797"/>
    <tableColumn id="13803" xr3:uid="{B2BDD630-4817-4F46-B04E-A18222D07A4D}" name="Column13798"/>
    <tableColumn id="13804" xr3:uid="{C32AE607-E705-4E8C-8CAC-283C7F882C95}" name="Column13799"/>
    <tableColumn id="13805" xr3:uid="{FADDA05A-A643-4034-89B0-6BD0B50708BB}" name="Column13800"/>
    <tableColumn id="13806" xr3:uid="{4BA8D1A8-90CD-48A0-98BA-8E4B83A5AD62}" name="Column13801"/>
    <tableColumn id="13807" xr3:uid="{CC29CD35-EA0D-4AA0-8DCB-C2AD9D287BE5}" name="Column13802"/>
    <tableColumn id="13808" xr3:uid="{E7434A4F-3B40-4E99-AC93-21B9EFCB7A25}" name="Column13803"/>
    <tableColumn id="13809" xr3:uid="{CC97E4A1-29E0-4650-8C66-BC5E4626A136}" name="Column13804"/>
    <tableColumn id="13810" xr3:uid="{3C13E824-D32E-4EE2-A500-C9FEAD6D023A}" name="Column13805"/>
    <tableColumn id="13811" xr3:uid="{0F6922CA-B9EA-4853-8B3D-CE8AEB43CFC9}" name="Column13806"/>
    <tableColumn id="13812" xr3:uid="{26B654FF-4C12-4291-BD50-3F3FC364E9BF}" name="Column13807"/>
    <tableColumn id="13813" xr3:uid="{366559D4-989E-4C5D-9263-6353139BED6B}" name="Column13808"/>
    <tableColumn id="13814" xr3:uid="{A4E6272A-9FF1-4DF1-AD99-7EA97A6FDEB5}" name="Column13809"/>
    <tableColumn id="13815" xr3:uid="{A864F336-94EF-46E2-A1F2-D25A0207A97D}" name="Column13810"/>
    <tableColumn id="13816" xr3:uid="{D232E7C4-2C39-499C-8A1D-256D0E4FF607}" name="Column13811"/>
    <tableColumn id="13817" xr3:uid="{DB948CEF-4F21-450A-96E2-74C714DD78FC}" name="Column13812"/>
    <tableColumn id="13818" xr3:uid="{B2D044E6-B911-4ACE-AF03-4D63849C2116}" name="Column13813"/>
    <tableColumn id="13819" xr3:uid="{70EF99E7-A548-4824-8516-8E76F507ED6D}" name="Column13814"/>
    <tableColumn id="13820" xr3:uid="{0D9CF200-388A-4DB5-B084-0A542194A1CB}" name="Column13815"/>
    <tableColumn id="13821" xr3:uid="{9303FBE6-BDDA-4CB9-B35E-1F4D60D26118}" name="Column13816"/>
    <tableColumn id="13822" xr3:uid="{42760016-E099-479E-AFFC-E420F18C47C6}" name="Column13817"/>
    <tableColumn id="13823" xr3:uid="{C6F63009-6239-4B1B-B05E-8061A71090E8}" name="Column13818"/>
    <tableColumn id="13824" xr3:uid="{E0C98240-D4E3-4E70-92D2-C1D3D9EEA448}" name="Column13819"/>
    <tableColumn id="13825" xr3:uid="{8F26DD26-FE1F-418D-840C-2A8FFA78970A}" name="Column13820"/>
    <tableColumn id="13826" xr3:uid="{3BA8CA9F-5FE1-4B18-938D-40BC8CE727F9}" name="Column13821"/>
    <tableColumn id="13827" xr3:uid="{A19B41B6-26FE-48AA-AC55-7C4D60CC3BB4}" name="Column13822"/>
    <tableColumn id="13828" xr3:uid="{A5498DC6-AE36-425A-B40A-7B33C73111FF}" name="Column13823"/>
    <tableColumn id="13829" xr3:uid="{92CB1C6D-54F8-4EF9-9DB8-591FC983885B}" name="Column13824"/>
    <tableColumn id="13830" xr3:uid="{7C90FCEB-6ACF-40E3-AAA8-F49119223B3E}" name="Column13825"/>
    <tableColumn id="13831" xr3:uid="{6DB4B179-A141-4D3E-8AC5-C083F854E5FF}" name="Column13826"/>
    <tableColumn id="13832" xr3:uid="{85F60309-924F-4144-8548-4034A01696BC}" name="Column13827"/>
    <tableColumn id="13833" xr3:uid="{16861A54-4289-4AAC-B364-5421487DDACE}" name="Column13828"/>
    <tableColumn id="13834" xr3:uid="{35FC0AE2-EC10-4947-9E51-54F6A7B8C0B0}" name="Column13829"/>
    <tableColumn id="13835" xr3:uid="{C686AC3D-12F8-490D-BE55-D8C2ED43DAD6}" name="Column13830"/>
    <tableColumn id="13836" xr3:uid="{48385BF8-C78D-435F-B4C2-F736D82E310F}" name="Column13831"/>
    <tableColumn id="13837" xr3:uid="{C8850BB0-99B9-4FA1-BD6E-2A40242B0A03}" name="Column13832"/>
    <tableColumn id="13838" xr3:uid="{BF9D270B-8EFC-4650-9BE6-67CDE7F7F135}" name="Column13833"/>
    <tableColumn id="13839" xr3:uid="{A147B240-52C9-4D95-B73D-DE5002CA198D}" name="Column13834"/>
    <tableColumn id="13840" xr3:uid="{975DF6DF-0C4E-43F9-855B-624B7B7C394B}" name="Column13835"/>
    <tableColumn id="13841" xr3:uid="{A743624C-C436-474A-B5D1-8C0EC8DD421E}" name="Column13836"/>
    <tableColumn id="13842" xr3:uid="{6DDA8F09-7F06-42AA-857F-4C5FE4826AB6}" name="Column13837"/>
    <tableColumn id="13843" xr3:uid="{730775CA-6F99-439E-BDF4-36A855B80B6C}" name="Column13838"/>
    <tableColumn id="13844" xr3:uid="{31A29C78-D679-4D6A-91A4-663D49EDC447}" name="Column13839"/>
    <tableColumn id="13845" xr3:uid="{3CC574C3-6D29-4247-8120-5AB58277DBDE}" name="Column13840"/>
    <tableColumn id="13846" xr3:uid="{A8E32285-3FD9-4F8C-AD01-F5DD9B187D1C}" name="Column13841"/>
    <tableColumn id="13847" xr3:uid="{23DD394E-783C-4C91-ADD6-19A137E737AD}" name="Column13842"/>
    <tableColumn id="13848" xr3:uid="{8AAE3377-0B83-423E-B547-48490D6EBACE}" name="Column13843"/>
    <tableColumn id="13849" xr3:uid="{F56A34BA-4FBC-4B95-BA47-1A757F84DA58}" name="Column13844"/>
    <tableColumn id="13850" xr3:uid="{26F9C219-3FFA-4850-9116-7875ABDCE6AC}" name="Column13845"/>
    <tableColumn id="13851" xr3:uid="{F2B8CCD5-D617-461B-885D-73207B3F6233}" name="Column13846"/>
    <tableColumn id="13852" xr3:uid="{A9E2285C-27F5-4A61-8B95-D4493DA0CEAE}" name="Column13847"/>
    <tableColumn id="13853" xr3:uid="{AF9126BD-820D-41D5-B489-17EB3175A8EF}" name="Column13848"/>
    <tableColumn id="13854" xr3:uid="{650BC66C-812F-4FBD-82D8-162EE264C017}" name="Column13849"/>
    <tableColumn id="13855" xr3:uid="{25F5F352-9696-45BB-8052-BB2050261A1B}" name="Column13850"/>
    <tableColumn id="13856" xr3:uid="{8A3C3688-DD5C-4463-B7AB-C3832E786995}" name="Column13851"/>
    <tableColumn id="13857" xr3:uid="{E1DC40C6-FAF9-4022-8A64-FCD5B212A1BB}" name="Column13852"/>
    <tableColumn id="13858" xr3:uid="{ED16129D-595A-4564-8C66-4E2A4573AFDD}" name="Column13853"/>
    <tableColumn id="13859" xr3:uid="{18494E08-4A09-4321-8F47-D2F224550B07}" name="Column13854"/>
    <tableColumn id="13860" xr3:uid="{2028D51C-6D08-462B-80B5-32DE560049F4}" name="Column13855"/>
    <tableColumn id="13861" xr3:uid="{4C17195B-0BBF-4835-BEF5-50D70A533726}" name="Column13856"/>
    <tableColumn id="13862" xr3:uid="{86FD6E01-AA70-454D-8709-6EFFA0AAEFE4}" name="Column13857"/>
    <tableColumn id="13863" xr3:uid="{8833613B-3AEA-47E9-BC7F-9E3B04FDF88E}" name="Column13858"/>
    <tableColumn id="13864" xr3:uid="{0F2692E0-ABE4-4560-B298-F5151D11FE89}" name="Column13859"/>
    <tableColumn id="13865" xr3:uid="{A9E8B9B6-DA7B-4B4C-82C0-DD015883084B}" name="Column13860"/>
    <tableColumn id="13866" xr3:uid="{2E9ABD29-AF8A-41BD-B07B-6EA9CE93264F}" name="Column13861"/>
    <tableColumn id="13867" xr3:uid="{C7976240-DFB5-4F8E-A958-D9791F8A746C}" name="Column13862"/>
    <tableColumn id="13868" xr3:uid="{2DD200FF-B135-4BB5-8AAB-739D60D55E15}" name="Column13863"/>
    <tableColumn id="13869" xr3:uid="{BC597C2E-E962-453A-B929-CAC103DCAF03}" name="Column13864"/>
    <tableColumn id="13870" xr3:uid="{2A3BD164-3B0F-4879-B32B-6BC0CEC95551}" name="Column13865"/>
    <tableColumn id="13871" xr3:uid="{963F2628-F034-4891-A318-98FAFFF5949F}" name="Column13866"/>
    <tableColumn id="13872" xr3:uid="{776D5B62-E2E3-4D4A-BF9B-432B4C09FECE}" name="Column13867"/>
    <tableColumn id="13873" xr3:uid="{185FE91B-3AB5-4EDF-905A-DC9292FED2C3}" name="Column13868"/>
    <tableColumn id="13874" xr3:uid="{33CE19BC-1076-4075-A951-0369E75D61F3}" name="Column13869"/>
    <tableColumn id="13875" xr3:uid="{B22A361F-0A94-4586-8B50-F637998F88EC}" name="Column13870"/>
    <tableColumn id="13876" xr3:uid="{1BB07BD7-034C-4E1B-B945-F7879F24AD17}" name="Column13871"/>
    <tableColumn id="13877" xr3:uid="{FD5F89EA-0ED7-40BC-A576-345C6CB9B584}" name="Column13872"/>
    <tableColumn id="13878" xr3:uid="{645B5FC5-4D75-4B74-BFDF-3F9440103ECA}" name="Column13873"/>
    <tableColumn id="13879" xr3:uid="{3A6BAAC2-700F-4100-B6DA-69306BD00DDD}" name="Column13874"/>
    <tableColumn id="13880" xr3:uid="{578F4296-12EC-49A3-B057-2677E4ED45D9}" name="Column13875"/>
    <tableColumn id="13881" xr3:uid="{3723DE26-82A9-4E16-8842-372CF9D36108}" name="Column13876"/>
    <tableColumn id="13882" xr3:uid="{9CAD6274-48AB-49E7-8F73-A15EA35DBDDE}" name="Column13877"/>
    <tableColumn id="13883" xr3:uid="{0005DAF1-7B20-4180-A734-0C8895EC8B78}" name="Column13878"/>
    <tableColumn id="13884" xr3:uid="{C215F311-CCB4-4D49-9A10-B0252C8678C1}" name="Column13879"/>
    <tableColumn id="13885" xr3:uid="{BF13A00A-D9EC-4260-9A2F-D0C0C36D0252}" name="Column13880"/>
    <tableColumn id="13886" xr3:uid="{81FDB26C-9A3A-4432-A077-5CA55FEEB907}" name="Column13881"/>
    <tableColumn id="13887" xr3:uid="{3F36EACD-74A0-42BC-84EA-39497F6ADBE3}" name="Column13882"/>
    <tableColumn id="13888" xr3:uid="{373CF3EC-BD66-4592-A397-2712C9CE61B4}" name="Column13883"/>
    <tableColumn id="13889" xr3:uid="{93CE21A1-E6C5-406D-9EDD-6E66C47DC436}" name="Column13884"/>
    <tableColumn id="13890" xr3:uid="{5562E69C-4AB2-42B7-87A3-9A3776672DE1}" name="Column13885"/>
    <tableColumn id="13891" xr3:uid="{B289315C-A2FF-4FBD-A81B-FD85D0B42B24}" name="Column13886"/>
    <tableColumn id="13892" xr3:uid="{FEED4D45-630F-4991-ADEE-C02EEFA34DA0}" name="Column13887"/>
    <tableColumn id="13893" xr3:uid="{5241CE39-C33E-4602-AEC8-AB05210EB054}" name="Column13888"/>
    <tableColumn id="13894" xr3:uid="{54499826-ED11-4994-A93C-3548554786A3}" name="Column13889"/>
    <tableColumn id="13895" xr3:uid="{BD5C46AE-4DBD-40F1-B17F-109096C28933}" name="Column13890"/>
    <tableColumn id="13896" xr3:uid="{853C7519-1B29-4451-9BC9-2E4D4B14BAD1}" name="Column13891"/>
    <tableColumn id="13897" xr3:uid="{99E7105B-49E6-4371-9F82-563D2BD4807A}" name="Column13892"/>
    <tableColumn id="13898" xr3:uid="{62DF7278-0D86-4176-B557-05687BE8DDB6}" name="Column13893"/>
    <tableColumn id="13899" xr3:uid="{E14D42EF-B51A-432E-925A-2950C956FB1E}" name="Column13894"/>
    <tableColumn id="13900" xr3:uid="{42CB1084-090C-438F-998B-29A8514370B0}" name="Column13895"/>
    <tableColumn id="13901" xr3:uid="{5BF9DA14-98E0-4B61-9CC0-7686E559B4B9}" name="Column13896"/>
    <tableColumn id="13902" xr3:uid="{B7ED1A1E-FB8E-4921-A024-FC23B9121DBB}" name="Column13897"/>
    <tableColumn id="13903" xr3:uid="{C2046354-A924-4184-85E9-304B467845B3}" name="Column13898"/>
    <tableColumn id="13904" xr3:uid="{C38C4411-67BB-4ED6-A120-CDA4B1C08924}" name="Column13899"/>
    <tableColumn id="13905" xr3:uid="{895784B6-F396-43ED-816A-44CAACBFA621}" name="Column13900"/>
    <tableColumn id="13906" xr3:uid="{5D879DF1-2625-45B1-96C8-E4B6130F382E}" name="Column13901"/>
    <tableColumn id="13907" xr3:uid="{6C1EF1E9-AEE9-45C7-B6B8-62CF55E31811}" name="Column13902"/>
    <tableColumn id="13908" xr3:uid="{C8B3F114-8B8A-4E72-9061-254BAF1124D7}" name="Column13903"/>
    <tableColumn id="13909" xr3:uid="{DEAE250E-95E2-47D3-A1C6-E853A503E816}" name="Column13904"/>
    <tableColumn id="13910" xr3:uid="{C095E537-C957-4A51-ABD0-1F3114E4D2CC}" name="Column13905"/>
    <tableColumn id="13911" xr3:uid="{CEECDD85-ACB9-4FF1-AC8E-C75CFEED91B1}" name="Column13906"/>
    <tableColumn id="13912" xr3:uid="{02B52680-8E40-4212-946F-7DCB4FF638F3}" name="Column13907"/>
    <tableColumn id="13913" xr3:uid="{B01A5C48-520E-4177-A7F1-83C88D763002}" name="Column13908"/>
    <tableColumn id="13914" xr3:uid="{355A3BCA-B76D-47B6-B45A-52CA327B7B0A}" name="Column13909"/>
    <tableColumn id="13915" xr3:uid="{F488F3ED-4D91-48DB-9B46-0A131D16BCF7}" name="Column13910"/>
    <tableColumn id="13916" xr3:uid="{EFD23EA2-684E-420F-90CD-F3FD08B3C31C}" name="Column13911"/>
    <tableColumn id="13917" xr3:uid="{589DBD6C-AF96-4F12-82AF-36EF068561E7}" name="Column13912"/>
    <tableColumn id="13918" xr3:uid="{2C439019-8E11-4EC5-B9DD-5EB38978038C}" name="Column13913"/>
    <tableColumn id="13919" xr3:uid="{5783E472-8513-4429-9A5A-D6A0AE76F273}" name="Column13914"/>
    <tableColumn id="13920" xr3:uid="{9A8C4786-1989-4B78-B146-1E3E2FEA81AD}" name="Column13915"/>
    <tableColumn id="13921" xr3:uid="{595A37A3-3522-4F0F-9A60-E4C4ADBDA525}" name="Column13916"/>
    <tableColumn id="13922" xr3:uid="{58CC5FA6-8766-4F34-914C-37AD28284460}" name="Column13917"/>
    <tableColumn id="13923" xr3:uid="{6C9401D3-ED65-4D40-8F17-C987FC4B988F}" name="Column13918"/>
    <tableColumn id="13924" xr3:uid="{E642B00E-D6EA-45BC-9DAA-310D41F77CC5}" name="Column13919"/>
    <tableColumn id="13925" xr3:uid="{0B667D38-B656-4313-A347-8642AFA4DD4E}" name="Column13920"/>
    <tableColumn id="13926" xr3:uid="{75D7086C-ABE5-4F45-A2C5-BAC4637FCF42}" name="Column13921"/>
    <tableColumn id="13927" xr3:uid="{85C45B4B-C397-4D71-9C39-96D0A596623A}" name="Column13922"/>
    <tableColumn id="13928" xr3:uid="{83810C2D-0221-481C-B08A-009F93165B5D}" name="Column13923"/>
    <tableColumn id="13929" xr3:uid="{B735D5C9-CF71-4C51-84AE-BA9567B6F9EC}" name="Column13924"/>
    <tableColumn id="13930" xr3:uid="{FC1734D1-EC76-4CEC-B4D7-6FB870AFFEE4}" name="Column13925"/>
    <tableColumn id="13931" xr3:uid="{6F3C0FB2-6C1F-47CB-9670-6B183D9B8468}" name="Column13926"/>
    <tableColumn id="13932" xr3:uid="{33A23733-D75D-4047-92BE-1997E12EB0B5}" name="Column13927"/>
    <tableColumn id="13933" xr3:uid="{3E9AC6D4-C89A-42D3-B73A-9251896922C6}" name="Column13928"/>
    <tableColumn id="13934" xr3:uid="{8D8D2FF0-CFA1-4035-816A-BF59E9D82881}" name="Column13929"/>
    <tableColumn id="13935" xr3:uid="{BA60B537-D990-4134-8FA7-082E20ECA43C}" name="Column13930"/>
    <tableColumn id="13936" xr3:uid="{FCF046D5-5442-4FBA-BA20-5D6FB42A52A6}" name="Column13931"/>
    <tableColumn id="13937" xr3:uid="{728C948F-B4F4-409E-81CE-2D2C420A3468}" name="Column13932"/>
    <tableColumn id="13938" xr3:uid="{A78EBBDF-24F3-474E-8AA2-39C0CCAF61E9}" name="Column13933"/>
    <tableColumn id="13939" xr3:uid="{62C88BF6-BF4D-4773-9E5E-3FBAF6B405B9}" name="Column13934"/>
    <tableColumn id="13940" xr3:uid="{C0A886E6-A4BE-4393-888C-B897A3C14703}" name="Column13935"/>
    <tableColumn id="13941" xr3:uid="{83DA87CD-D536-43C2-B84B-ED737A2F544E}" name="Column13936"/>
    <tableColumn id="13942" xr3:uid="{B04903A2-CBAC-42A1-9154-EF2691AC2E95}" name="Column13937"/>
    <tableColumn id="13943" xr3:uid="{8142B301-1B57-4863-B0CD-00AE23853E03}" name="Column13938"/>
    <tableColumn id="13944" xr3:uid="{68A8DE37-397E-4082-87B4-92F5861311F9}" name="Column13939"/>
    <tableColumn id="13945" xr3:uid="{5EE83AC4-1C6B-49A9-86CC-623FDC0E19B6}" name="Column13940"/>
    <tableColumn id="13946" xr3:uid="{EC4B1894-288B-47F7-B565-F8B5E256D018}" name="Column13941"/>
    <tableColumn id="13947" xr3:uid="{4A318697-1E66-4B78-A331-38B60920C928}" name="Column13942"/>
    <tableColumn id="13948" xr3:uid="{0CB07074-5B18-4188-BA23-EF00906E1BA8}" name="Column13943"/>
    <tableColumn id="13949" xr3:uid="{38E16165-584D-4724-AFD7-EF446BF9D975}" name="Column13944"/>
    <tableColumn id="13950" xr3:uid="{08589AB2-BCE4-4747-B057-D43CB87E3FF9}" name="Column13945"/>
    <tableColumn id="13951" xr3:uid="{E56C2401-6B63-4C3C-AC0E-50F21BEA0588}" name="Column13946"/>
    <tableColumn id="13952" xr3:uid="{478B17BD-730C-442E-8599-7E143B23F0A2}" name="Column13947"/>
    <tableColumn id="13953" xr3:uid="{C20FD0FE-AAC1-4D92-AF3F-4CB7828B20CD}" name="Column13948"/>
    <tableColumn id="13954" xr3:uid="{F8ACEC08-E50A-4DE7-9D63-7517E004AE8F}" name="Column13949"/>
    <tableColumn id="13955" xr3:uid="{92228D23-1530-4C9C-8E88-A860B8465049}" name="Column13950"/>
    <tableColumn id="13956" xr3:uid="{B8777094-95C1-4DC0-A5F4-FAAB54A12F29}" name="Column13951"/>
    <tableColumn id="13957" xr3:uid="{1F12A6D8-C4A9-4DB7-92E3-D078936DB83F}" name="Column13952"/>
    <tableColumn id="13958" xr3:uid="{87B3D590-C92C-449A-82EF-6FABC5611764}" name="Column13953"/>
    <tableColumn id="13959" xr3:uid="{A02EE875-D527-44C8-B616-AE562A11BD29}" name="Column13954"/>
    <tableColumn id="13960" xr3:uid="{262386E2-662C-4602-85E4-676F32A673CD}" name="Column13955"/>
    <tableColumn id="13961" xr3:uid="{70343E07-D5C4-45F5-8D1B-DA9A1AB45FEA}" name="Column13956"/>
    <tableColumn id="13962" xr3:uid="{E5BCFD3C-7BD8-4C75-B219-55460D1C5B43}" name="Column13957"/>
    <tableColumn id="13963" xr3:uid="{41A06D4F-6D53-44F6-889E-5514883FF999}" name="Column13958"/>
    <tableColumn id="13964" xr3:uid="{12681118-5751-4466-BB09-F2F792C4BF09}" name="Column13959"/>
    <tableColumn id="13965" xr3:uid="{D2ADB2E6-8CAB-48A4-A53A-F1EA5F3782EB}" name="Column13960"/>
    <tableColumn id="13966" xr3:uid="{03CB3334-0D6A-43A7-A576-46FB08CF7DB8}" name="Column13961"/>
    <tableColumn id="13967" xr3:uid="{A1C44722-3CE6-413B-899C-30FEEEBBD933}" name="Column13962"/>
    <tableColumn id="13968" xr3:uid="{4090ED92-E835-477C-A0D9-26F6B92CF257}" name="Column13963"/>
    <tableColumn id="13969" xr3:uid="{2A91E6E3-BFCB-41C6-A8C2-F005E3313EC6}" name="Column13964"/>
    <tableColumn id="13970" xr3:uid="{C6795369-3E97-4134-B2C7-BF3C9B12E20E}" name="Column13965"/>
    <tableColumn id="13971" xr3:uid="{1F329039-70D5-452B-A758-D2F8CC6CB880}" name="Column13966"/>
    <tableColumn id="13972" xr3:uid="{B529ED66-7641-4717-9BA7-9CF0CEE753EE}" name="Column13967"/>
    <tableColumn id="13973" xr3:uid="{E8F5EE90-CAF5-44D0-9D1F-4746B76FADFE}" name="Column13968"/>
    <tableColumn id="13974" xr3:uid="{E9DF50CD-C220-4278-A790-C8CCB9C07281}" name="Column13969"/>
    <tableColumn id="13975" xr3:uid="{E95F8BBC-ABCA-4C2E-A431-ED68686E7203}" name="Column13970"/>
    <tableColumn id="13976" xr3:uid="{8E3E6EE9-7E9C-45A0-995B-F9F29AF26688}" name="Column13971"/>
    <tableColumn id="13977" xr3:uid="{50FF38D1-A71B-4E76-A60D-F1AD68403DE8}" name="Column13972"/>
    <tableColumn id="13978" xr3:uid="{FD30B53B-4401-4504-A01D-FCF25CDB23F7}" name="Column13973"/>
    <tableColumn id="13979" xr3:uid="{17F9C0D2-FD88-4076-9D6B-E5499A426CF6}" name="Column13974"/>
    <tableColumn id="13980" xr3:uid="{DF50075A-2D1C-41F8-96F3-27A1EB90226C}" name="Column13975"/>
    <tableColumn id="13981" xr3:uid="{5C0A8B77-FC3D-4A28-936C-6D78AF38F292}" name="Column13976"/>
    <tableColumn id="13982" xr3:uid="{75C20715-AF53-4D16-909F-2BDF743843A8}" name="Column13977"/>
    <tableColumn id="13983" xr3:uid="{8F36967B-328E-482D-9F82-BA900BB26CFA}" name="Column13978"/>
    <tableColumn id="13984" xr3:uid="{A4A43AF3-F0AC-41F9-B0E2-D34CA8F73D24}" name="Column13979"/>
    <tableColumn id="13985" xr3:uid="{2E3F348C-9B80-424C-A032-D04F03D4F41E}" name="Column13980"/>
    <tableColumn id="13986" xr3:uid="{DEAFDAF4-E48F-4BBA-A13D-5D0CC13F0AB9}" name="Column13981"/>
    <tableColumn id="13987" xr3:uid="{EFA6B266-98C0-4D66-B5EC-CDF2469A9126}" name="Column13982"/>
    <tableColumn id="13988" xr3:uid="{BF3E6DC3-913B-4A50-AE24-7645DDC4620A}" name="Column13983"/>
    <tableColumn id="13989" xr3:uid="{7E1F623E-776B-4477-9F2D-3AF1D78B6724}" name="Column13984"/>
    <tableColumn id="13990" xr3:uid="{65276A94-3A27-4D3F-B16B-043D76B5DC49}" name="Column13985"/>
    <tableColumn id="13991" xr3:uid="{21339B44-2D98-4360-BBEA-31D17E0EA6B8}" name="Column13986"/>
    <tableColumn id="13992" xr3:uid="{55FA2BC5-51FB-4356-96FD-26AAFA7F09A4}" name="Column13987"/>
    <tableColumn id="13993" xr3:uid="{DCC92C7C-9982-45E8-86D9-FF3636EF1CDF}" name="Column13988"/>
    <tableColumn id="13994" xr3:uid="{D0571878-4060-4E18-B86D-92FC6CEFB4A1}" name="Column13989"/>
    <tableColumn id="13995" xr3:uid="{EC555814-9BEE-4B20-BC86-4E6C8ADF17A6}" name="Column13990"/>
    <tableColumn id="13996" xr3:uid="{93B9B021-3726-4634-B435-A8D3BCC9793F}" name="Column13991"/>
    <tableColumn id="13997" xr3:uid="{5F2302F5-4E20-4C14-91F4-F026ECA41BBD}" name="Column13992"/>
    <tableColumn id="13998" xr3:uid="{963FFB4C-7C25-49EE-8D23-C8A69BF37035}" name="Column13993"/>
    <tableColumn id="13999" xr3:uid="{4AD23305-8EA9-41ED-B6B7-5FDEF7870286}" name="Column13994"/>
    <tableColumn id="14000" xr3:uid="{12F873A9-0A05-4442-A070-ED90E4406304}" name="Column13995"/>
    <tableColumn id="14001" xr3:uid="{2B70D194-8079-4CED-8E71-EB240B5A4262}" name="Column13996"/>
    <tableColumn id="14002" xr3:uid="{34C17C2E-4777-45B5-A518-A030CF652E4C}" name="Column13997"/>
    <tableColumn id="14003" xr3:uid="{61C04999-A1AB-4FDE-A761-1973636B5971}" name="Column13998"/>
    <tableColumn id="14004" xr3:uid="{1D58B774-CAA2-47F0-A971-8D10BA119B21}" name="Column13999"/>
    <tableColumn id="14005" xr3:uid="{46C1E175-00AC-4954-A63B-EE7FAE2D039F}" name="Column14000"/>
    <tableColumn id="14006" xr3:uid="{9A8C3D86-3EA9-4A77-85AC-D8E4307F86BE}" name="Column14001"/>
    <tableColumn id="14007" xr3:uid="{9B2E560E-C920-4114-ACF6-37A1D9D09248}" name="Column14002"/>
    <tableColumn id="14008" xr3:uid="{6D7FB4E2-1A2E-4B2B-81FF-E37171AB2868}" name="Column14003"/>
    <tableColumn id="14009" xr3:uid="{EBC3153B-E749-42AD-96A1-655B5D660E18}" name="Column14004"/>
    <tableColumn id="14010" xr3:uid="{7B12BFF1-84FC-42DA-AF6C-3E94B6B8FC8D}" name="Column14005"/>
    <tableColumn id="14011" xr3:uid="{9B0E6F1D-00D8-41E3-8E00-A573B9ECB85D}" name="Column14006"/>
    <tableColumn id="14012" xr3:uid="{85C14ECD-AAF5-45ED-A6A9-7CE9EFAE6353}" name="Column14007"/>
    <tableColumn id="14013" xr3:uid="{CB9269C0-7018-4E88-B655-4C5DCB390E5E}" name="Column14008"/>
    <tableColumn id="14014" xr3:uid="{4ECD12C0-7CE6-49B7-8933-F1399CFDFAD2}" name="Column14009"/>
    <tableColumn id="14015" xr3:uid="{CA34D844-D03D-4E94-9CA7-D47C1E18D30B}" name="Column14010"/>
    <tableColumn id="14016" xr3:uid="{9853CE5C-5525-4A07-9FA5-75120C449CF0}" name="Column14011"/>
    <tableColumn id="14017" xr3:uid="{E67F0C41-2635-4913-B8D0-FCD1FE2C0C13}" name="Column14012"/>
    <tableColumn id="14018" xr3:uid="{FB188723-1184-4ED4-B0AF-C4C954D11623}" name="Column14013"/>
    <tableColumn id="14019" xr3:uid="{BA0F4C79-457A-4358-A408-9CC55A5CB789}" name="Column14014"/>
    <tableColumn id="14020" xr3:uid="{5BD6E0A0-BB52-4797-9DA7-1432C232195E}" name="Column14015"/>
    <tableColumn id="14021" xr3:uid="{18B6CC55-0A10-45F8-861B-75A633365D76}" name="Column14016"/>
    <tableColumn id="14022" xr3:uid="{588AA21E-C422-46CE-9227-75A41D68242B}" name="Column14017"/>
    <tableColumn id="14023" xr3:uid="{1BCD0D62-C178-4DE6-B309-3278C7752E2E}" name="Column14018"/>
    <tableColumn id="14024" xr3:uid="{DB7108D8-3998-4578-A79C-7AAC3E4BE482}" name="Column14019"/>
    <tableColumn id="14025" xr3:uid="{D666071D-EB10-4A9B-A7F9-2472BB7A195C}" name="Column14020"/>
    <tableColumn id="14026" xr3:uid="{3CFB0633-540B-498F-9EC4-3A2D53C841BB}" name="Column14021"/>
    <tableColumn id="14027" xr3:uid="{2CC7473D-44E3-4535-8B0A-32676DE79598}" name="Column14022"/>
    <tableColumn id="14028" xr3:uid="{D0888016-ABA4-4AA3-8DC1-102FFC735491}" name="Column14023"/>
    <tableColumn id="14029" xr3:uid="{3988B728-40C3-47FC-9DC7-446F02EE915C}" name="Column14024"/>
    <tableColumn id="14030" xr3:uid="{D2DABBC2-0200-410B-945A-C5A757F83921}" name="Column14025"/>
    <tableColumn id="14031" xr3:uid="{15B14A7B-8470-4FE1-AC3D-EE087F4E1C0F}" name="Column14026"/>
    <tableColumn id="14032" xr3:uid="{5FC6C620-896E-401D-BFFE-4947E9A9DFAC}" name="Column14027"/>
    <tableColumn id="14033" xr3:uid="{3141BC28-3C5C-478A-A97C-9A793EE2BFC8}" name="Column14028"/>
    <tableColumn id="14034" xr3:uid="{B03657EB-528B-426C-82A4-EC2F14AE279C}" name="Column14029"/>
    <tableColumn id="14035" xr3:uid="{892581C3-9596-4897-8DA1-3C5E7472C0B9}" name="Column14030"/>
    <tableColumn id="14036" xr3:uid="{2ECCBA72-9045-4660-9FF4-BB37349ACE37}" name="Column14031"/>
    <tableColumn id="14037" xr3:uid="{45917C98-775B-4659-9C88-F454D7CCE1D3}" name="Column14032"/>
    <tableColumn id="14038" xr3:uid="{B41379CE-4850-4B14-B0A7-F34A8C47D7BA}" name="Column14033"/>
    <tableColumn id="14039" xr3:uid="{DA277614-55FD-49CB-805F-215EB6F7C4A7}" name="Column14034"/>
    <tableColumn id="14040" xr3:uid="{0851ACD5-F11E-499D-806D-2DB3442F8099}" name="Column14035"/>
    <tableColumn id="14041" xr3:uid="{AA5E4BE3-5FC4-4CE5-9EA1-4301741DB158}" name="Column14036"/>
    <tableColumn id="14042" xr3:uid="{37D51DF7-A061-43EE-8B85-460D88C2E7F3}" name="Column14037"/>
    <tableColumn id="14043" xr3:uid="{E87C597A-9C3E-426C-BDA6-7B44244C4A9E}" name="Column14038"/>
    <tableColumn id="14044" xr3:uid="{BE83315C-51EA-49C6-83E6-30DAC90228F2}" name="Column14039"/>
    <tableColumn id="14045" xr3:uid="{F94641E3-D1DC-44B7-880C-DF8B1B547E29}" name="Column14040"/>
    <tableColumn id="14046" xr3:uid="{4AD74FAE-B8C0-4008-95D9-04ED15240C9D}" name="Column14041"/>
    <tableColumn id="14047" xr3:uid="{8DB00C1E-4501-4A9A-A19D-2B9D693B2D70}" name="Column14042"/>
    <tableColumn id="14048" xr3:uid="{67D566F7-1F19-4181-86D9-4E1083F50D1E}" name="Column14043"/>
    <tableColumn id="14049" xr3:uid="{CC373F6D-5B6C-4D6F-BB58-4C4D144D1E23}" name="Column14044"/>
    <tableColumn id="14050" xr3:uid="{D6FF1C0F-3F43-404A-A161-CC7371E3C39B}" name="Column14045"/>
    <tableColumn id="14051" xr3:uid="{48D52E1F-2717-4B8F-BB49-E96D2E63ECA5}" name="Column14046"/>
    <tableColumn id="14052" xr3:uid="{404F6089-CE30-4C6A-BB80-90AE9C9D37D7}" name="Column14047"/>
    <tableColumn id="14053" xr3:uid="{D7643085-E9D1-4FBB-996B-E870C5C46865}" name="Column14048"/>
    <tableColumn id="14054" xr3:uid="{51913602-3F62-47C8-9D23-8EB133FE598E}" name="Column14049"/>
    <tableColumn id="14055" xr3:uid="{AA37F7C9-BCAA-49CC-A166-26A236FBD419}" name="Column14050"/>
    <tableColumn id="14056" xr3:uid="{8465D1A4-311C-4A30-911A-ACDBCA95116C}" name="Column14051"/>
    <tableColumn id="14057" xr3:uid="{C2E010B8-15EC-42DB-A197-70F5AAC73E82}" name="Column14052"/>
    <tableColumn id="14058" xr3:uid="{52DBED39-1B03-495B-9D79-4C4E0574B6A5}" name="Column14053"/>
    <tableColumn id="14059" xr3:uid="{7E2C45E5-C95D-4BB7-8C7F-74AE3136E1D2}" name="Column14054"/>
    <tableColumn id="14060" xr3:uid="{D70DB204-40D1-4AFA-8574-57DF7A503F22}" name="Column14055"/>
    <tableColumn id="14061" xr3:uid="{B56176B9-15CB-45BE-856B-D62B6DBA3EA7}" name="Column14056"/>
    <tableColumn id="14062" xr3:uid="{5BA230B4-4A10-41C8-9967-3F6886E7F095}" name="Column14057"/>
    <tableColumn id="14063" xr3:uid="{2E1ADC78-026B-4930-8048-6EB6E2B11EAA}" name="Column14058"/>
    <tableColumn id="14064" xr3:uid="{37981C10-868B-4D41-9883-D3E90D2B0DBF}" name="Column14059"/>
    <tableColumn id="14065" xr3:uid="{E3B1E782-EDDA-41DC-93FA-6F6490D8052F}" name="Column14060"/>
    <tableColumn id="14066" xr3:uid="{10DD3579-2CA0-41FC-B03F-5E25E3DB0B58}" name="Column14061"/>
    <tableColumn id="14067" xr3:uid="{5DCC9F03-D98F-42C3-840F-7D646F857C07}" name="Column14062"/>
    <tableColumn id="14068" xr3:uid="{C67180A7-5084-4FF4-A74A-E9D19985630F}" name="Column14063"/>
    <tableColumn id="14069" xr3:uid="{DA06D863-9943-4EC3-A885-B1B70C0755B7}" name="Column14064"/>
    <tableColumn id="14070" xr3:uid="{71139E6D-57ED-4139-9695-28BCFC00D704}" name="Column14065"/>
    <tableColumn id="14071" xr3:uid="{DF8FBAC9-B4BD-4EE0-8082-A43EC8E02971}" name="Column14066"/>
    <tableColumn id="14072" xr3:uid="{9B084933-56D9-487D-B5B8-423861A6391D}" name="Column14067"/>
    <tableColumn id="14073" xr3:uid="{48FF5C59-D61E-4E0F-83CC-060E51712FCA}" name="Column14068"/>
    <tableColumn id="14074" xr3:uid="{A68C97DE-9ABE-4A1B-AA58-FD773FD66292}" name="Column14069"/>
    <tableColumn id="14075" xr3:uid="{994E2EBE-5064-4BF7-88E3-348273716912}" name="Column14070"/>
    <tableColumn id="14076" xr3:uid="{44B7B676-A4A2-4A19-B8A0-FC602934AC23}" name="Column14071"/>
    <tableColumn id="14077" xr3:uid="{DC960532-390A-496A-8D6B-81A7382A428E}" name="Column14072"/>
    <tableColumn id="14078" xr3:uid="{CEB7941D-576D-4D6D-AFC9-F6B254BF43A7}" name="Column14073"/>
    <tableColumn id="14079" xr3:uid="{A4B6682B-3123-4395-A1AF-E73E36B4857D}" name="Column14074"/>
    <tableColumn id="14080" xr3:uid="{A9E087C8-B953-487E-A446-F45D2D92809E}" name="Column14075"/>
    <tableColumn id="14081" xr3:uid="{C1E85AAF-9EA4-4A7E-848C-30F41875922B}" name="Column14076"/>
    <tableColumn id="14082" xr3:uid="{5DD4635A-F7FD-4E4F-8BEA-E76F4ECD4D54}" name="Column14077"/>
    <tableColumn id="14083" xr3:uid="{EC86B8CE-6B73-4C51-88BF-0020F47BFA10}" name="Column14078"/>
    <tableColumn id="14084" xr3:uid="{685C3366-5806-4CC6-A5DF-4FF746145BEE}" name="Column14079"/>
    <tableColumn id="14085" xr3:uid="{747644A1-0EF9-4633-89E9-81189D611D9F}" name="Column14080"/>
    <tableColumn id="14086" xr3:uid="{24D240FE-6B6C-4854-B83E-068DF0614F52}" name="Column14081"/>
    <tableColumn id="14087" xr3:uid="{9C63A086-B6DE-48FA-8306-126421DCD6CB}" name="Column14082"/>
    <tableColumn id="14088" xr3:uid="{116A69C5-6C8D-4729-95F1-F975A529DA05}" name="Column14083"/>
    <tableColumn id="14089" xr3:uid="{912C48BA-604D-4886-80CC-A3B5A918BF9A}" name="Column14084"/>
    <tableColumn id="14090" xr3:uid="{9C839B4C-5DEE-410E-8C12-C7A0B4F734DB}" name="Column14085"/>
    <tableColumn id="14091" xr3:uid="{CB44EF6F-CD2D-47B1-AF71-121865215A59}" name="Column14086"/>
    <tableColumn id="14092" xr3:uid="{FD28D140-0156-4922-B346-2F5C9ECD87AD}" name="Column14087"/>
    <tableColumn id="14093" xr3:uid="{2F7A49D2-DAE8-433D-9C0F-16710258CC37}" name="Column14088"/>
    <tableColumn id="14094" xr3:uid="{EC03527F-660E-4B6D-9288-1C1224602BAF}" name="Column14089"/>
    <tableColumn id="14095" xr3:uid="{5096C2CA-FD2A-4633-9ACE-449E30EF6BE1}" name="Column14090"/>
    <tableColumn id="14096" xr3:uid="{262A2D81-43A1-481C-AB41-257E97B1FBAA}" name="Column14091"/>
    <tableColumn id="14097" xr3:uid="{E849F99D-66C7-4A08-9DE6-3DB62D21C699}" name="Column14092"/>
    <tableColumn id="14098" xr3:uid="{2F579A14-7C9F-4CF2-AE87-D5D2CE692727}" name="Column14093"/>
    <tableColumn id="14099" xr3:uid="{02BC5FEB-DE7C-4AA3-B6FF-574EDA8DB5F2}" name="Column14094"/>
    <tableColumn id="14100" xr3:uid="{955BB955-4329-43E7-909C-07F69E162E29}" name="Column14095"/>
    <tableColumn id="14101" xr3:uid="{A205D83E-FF1E-4056-97AA-E5C31D9BE3FC}" name="Column14096"/>
    <tableColumn id="14102" xr3:uid="{A926B8A3-FF96-4DAF-B91B-F42F3B664E0D}" name="Column14097"/>
    <tableColumn id="14103" xr3:uid="{303320C2-B1D8-4A5D-8C6A-3796289C8627}" name="Column14098"/>
    <tableColumn id="14104" xr3:uid="{2EE63290-D944-42E5-BCF4-47A2925A64F2}" name="Column14099"/>
    <tableColumn id="14105" xr3:uid="{EDF0DE20-B5F6-4511-92AF-EC5B95DFFB71}" name="Column14100"/>
    <tableColumn id="14106" xr3:uid="{D6D75036-FBF9-439C-9295-6A5B848587B3}" name="Column14101"/>
    <tableColumn id="14107" xr3:uid="{BCBCB69D-CC9A-48BD-BC29-0E08A39050A2}" name="Column14102"/>
    <tableColumn id="14108" xr3:uid="{A9509B63-AF3F-45CA-86E4-535648ADD3F8}" name="Column14103"/>
    <tableColumn id="14109" xr3:uid="{88E24572-2091-42E4-B833-DB181D71D57F}" name="Column14104"/>
    <tableColumn id="14110" xr3:uid="{EC980F51-ED0B-4487-A3B1-6F886364A816}" name="Column14105"/>
    <tableColumn id="14111" xr3:uid="{0C17F0A9-84C2-4AA3-ACCA-C5D018BE21E3}" name="Column14106"/>
    <tableColumn id="14112" xr3:uid="{CE8B5E26-9EDD-4110-9ADF-9915BCF967B9}" name="Column14107"/>
    <tableColumn id="14113" xr3:uid="{05960427-5AD6-461B-9532-9D083AD3BC45}" name="Column14108"/>
    <tableColumn id="14114" xr3:uid="{DC4559DD-C6D8-4466-AE58-EDECB076E527}" name="Column14109"/>
    <tableColumn id="14115" xr3:uid="{ACE6DDE5-81F4-4548-A23F-563A30F09EEF}" name="Column14110"/>
    <tableColumn id="14116" xr3:uid="{1A6C510B-E182-4202-AABC-5AFC5A95B572}" name="Column14111"/>
    <tableColumn id="14117" xr3:uid="{9A4AD254-CFBB-49D2-9F19-3EC3BAC1CB40}" name="Column14112"/>
    <tableColumn id="14118" xr3:uid="{D20A2B3A-32CC-4BD1-A615-0794903733CD}" name="Column14113"/>
    <tableColumn id="14119" xr3:uid="{E4CE11A5-3E9F-45D9-9A42-6D2676732FB7}" name="Column14114"/>
    <tableColumn id="14120" xr3:uid="{E0FFC113-FA19-487C-BE95-F79D22EAFF4F}" name="Column14115"/>
    <tableColumn id="14121" xr3:uid="{24A97B2B-D8B4-403F-A0A1-E1B036A0EE01}" name="Column14116"/>
    <tableColumn id="14122" xr3:uid="{18362C92-ED49-45B6-9ABC-F5FB3B946258}" name="Column14117"/>
    <tableColumn id="14123" xr3:uid="{FED86996-1C4F-46B8-A657-4C8E906F0B90}" name="Column14118"/>
    <tableColumn id="14124" xr3:uid="{4D3D5B88-0B19-4A61-9756-0563554ADF4C}" name="Column14119"/>
    <tableColumn id="14125" xr3:uid="{F68FFB3D-E2D1-4A6D-A644-48CB0E4B6BA6}" name="Column14120"/>
    <tableColumn id="14126" xr3:uid="{0AA01ED9-D800-4C02-864A-D37D8E17DC40}" name="Column14121"/>
    <tableColumn id="14127" xr3:uid="{C93FE798-D70B-4268-AB2D-499D7696C95D}" name="Column14122"/>
    <tableColumn id="14128" xr3:uid="{38C11FBB-0FF4-4CEA-A839-F812099B3D41}" name="Column14123"/>
    <tableColumn id="14129" xr3:uid="{1C9CF8E8-12C3-4035-A6D3-75719C6D3A49}" name="Column14124"/>
    <tableColumn id="14130" xr3:uid="{6B5EE8F0-D7A4-4442-ABD0-2414EB520EA0}" name="Column14125"/>
    <tableColumn id="14131" xr3:uid="{1EFB6C46-AA60-4E1F-AE63-2F482DB0BE0D}" name="Column14126"/>
    <tableColumn id="14132" xr3:uid="{097A8897-20EB-47D1-92B7-12CBDE890289}" name="Column14127"/>
    <tableColumn id="14133" xr3:uid="{BFFD2604-C748-40E9-8AEA-D7A576D8AA24}" name="Column14128"/>
    <tableColumn id="14134" xr3:uid="{F199BED2-2FA1-42AE-B17A-6F96A3B8B24F}" name="Column14129"/>
    <tableColumn id="14135" xr3:uid="{2DAD7CD5-74A1-4DD1-B9CE-54C2C71ECEBC}" name="Column14130"/>
    <tableColumn id="14136" xr3:uid="{012331C3-3788-474C-A6C0-2C4C2DE36A6E}" name="Column14131"/>
    <tableColumn id="14137" xr3:uid="{B2BD6183-E873-4AC4-8EFC-CB4DF7871679}" name="Column14132"/>
    <tableColumn id="14138" xr3:uid="{07D3B37F-1723-454B-A3B0-FDBE2B729646}" name="Column14133"/>
    <tableColumn id="14139" xr3:uid="{EB3DBF6E-9804-43C0-8C32-CB8EDFD6BEEF}" name="Column14134"/>
    <tableColumn id="14140" xr3:uid="{1DC32F3E-4570-42FC-B351-91048494E0EB}" name="Column14135"/>
    <tableColumn id="14141" xr3:uid="{503137C3-CCB6-4A08-B3DA-8C5AD67BC48E}" name="Column14136"/>
    <tableColumn id="14142" xr3:uid="{9C14D50C-06DE-4663-8170-814CCE16AD32}" name="Column14137"/>
    <tableColumn id="14143" xr3:uid="{16DB8BD0-0C58-4708-88A9-3C3D85C36226}" name="Column14138"/>
    <tableColumn id="14144" xr3:uid="{6667E144-E58A-4E7B-BD93-409E47BABCC5}" name="Column14139"/>
    <tableColumn id="14145" xr3:uid="{68F9B044-0CC2-4177-8D82-CDEDFED9388A}" name="Column14140"/>
    <tableColumn id="14146" xr3:uid="{8417A014-AF46-41ED-BF79-C3FC3C4EF250}" name="Column14141"/>
    <tableColumn id="14147" xr3:uid="{F2015554-9373-4E84-A4B5-E6C6FC5590D0}" name="Column14142"/>
    <tableColumn id="14148" xr3:uid="{986443ED-B8EF-4F95-AED5-30D49D8687F2}" name="Column14143"/>
    <tableColumn id="14149" xr3:uid="{AE95B416-83AE-4751-9EB2-5D26CB6E53FE}" name="Column14144"/>
    <tableColumn id="14150" xr3:uid="{69485EFB-74C2-4FD9-AF19-C24527A26684}" name="Column14145"/>
    <tableColumn id="14151" xr3:uid="{A22B2EDF-9156-4DF0-BEDA-7DC66144254D}" name="Column14146"/>
    <tableColumn id="14152" xr3:uid="{1B575E3E-927F-48D4-A3E3-69F69D61B8C8}" name="Column14147"/>
    <tableColumn id="14153" xr3:uid="{B19512C2-957A-4E5F-9CA0-E11B733E9500}" name="Column14148"/>
    <tableColumn id="14154" xr3:uid="{69FAFC04-C05A-4608-85E8-A30CDFAEEFDC}" name="Column14149"/>
    <tableColumn id="14155" xr3:uid="{62DB3D01-2C40-4F30-9D9F-0003B048B5DE}" name="Column14150"/>
    <tableColumn id="14156" xr3:uid="{DF20872B-D205-40B3-92A3-8456B46D5AAD}" name="Column14151"/>
    <tableColumn id="14157" xr3:uid="{6C0F836C-34A9-4B14-885E-E65EF64C9B56}" name="Column14152"/>
    <tableColumn id="14158" xr3:uid="{F099C018-C2C6-4CAC-8EB1-37B9A7DBED79}" name="Column14153"/>
    <tableColumn id="14159" xr3:uid="{C778EFAB-1F13-48E1-8ADB-5C6C0FA6C414}" name="Column14154"/>
    <tableColumn id="14160" xr3:uid="{48FE366F-341C-4CE2-9C7E-030A84124948}" name="Column14155"/>
    <tableColumn id="14161" xr3:uid="{F16DDCE7-79DD-4497-BE4F-F97672A3BE22}" name="Column14156"/>
    <tableColumn id="14162" xr3:uid="{C973D01A-7F50-4446-8976-901DFB6D7478}" name="Column14157"/>
    <tableColumn id="14163" xr3:uid="{82F1FEBC-0771-4E30-999F-5A7A2C6F5998}" name="Column14158"/>
    <tableColumn id="14164" xr3:uid="{FFD4A9D2-86EF-4C79-A1F2-86A8A9B23810}" name="Column14159"/>
    <tableColumn id="14165" xr3:uid="{BF660E52-CFA7-4C9D-BD4E-7C928774543D}" name="Column14160"/>
    <tableColumn id="14166" xr3:uid="{05B28F37-F7B5-4FF4-93AD-DE54438B27E3}" name="Column14161"/>
    <tableColumn id="14167" xr3:uid="{993D54AD-5239-45C4-AF9C-CF1E1EE20A90}" name="Column14162"/>
    <tableColumn id="14168" xr3:uid="{13B9DFDF-A369-43D6-B8FC-0135AFEA063C}" name="Column14163"/>
    <tableColumn id="14169" xr3:uid="{64871944-28DE-40E3-AE16-6D87607D82D0}" name="Column14164"/>
    <tableColumn id="14170" xr3:uid="{796AE82D-FDEA-4D72-B0FF-3602F53686EE}" name="Column14165"/>
    <tableColumn id="14171" xr3:uid="{445E8B0D-4C1B-47D8-AA44-CBEF7A4EB9DE}" name="Column14166"/>
    <tableColumn id="14172" xr3:uid="{A7400C7D-F39C-4473-8F85-4969EC7AFFA5}" name="Column14167"/>
    <tableColumn id="14173" xr3:uid="{D4A4CA49-3AB1-4200-8865-C533CAA47631}" name="Column14168"/>
    <tableColumn id="14174" xr3:uid="{5CDF9B7B-8139-477D-A03A-4F8069F879EA}" name="Column14169"/>
    <tableColumn id="14175" xr3:uid="{533A4EFE-042C-4DEB-9B11-6F7F6BCF7BA7}" name="Column14170"/>
    <tableColumn id="14176" xr3:uid="{977F17CB-BD1F-4E24-BDE4-5892D041394F}" name="Column14171"/>
    <tableColumn id="14177" xr3:uid="{95B84F01-3143-484F-BFB0-FAAD94C2B414}" name="Column14172"/>
    <tableColumn id="14178" xr3:uid="{EC90C634-4B45-4028-ACB8-A6E0742676AB}" name="Column14173"/>
    <tableColumn id="14179" xr3:uid="{EA9CC523-7070-4B27-82CE-8BD0B0A66C05}" name="Column14174"/>
    <tableColumn id="14180" xr3:uid="{7567A737-38BA-4F4E-9199-B23277867684}" name="Column14175"/>
    <tableColumn id="14181" xr3:uid="{8FA88FEE-DA03-4C17-B667-86152CA36A75}" name="Column14176"/>
    <tableColumn id="14182" xr3:uid="{F31BACD9-412E-4690-8486-A595938BFED6}" name="Column14177"/>
    <tableColumn id="14183" xr3:uid="{75D79991-43ED-4621-91A3-E60CDE7C4D16}" name="Column14178"/>
    <tableColumn id="14184" xr3:uid="{DCD0009E-3C6C-495C-BBA0-D3347F94DCCB}" name="Column14179"/>
    <tableColumn id="14185" xr3:uid="{BF109747-36E7-4572-B326-80055B6A623A}" name="Column14180"/>
    <tableColumn id="14186" xr3:uid="{947D2109-D728-462E-BA6A-BAFDE6B11CDA}" name="Column14181"/>
    <tableColumn id="14187" xr3:uid="{F17E8DCF-00B0-445C-B5FD-313C18CC4391}" name="Column14182"/>
    <tableColumn id="14188" xr3:uid="{E1C488F3-9253-4948-9219-0F31BD08856F}" name="Column14183"/>
    <tableColumn id="14189" xr3:uid="{1588F5BA-FD8A-4B0D-A120-D10BDA875D68}" name="Column14184"/>
    <tableColumn id="14190" xr3:uid="{94A8D50C-16C5-434A-86DA-2F63CC73D132}" name="Column14185"/>
    <tableColumn id="14191" xr3:uid="{3A12C95B-11D5-4870-AFC5-0873EF968467}" name="Column14186"/>
    <tableColumn id="14192" xr3:uid="{BC392A2F-9533-42D4-8C36-37E3FEA5C57F}" name="Column14187"/>
    <tableColumn id="14193" xr3:uid="{38B386E9-640E-429F-ABBF-805F3B59B702}" name="Column14188"/>
    <tableColumn id="14194" xr3:uid="{DA361585-FD3D-4EB3-AEDE-81027B2CBDFE}" name="Column14189"/>
    <tableColumn id="14195" xr3:uid="{B3279262-EBDE-4A64-B24E-705CD70DF9E3}" name="Column14190"/>
    <tableColumn id="14196" xr3:uid="{2218F1BE-BAFF-48FC-B3F9-00919B559AA8}" name="Column14191"/>
    <tableColumn id="14197" xr3:uid="{FA0440CF-0BEF-4A52-AF3C-7F27871BCD1E}" name="Column14192"/>
    <tableColumn id="14198" xr3:uid="{2A58FEFA-F22B-4A92-A546-A684620241BB}" name="Column14193"/>
    <tableColumn id="14199" xr3:uid="{82AB3F2E-9B8D-4DFE-ADFE-B35CEAE7926F}" name="Column14194"/>
    <tableColumn id="14200" xr3:uid="{1AC65D49-C9E4-4137-B3E0-1C78941D7DF7}" name="Column14195"/>
    <tableColumn id="14201" xr3:uid="{42F20743-4D9F-4105-921C-1695E8145EE9}" name="Column14196"/>
    <tableColumn id="14202" xr3:uid="{9EA7F58E-1A1D-45A3-9D3A-03E6DDE2B780}" name="Column14197"/>
    <tableColumn id="14203" xr3:uid="{6B8ABD31-0F58-4070-9104-8D3CCA1E19B5}" name="Column14198"/>
    <tableColumn id="14204" xr3:uid="{33A2809F-D03F-4DD2-9A82-3509A8768FBB}" name="Column14199"/>
    <tableColumn id="14205" xr3:uid="{F4F1D113-3118-451E-A891-0DCBD1278B17}" name="Column14200"/>
    <tableColumn id="14206" xr3:uid="{89334279-E3B1-49D4-844A-0CB5FC510F07}" name="Column14201"/>
    <tableColumn id="14207" xr3:uid="{1B28312E-CE2F-4CC1-A9E5-533D4B462595}" name="Column14202"/>
    <tableColumn id="14208" xr3:uid="{FF10410C-32A7-445E-8893-710D3992D80A}" name="Column14203"/>
    <tableColumn id="14209" xr3:uid="{8E90055F-502D-4531-938D-A84CF999F7B3}" name="Column14204"/>
    <tableColumn id="14210" xr3:uid="{E355170B-A122-444E-A743-9515D1EA3011}" name="Column14205"/>
    <tableColumn id="14211" xr3:uid="{6CAFF4D2-DA2D-48DB-826B-7A28E21DBB6E}" name="Column14206"/>
    <tableColumn id="14212" xr3:uid="{DEC3FA2D-E4B6-498A-BAAA-B273A661E54A}" name="Column14207"/>
    <tableColumn id="14213" xr3:uid="{E6527187-3A7C-42C6-AA85-D304653BE575}" name="Column14208"/>
    <tableColumn id="14214" xr3:uid="{BE7DB49E-78FB-471B-918A-DB43EA078598}" name="Column14209"/>
    <tableColumn id="14215" xr3:uid="{11080A55-E736-4DD7-B02D-15D36B32A48C}" name="Column14210"/>
    <tableColumn id="14216" xr3:uid="{8187E009-926E-4494-A19E-9B1A7D98572D}" name="Column14211"/>
    <tableColumn id="14217" xr3:uid="{D019BCE3-4207-4B5C-A2A2-E82B3034CFA2}" name="Column14212"/>
    <tableColumn id="14218" xr3:uid="{651B510B-98B3-4501-93DD-71645F6B1497}" name="Column14213"/>
    <tableColumn id="14219" xr3:uid="{894027D1-7B18-48C8-B501-97202D61680C}" name="Column14214"/>
    <tableColumn id="14220" xr3:uid="{6A920C38-1B5A-438E-89A0-31216F929370}" name="Column14215"/>
    <tableColumn id="14221" xr3:uid="{A581F634-D5CA-4272-9A1D-42D83E4891FE}" name="Column14216"/>
    <tableColumn id="14222" xr3:uid="{0E83E8D7-C8E5-434B-9BCD-6671EACBE0F0}" name="Column14217"/>
    <tableColumn id="14223" xr3:uid="{68D27AB6-8B9F-48DE-A671-30F2DCA4F88B}" name="Column14218"/>
    <tableColumn id="14224" xr3:uid="{38BED89B-BB57-40AC-8A43-40442F44849D}" name="Column14219"/>
    <tableColumn id="14225" xr3:uid="{BFD70AB8-8311-4D21-AFCE-7FBA12EEA9E2}" name="Column14220"/>
    <tableColumn id="14226" xr3:uid="{1F481847-4318-4A94-955B-71692472A4BA}" name="Column14221"/>
    <tableColumn id="14227" xr3:uid="{47371044-3DCD-4FE7-9294-FF60C28E8C74}" name="Column14222"/>
    <tableColumn id="14228" xr3:uid="{274AC812-513B-4C0B-9EB6-79221DC8BB0C}" name="Column14223"/>
    <tableColumn id="14229" xr3:uid="{9A869305-467F-4E93-8739-8F312B4B781F}" name="Column14224"/>
    <tableColumn id="14230" xr3:uid="{D3223C5A-4228-4ECD-91FA-6C35D798FB9C}" name="Column14225"/>
    <tableColumn id="14231" xr3:uid="{12CAC751-E127-450E-BE4A-D59CC1335E3A}" name="Column14226"/>
    <tableColumn id="14232" xr3:uid="{1A37CE54-9C23-40BC-8B65-1F5CE4506558}" name="Column14227"/>
    <tableColumn id="14233" xr3:uid="{0D5B7F7A-27A0-4FE3-96DC-78BD7FB7B326}" name="Column14228"/>
    <tableColumn id="14234" xr3:uid="{1624DE03-4692-4CEE-962E-EA4FB94E0CDE}" name="Column14229"/>
    <tableColumn id="14235" xr3:uid="{D62FDDA1-22D9-452C-B82C-5F310B4C6822}" name="Column14230"/>
    <tableColumn id="14236" xr3:uid="{60C8B1AA-D58A-4700-AA7E-D85EA84DCBD7}" name="Column14231"/>
    <tableColumn id="14237" xr3:uid="{D0AF265D-83CB-4CC3-95CE-9BC3BCC0EF6B}" name="Column14232"/>
    <tableColumn id="14238" xr3:uid="{4E56AF10-1484-4EBD-8307-C2D2C35350B7}" name="Column14233"/>
    <tableColumn id="14239" xr3:uid="{2EE6D8BE-38E7-4EE5-9959-B590CE5AF71A}" name="Column14234"/>
    <tableColumn id="14240" xr3:uid="{174E1AEC-14EF-4D0A-B056-5831E450724E}" name="Column14235"/>
    <tableColumn id="14241" xr3:uid="{34847E0C-8238-4534-9AA9-4C2AA86C79E5}" name="Column14236"/>
    <tableColumn id="14242" xr3:uid="{3C57FFC8-9087-4144-A491-6FDC04335F4B}" name="Column14237"/>
    <tableColumn id="14243" xr3:uid="{6922739D-F6AA-40BF-9B3B-C61FB5EA8859}" name="Column14238"/>
    <tableColumn id="14244" xr3:uid="{B2EA968F-0788-442B-817C-0CC503BA616A}" name="Column14239"/>
    <tableColumn id="14245" xr3:uid="{F15A4E15-9074-4BA5-B135-21C9AB573941}" name="Column14240"/>
    <tableColumn id="14246" xr3:uid="{8126A779-C213-42F3-AAA6-398AE6567D58}" name="Column14241"/>
    <tableColumn id="14247" xr3:uid="{904EE6DE-04CC-4593-9F6D-3F708DEFE980}" name="Column14242"/>
    <tableColumn id="14248" xr3:uid="{EE4EDE97-2A7F-4881-996B-F6B0BB3AA728}" name="Column14243"/>
    <tableColumn id="14249" xr3:uid="{60BDB6A8-DA1C-45AE-950F-94CDD5114454}" name="Column14244"/>
    <tableColumn id="14250" xr3:uid="{FD21193C-B8D8-4CCD-8DDF-8EAA5C5D4A44}" name="Column14245"/>
    <tableColumn id="14251" xr3:uid="{4B09E2E4-86F9-4B2A-B8A0-59B861E92431}" name="Column14246"/>
    <tableColumn id="14252" xr3:uid="{F1281FFF-1385-4AC1-8896-9C1F925BF657}" name="Column14247"/>
    <tableColumn id="14253" xr3:uid="{16B962AC-1FC8-4BF5-B3B0-58FB544623A2}" name="Column14248"/>
    <tableColumn id="14254" xr3:uid="{4A619030-E7E7-4CB4-A0A3-87B73989CA62}" name="Column14249"/>
    <tableColumn id="14255" xr3:uid="{4596551F-8E03-42C0-9595-051FCABEDA91}" name="Column14250"/>
    <tableColumn id="14256" xr3:uid="{97822C61-C27F-42C4-A70F-B51B2BB8923E}" name="Column14251"/>
    <tableColumn id="14257" xr3:uid="{3EC5EA82-A75B-4C52-95CD-58099A6DB1F4}" name="Column14252"/>
    <tableColumn id="14258" xr3:uid="{05A95EB6-159F-4E4A-9155-69EA66668934}" name="Column14253"/>
    <tableColumn id="14259" xr3:uid="{F0F7DDDE-A4A7-4D83-9DB4-D582F41A8704}" name="Column14254"/>
    <tableColumn id="14260" xr3:uid="{CBB46C1D-259F-4384-AEF6-4EDB573DBD8D}" name="Column14255"/>
    <tableColumn id="14261" xr3:uid="{54897887-767F-482D-B7E4-3C8119AB9579}" name="Column14256"/>
    <tableColumn id="14262" xr3:uid="{09D23A83-EDF7-467F-92F9-4D4C1697171B}" name="Column14257"/>
    <tableColumn id="14263" xr3:uid="{2BB0CCE6-2A33-43B6-B004-FE9147879C4E}" name="Column14258"/>
    <tableColumn id="14264" xr3:uid="{A3E30630-E504-4CAC-AAAF-D8F172AA17D1}" name="Column14259"/>
    <tableColumn id="14265" xr3:uid="{9798F255-A5E3-4951-AFA4-EAEBC54D5ED8}" name="Column14260"/>
    <tableColumn id="14266" xr3:uid="{9D68188E-FFD7-492F-88EC-BBBD15A2AF8C}" name="Column14261"/>
    <tableColumn id="14267" xr3:uid="{B3A94BD1-ECD9-441E-853C-A18624916990}" name="Column14262"/>
    <tableColumn id="14268" xr3:uid="{EC67D0A1-C293-42EB-9CCF-A0D1F690D7CB}" name="Column14263"/>
    <tableColumn id="14269" xr3:uid="{27D186C4-B01E-4C06-A7E2-E8BDADC24EDF}" name="Column14264"/>
    <tableColumn id="14270" xr3:uid="{1E634BC6-7141-4170-A36C-83CB5D8B7041}" name="Column14265"/>
    <tableColumn id="14271" xr3:uid="{4B2DAF84-F1C4-4EE0-9345-5A8BDA1A2204}" name="Column14266"/>
    <tableColumn id="14272" xr3:uid="{AABED6EB-FCF0-4676-8C2E-DBA7BCFACD94}" name="Column14267"/>
    <tableColumn id="14273" xr3:uid="{A071EBC9-B224-489A-8245-95E92B3BBBAC}" name="Column14268"/>
    <tableColumn id="14274" xr3:uid="{490D67FA-7183-4345-B4F9-01B3E6FF6E6D}" name="Column14269"/>
    <tableColumn id="14275" xr3:uid="{310BAB50-D798-4E47-BB7B-F547106631B8}" name="Column14270"/>
    <tableColumn id="14276" xr3:uid="{DFDD8027-71A4-4DC0-A8F7-F087D5782823}" name="Column14271"/>
    <tableColumn id="14277" xr3:uid="{F8612534-3CD3-44A5-9AE9-841FE7B96D86}" name="Column14272"/>
    <tableColumn id="14278" xr3:uid="{B5A46B6C-9B84-4A4E-9292-F9E22395D87B}" name="Column14273"/>
    <tableColumn id="14279" xr3:uid="{36BEE439-BFD1-40F1-9C27-4734DE1FAB40}" name="Column14274"/>
    <tableColumn id="14280" xr3:uid="{B162E136-BCD0-4F50-943A-5F1FA013F774}" name="Column14275"/>
    <tableColumn id="14281" xr3:uid="{B1F7EF20-ED18-447D-AC18-BCD119EC4AC8}" name="Column14276"/>
    <tableColumn id="14282" xr3:uid="{1BEC6A5E-C296-4C52-B5D9-943210146B51}" name="Column14277"/>
    <tableColumn id="14283" xr3:uid="{D101EB41-CEE2-4CC3-87DE-B48F7DCC08B8}" name="Column14278"/>
    <tableColumn id="14284" xr3:uid="{376A640D-BF0F-47B3-B144-9391166FFF58}" name="Column14279"/>
    <tableColumn id="14285" xr3:uid="{0704F768-396E-4E82-BE9C-EBE4B05776F5}" name="Column14280"/>
    <tableColumn id="14286" xr3:uid="{D7948BF0-DC09-4276-8B46-72CB5B4E3F06}" name="Column14281"/>
    <tableColumn id="14287" xr3:uid="{55777377-1C26-4B18-A802-DEC6D886D9B2}" name="Column14282"/>
    <tableColumn id="14288" xr3:uid="{230D3E4A-61C2-41B3-9B25-324B0152CB9C}" name="Column14283"/>
    <tableColumn id="14289" xr3:uid="{D6461E42-F98F-4CF1-8AB2-373E16E88884}" name="Column14284"/>
    <tableColumn id="14290" xr3:uid="{95A56214-C30D-41FC-BD26-57327AC4C695}" name="Column14285"/>
    <tableColumn id="14291" xr3:uid="{B7273025-C0EE-413F-93FA-753A18BB75AD}" name="Column14286"/>
    <tableColumn id="14292" xr3:uid="{9DA0E567-E055-4432-937C-1530E64D76A6}" name="Column14287"/>
    <tableColumn id="14293" xr3:uid="{B39FDE19-5D18-497F-9B1E-4801F9EC0FD4}" name="Column14288"/>
    <tableColumn id="14294" xr3:uid="{D7E528B6-697B-47DA-B361-12527F59394F}" name="Column14289"/>
    <tableColumn id="14295" xr3:uid="{A8F753D4-CBE2-4010-A72D-492A2FF790B0}" name="Column14290"/>
    <tableColumn id="14296" xr3:uid="{4C48B899-1511-412D-814B-5D392B8F8807}" name="Column14291"/>
    <tableColumn id="14297" xr3:uid="{926514CC-D583-44CE-8748-22E89BD45A74}" name="Column14292"/>
    <tableColumn id="14298" xr3:uid="{5EDBFA31-CADE-4F3E-9EA8-998AA4392655}" name="Column14293"/>
    <tableColumn id="14299" xr3:uid="{17520F63-7944-4F92-8DFF-95B11D19697C}" name="Column14294"/>
    <tableColumn id="14300" xr3:uid="{8BCAB589-0E34-4E3E-A0B0-5185AD40D120}" name="Column14295"/>
    <tableColumn id="14301" xr3:uid="{3D52E19B-6548-4260-9B3B-0E4D6661863D}" name="Column14296"/>
    <tableColumn id="14302" xr3:uid="{C26B171A-D101-44AA-9701-84A9642627CD}" name="Column14297"/>
    <tableColumn id="14303" xr3:uid="{68579509-FE0B-4DFA-ADFA-2D1E52E4FE0E}" name="Column14298"/>
    <tableColumn id="14304" xr3:uid="{95B96EB4-1595-4429-B0F7-A6DABC7ACB74}" name="Column14299"/>
    <tableColumn id="14305" xr3:uid="{4B66A8C5-2B3D-43CE-87D9-0836BAC00991}" name="Column14300"/>
    <tableColumn id="14306" xr3:uid="{30519089-02D3-4E85-A9DE-5B631974B938}" name="Column14301"/>
    <tableColumn id="14307" xr3:uid="{24D8DFA5-0271-4F3A-8615-4E65C1D4C182}" name="Column14302"/>
    <tableColumn id="14308" xr3:uid="{CF3F6523-AA86-45A5-82AD-2A1A85E4962A}" name="Column14303"/>
    <tableColumn id="14309" xr3:uid="{4B333447-9EE9-4A7F-9C4F-CA4916F89FBC}" name="Column14304"/>
    <tableColumn id="14310" xr3:uid="{A1102AC2-9C5B-42EE-B1A7-4E38908799A7}" name="Column14305"/>
    <tableColumn id="14311" xr3:uid="{49C488B9-EE33-4875-90D7-A8C07CEA5168}" name="Column14306"/>
    <tableColumn id="14312" xr3:uid="{98125F09-DD47-481E-9925-81A3AF2C3208}" name="Column14307"/>
    <tableColumn id="14313" xr3:uid="{4563EAFE-F286-4821-9943-36115A90EDA9}" name="Column14308"/>
    <tableColumn id="14314" xr3:uid="{5E9080A8-999B-4EBB-923D-861BBAC4EAEE}" name="Column14309"/>
    <tableColumn id="14315" xr3:uid="{6926C504-AD8E-4D57-B70B-0B57ECB79F45}" name="Column14310"/>
    <tableColumn id="14316" xr3:uid="{DF2F12A0-C598-4443-9853-74E4975E12A5}" name="Column14311"/>
    <tableColumn id="14317" xr3:uid="{46A70179-F3D8-4E9E-AADD-A93D7FF78000}" name="Column14312"/>
    <tableColumn id="14318" xr3:uid="{9C31541B-B377-4F6D-886D-7DD20B4C97AE}" name="Column14313"/>
    <tableColumn id="14319" xr3:uid="{8449E781-52C2-4842-995D-6799AA08EC1C}" name="Column14314"/>
    <tableColumn id="14320" xr3:uid="{B9DBE323-FC54-4867-A735-1D789C287EB6}" name="Column14315"/>
    <tableColumn id="14321" xr3:uid="{A40FE161-9270-4A05-BC82-EB2184852972}" name="Column14316"/>
    <tableColumn id="14322" xr3:uid="{949156EF-5A8C-4FF4-88E7-3DFCF33102B7}" name="Column14317"/>
    <tableColumn id="14323" xr3:uid="{E161254B-B38D-40C2-A2EF-118950337B2F}" name="Column14318"/>
    <tableColumn id="14324" xr3:uid="{449C2D2D-5621-4536-8184-85806856AA0E}" name="Column14319"/>
    <tableColumn id="14325" xr3:uid="{969F613D-2576-4F30-B2A4-688330F04E47}" name="Column14320"/>
    <tableColumn id="14326" xr3:uid="{6617F24A-333F-4111-B80D-D7F321B519FB}" name="Column14321"/>
    <tableColumn id="14327" xr3:uid="{CFFE099A-3A53-4530-9105-60036AB5D0E6}" name="Column14322"/>
    <tableColumn id="14328" xr3:uid="{8F871D91-295B-4533-ADA6-BFE8A7B12797}" name="Column14323"/>
    <tableColumn id="14329" xr3:uid="{8C02F605-5D01-44DC-BE50-875294015D4F}" name="Column14324"/>
    <tableColumn id="14330" xr3:uid="{A4D565CF-2481-48F5-842A-1C7DBCAC7339}" name="Column14325"/>
    <tableColumn id="14331" xr3:uid="{1F1EE908-BD11-48D5-BD78-C2FB80072438}" name="Column14326"/>
    <tableColumn id="14332" xr3:uid="{54661D32-5E01-464E-9D99-DCF9D6CC0A5A}" name="Column14327"/>
    <tableColumn id="14333" xr3:uid="{CDAA6CAC-B9FB-4A97-B370-DEDFB6E9C3AE}" name="Column14328"/>
    <tableColumn id="14334" xr3:uid="{24BA1C7C-21F0-4E39-A253-DE13A4BE9F65}" name="Column14329"/>
    <tableColumn id="14335" xr3:uid="{2BC704C6-C293-4DA2-9913-95A38EF1AA44}" name="Column14330"/>
    <tableColumn id="14336" xr3:uid="{7DB91F22-45F8-46AE-BB05-80BA41AE86DC}" name="Column14331"/>
    <tableColumn id="14337" xr3:uid="{BE3D7EA4-8A06-4E20-94CF-646D23453D91}" name="Column14332"/>
    <tableColumn id="14338" xr3:uid="{D9685CA8-9A61-4F8A-B6AB-761FC58CED2E}" name="Column14333"/>
    <tableColumn id="14339" xr3:uid="{D2577B56-A269-4CED-80C0-05C3E235B308}" name="Column14334"/>
    <tableColumn id="14340" xr3:uid="{3765AF61-7C01-4659-BFA6-97385723D979}" name="Column14335"/>
    <tableColumn id="14341" xr3:uid="{6DC07AA5-95B4-48FC-B4FF-A2965D5EB0EE}" name="Column14336"/>
    <tableColumn id="14342" xr3:uid="{753A5622-15A4-4922-9217-860214FC71DF}" name="Column14337"/>
    <tableColumn id="14343" xr3:uid="{5DA3EF40-4766-44EA-9FB2-12EAB9690B22}" name="Column14338"/>
    <tableColumn id="14344" xr3:uid="{7F48D5CE-3AEC-4BDB-BB68-5C19045F342F}" name="Column14339"/>
    <tableColumn id="14345" xr3:uid="{D9D33A22-8B3C-4E91-804E-11EF502C9D10}" name="Column14340"/>
    <tableColumn id="14346" xr3:uid="{EEC9C383-D716-4BD7-B256-E1D70D0D16BC}" name="Column14341"/>
    <tableColumn id="14347" xr3:uid="{3AC81CD6-5108-47E0-AEF7-3DF348DB2F95}" name="Column14342"/>
    <tableColumn id="14348" xr3:uid="{4E7FF816-8BAC-4F87-A24D-8EF1406E245C}" name="Column14343"/>
    <tableColumn id="14349" xr3:uid="{460D10A5-D20B-4980-8BF2-C8889D8BD7DD}" name="Column14344"/>
    <tableColumn id="14350" xr3:uid="{BE125A37-9987-4F48-86E3-C5D17F048866}" name="Column14345"/>
    <tableColumn id="14351" xr3:uid="{3198DD15-DF06-4851-8502-7A0C47E55FB5}" name="Column14346"/>
    <tableColumn id="14352" xr3:uid="{8E621332-95CC-4D52-9042-07E948230159}" name="Column14347"/>
    <tableColumn id="14353" xr3:uid="{6F87E8AF-4D0F-4904-8F49-995A14E2FF97}" name="Column14348"/>
    <tableColumn id="14354" xr3:uid="{BFBB71DF-71EF-435A-9B64-7CF161EB128B}" name="Column14349"/>
    <tableColumn id="14355" xr3:uid="{A6420BE7-BDB2-46AC-B57E-A5E0DB6E4073}" name="Column14350"/>
    <tableColumn id="14356" xr3:uid="{D37BEB19-DF12-49D7-8C93-906A8C3EDFAD}" name="Column14351"/>
    <tableColumn id="14357" xr3:uid="{EA674A60-117B-42A9-875E-29CFF986139D}" name="Column14352"/>
    <tableColumn id="14358" xr3:uid="{4DAF9099-FD77-49B1-9EBD-42ADBECAE59E}" name="Column14353"/>
    <tableColumn id="14359" xr3:uid="{D9F6B64A-6430-47BF-B882-1EF42F91E5DC}" name="Column14354"/>
    <tableColumn id="14360" xr3:uid="{9DF4291E-AB57-4985-9B12-0EFECC064B2D}" name="Column14355"/>
    <tableColumn id="14361" xr3:uid="{677ADA44-C960-4C89-9CDC-6392E1DD0AD4}" name="Column14356"/>
    <tableColumn id="14362" xr3:uid="{2FBBD16D-AE5D-41C6-9C1E-60ABDC8B1C9E}" name="Column14357"/>
    <tableColumn id="14363" xr3:uid="{1CD5E417-C1FB-4E30-976C-5FD3DD53C171}" name="Column14358"/>
    <tableColumn id="14364" xr3:uid="{FE4D57A7-2804-4D6E-80D4-C78C7A24ED78}" name="Column14359"/>
    <tableColumn id="14365" xr3:uid="{D2DAC3BE-ACB4-44A3-944A-4CFDB47BE8D2}" name="Column14360"/>
    <tableColumn id="14366" xr3:uid="{7C61D8C2-E29B-47E9-BE40-D026F16DA1C7}" name="Column14361"/>
    <tableColumn id="14367" xr3:uid="{6B906AD4-A2EF-4196-99B2-6D18E44718DD}" name="Column14362"/>
    <tableColumn id="14368" xr3:uid="{F6BAA510-3882-4C5A-A8D1-D63294AD3B02}" name="Column14363"/>
    <tableColumn id="14369" xr3:uid="{CBBD8C2C-C2DD-4775-8D0C-85E7ACEA9605}" name="Column14364"/>
    <tableColumn id="14370" xr3:uid="{7B912312-7342-466F-8494-50B12C1C3B0C}" name="Column14365"/>
    <tableColumn id="14371" xr3:uid="{1BC68D43-1A28-4842-9FAD-876302D1FEAF}" name="Column14366"/>
    <tableColumn id="14372" xr3:uid="{D45F2E40-8106-42C4-B83E-738C95E50EAD}" name="Column14367"/>
    <tableColumn id="14373" xr3:uid="{D034B1F5-8DBF-42B9-B054-50F970344F3B}" name="Column14368"/>
    <tableColumn id="14374" xr3:uid="{90883F8A-B2FC-4AA1-8003-564ACC59042A}" name="Column14369"/>
    <tableColumn id="14375" xr3:uid="{BE5C9F24-E6DE-4FF7-BB1C-F3092678A20C}" name="Column14370"/>
    <tableColumn id="14376" xr3:uid="{0E44D705-8958-445B-9A8B-698592C75F14}" name="Column14371"/>
    <tableColumn id="14377" xr3:uid="{77F1B4F1-A115-4863-BBB7-95DD544B06DB}" name="Column14372"/>
    <tableColumn id="14378" xr3:uid="{BAFFB655-13F1-43D9-B22F-3F0FA9F40C00}" name="Column14373"/>
    <tableColumn id="14379" xr3:uid="{AF6CE201-4B5A-4828-8894-4AB3219313EC}" name="Column14374"/>
    <tableColumn id="14380" xr3:uid="{8B9A5D54-6ADD-49F2-B00C-3EBC0C0666B8}" name="Column14375"/>
    <tableColumn id="14381" xr3:uid="{F2160BB4-A957-4ECE-ADD9-4122110B999A}" name="Column14376"/>
    <tableColumn id="14382" xr3:uid="{27C79A47-A9EB-4252-890B-9C1D81E0BB05}" name="Column14377"/>
    <tableColumn id="14383" xr3:uid="{81594D2C-B99E-44E6-B815-B48E54DE66FC}" name="Column14378"/>
    <tableColumn id="14384" xr3:uid="{277EE6D3-ABCE-4CF9-8099-EC41E54C01B9}" name="Column14379"/>
    <tableColumn id="14385" xr3:uid="{8C58CDBA-4587-4D50-AC45-1AE426290740}" name="Column14380"/>
    <tableColumn id="14386" xr3:uid="{E2F8CB04-10DB-452C-833B-A72919644F0F}" name="Column14381"/>
    <tableColumn id="14387" xr3:uid="{D6663577-0AF1-4C52-9D6B-7FC10C1ED0C5}" name="Column14382"/>
    <tableColumn id="14388" xr3:uid="{8C533949-C360-4285-8B5E-6EBB68893B41}" name="Column14383"/>
    <tableColumn id="14389" xr3:uid="{5C0AF3EF-5310-42A0-B190-E9FCD4FDF978}" name="Column14384"/>
    <tableColumn id="14390" xr3:uid="{D88812F0-2DCB-45AF-A36B-3576AE70D758}" name="Column14385"/>
    <tableColumn id="14391" xr3:uid="{D3940BAD-D568-4E49-BB48-0B546A8C54A0}" name="Column14386"/>
    <tableColumn id="14392" xr3:uid="{E84EF9C8-B6BD-4B70-A3B9-90279054E941}" name="Column14387"/>
    <tableColumn id="14393" xr3:uid="{B4DCFD6C-12A0-4187-8963-4E2B13927A2E}" name="Column14388"/>
    <tableColumn id="14394" xr3:uid="{5CB510D7-C5E5-417B-B708-986DB54DF450}" name="Column14389"/>
    <tableColumn id="14395" xr3:uid="{9F151D33-1AA8-4E6B-9D88-B8603D1F03E5}" name="Column14390"/>
    <tableColumn id="14396" xr3:uid="{0487718A-DF7A-4F5E-98D7-B2455ACD7F7A}" name="Column14391"/>
    <tableColumn id="14397" xr3:uid="{FBC4FDF5-B71F-4B0B-A950-BD7AB3E12384}" name="Column14392"/>
    <tableColumn id="14398" xr3:uid="{3979DC40-FCCC-4C1D-A27F-B22A02C92D5A}" name="Column14393"/>
    <tableColumn id="14399" xr3:uid="{5C580631-D6CC-470C-98CB-A17455537785}" name="Column14394"/>
    <tableColumn id="14400" xr3:uid="{41602459-3BD8-4A57-B611-BF3B94A4718B}" name="Column14395"/>
    <tableColumn id="14401" xr3:uid="{21CB7B4F-9C63-4AA1-83B6-58E8D67A0BEC}" name="Column14396"/>
    <tableColumn id="14402" xr3:uid="{DAB758E2-27E8-4BB0-AED9-F4AD6C5B09BF}" name="Column14397"/>
    <tableColumn id="14403" xr3:uid="{2E093A49-FA03-4C1F-8370-4C8454F29177}" name="Column14398"/>
    <tableColumn id="14404" xr3:uid="{68A52C96-5AA1-4D35-8A3C-A8E9A444DC2D}" name="Column14399"/>
    <tableColumn id="14405" xr3:uid="{E0E905A6-B3A3-431E-9AAA-5E8C1B7C3A39}" name="Column14400"/>
    <tableColumn id="14406" xr3:uid="{821EF093-8951-45D3-8616-73B2B1EB2DCA}" name="Column14401"/>
    <tableColumn id="14407" xr3:uid="{2BA09FE0-3C3B-4666-8919-BAF30570B72E}" name="Column14402"/>
    <tableColumn id="14408" xr3:uid="{1F5AD0CF-AD73-41CC-9CD3-A7575C89749E}" name="Column14403"/>
    <tableColumn id="14409" xr3:uid="{4688CB00-B0ED-429C-8F70-90AA19B959CD}" name="Column14404"/>
    <tableColumn id="14410" xr3:uid="{80B6220B-F7DF-492D-AD65-CBF26C5C9772}" name="Column14405"/>
    <tableColumn id="14411" xr3:uid="{C0341869-5D06-4610-A96F-CAF3B7C89BD3}" name="Column14406"/>
    <tableColumn id="14412" xr3:uid="{C934A233-214E-4BDE-9A1C-3ACC2F0724A6}" name="Column14407"/>
    <tableColumn id="14413" xr3:uid="{9265B569-E30C-4953-A97F-A54AE1F019B9}" name="Column14408"/>
    <tableColumn id="14414" xr3:uid="{FE96829B-C915-4CBA-AA27-C34BBECFF8E3}" name="Column14409"/>
    <tableColumn id="14415" xr3:uid="{5B2E72D4-6A46-4016-A8C3-9F36881CB871}" name="Column14410"/>
    <tableColumn id="14416" xr3:uid="{CD804BFA-9220-471D-897C-10C827F28C61}" name="Column14411"/>
    <tableColumn id="14417" xr3:uid="{4F312AEB-72B7-473A-AB09-34739AFD7282}" name="Column14412"/>
    <tableColumn id="14418" xr3:uid="{F509CEAB-4048-48E6-8009-47756B042C7B}" name="Column14413"/>
    <tableColumn id="14419" xr3:uid="{7B170607-94D7-454E-A76E-9DF719EBEEE9}" name="Column14414"/>
    <tableColumn id="14420" xr3:uid="{39F4652E-03BA-47A5-B859-22129F599599}" name="Column14415"/>
    <tableColumn id="14421" xr3:uid="{C32167DB-F2A3-47DE-9555-2B3BA4DBA342}" name="Column14416"/>
    <tableColumn id="14422" xr3:uid="{26ADC454-14B6-43FE-B928-87A677BF6C21}" name="Column14417"/>
    <tableColumn id="14423" xr3:uid="{62E2C63F-D47F-4032-81AC-1B70F83944F9}" name="Column14418"/>
    <tableColumn id="14424" xr3:uid="{0E99FACC-7EDC-4468-BDA0-0820875A71CC}" name="Column14419"/>
    <tableColumn id="14425" xr3:uid="{C1FEAD89-EBFF-45E0-8773-C35113446CC7}" name="Column14420"/>
    <tableColumn id="14426" xr3:uid="{2F7BD1AC-E0ED-4592-A965-911D1A63841B}" name="Column14421"/>
    <tableColumn id="14427" xr3:uid="{DD9788F1-3F6D-49FA-B943-388C32CDB04B}" name="Column14422"/>
    <tableColumn id="14428" xr3:uid="{340241F6-EA13-4F25-8C35-6A22D7AC8744}" name="Column14423"/>
    <tableColumn id="14429" xr3:uid="{AADFD3F2-96B1-45C4-88F3-DCAAF6793025}" name="Column14424"/>
    <tableColumn id="14430" xr3:uid="{FE740A9C-A10A-4D6D-8B27-361A43339738}" name="Column14425"/>
    <tableColumn id="14431" xr3:uid="{A0CED6B1-8B10-4F3B-8383-B9E0EED4D404}" name="Column14426"/>
    <tableColumn id="14432" xr3:uid="{804AB1D5-DE06-4070-A85B-6D5A17704C5D}" name="Column14427"/>
    <tableColumn id="14433" xr3:uid="{123BDD2E-1056-4F05-B11B-C8E69D82CDDA}" name="Column14428"/>
    <tableColumn id="14434" xr3:uid="{6EC9897F-5A61-494F-9F38-5C450362638D}" name="Column14429"/>
    <tableColumn id="14435" xr3:uid="{A0CE9AD6-3C8B-48F6-9B1B-7D8A819AE64D}" name="Column14430"/>
    <tableColumn id="14436" xr3:uid="{93004AA4-5E5E-4A2E-B4FE-D2C238FFAB3C}" name="Column14431"/>
    <tableColumn id="14437" xr3:uid="{44D03387-0CEA-4829-A9DA-7C17FAAF605F}" name="Column14432"/>
    <tableColumn id="14438" xr3:uid="{C5ECAB1F-9126-4BBC-895E-1E63CA98E822}" name="Column14433"/>
    <tableColumn id="14439" xr3:uid="{19EC272A-5C4C-4A7C-907B-B6036D2C84C7}" name="Column14434"/>
    <tableColumn id="14440" xr3:uid="{D184D5AD-30F9-488F-AEDD-8C78DD0F82C4}" name="Column14435"/>
    <tableColumn id="14441" xr3:uid="{BDCD98BF-A6C7-4475-8853-076DBAD0CD93}" name="Column14436"/>
    <tableColumn id="14442" xr3:uid="{92D7C763-4D82-41F4-AA23-EB041ECBC13B}" name="Column14437"/>
    <tableColumn id="14443" xr3:uid="{5D062A49-F3EF-4BF1-BFCE-49C50472A028}" name="Column14438"/>
    <tableColumn id="14444" xr3:uid="{6AA3E3D5-0F3D-47C2-BE6C-3D62AFA5E1AE}" name="Column14439"/>
    <tableColumn id="14445" xr3:uid="{ECA81725-C2E7-4BA5-89CA-3F093E9BC732}" name="Column14440"/>
    <tableColumn id="14446" xr3:uid="{35E08D90-8063-4F1C-A83F-A3789DDE849D}" name="Column14441"/>
    <tableColumn id="14447" xr3:uid="{881785A6-4D23-4897-9FF3-8C0C5A2AFE81}" name="Column14442"/>
    <tableColumn id="14448" xr3:uid="{68B28178-8108-4C3E-BDF7-55B97506044C}" name="Column14443"/>
    <tableColumn id="14449" xr3:uid="{0DC5CEAF-5BD3-4EC6-B7B0-1274557181AE}" name="Column14444"/>
    <tableColumn id="14450" xr3:uid="{BBFDD9C4-580C-4E49-B299-4F76DDA0BA15}" name="Column14445"/>
    <tableColumn id="14451" xr3:uid="{15143691-6B33-43F9-A7C8-6806AD6772CF}" name="Column14446"/>
    <tableColumn id="14452" xr3:uid="{A7D9F087-94C5-4C75-BC94-6428E6C772C1}" name="Column14447"/>
    <tableColumn id="14453" xr3:uid="{5F7A4F20-39DD-4ED8-8A9C-E232E6B3F9DE}" name="Column14448"/>
    <tableColumn id="14454" xr3:uid="{6398BD80-0963-408F-9F51-761360245ADE}" name="Column14449"/>
    <tableColumn id="14455" xr3:uid="{B59C6B22-9BBB-4EDE-8890-2536EB8D9C94}" name="Column14450"/>
    <tableColumn id="14456" xr3:uid="{4E8A4281-7667-4C63-88D4-E0B6534C0917}" name="Column14451"/>
    <tableColumn id="14457" xr3:uid="{2762F8A0-CFD2-4B8B-812C-E586A1F86B91}" name="Column14452"/>
    <tableColumn id="14458" xr3:uid="{3D0DD6F1-4C8C-41FA-BC81-451EFC857A87}" name="Column14453"/>
    <tableColumn id="14459" xr3:uid="{BE7A02BE-9014-4BA9-A07F-788EB765A13C}" name="Column14454"/>
    <tableColumn id="14460" xr3:uid="{A7167638-CCBD-41E1-AC26-B3978C145701}" name="Column14455"/>
    <tableColumn id="14461" xr3:uid="{FE5C7182-8CC2-4A2B-A196-21C72D186FC0}" name="Column14456"/>
    <tableColumn id="14462" xr3:uid="{BD9B6481-6F0B-4E04-B20A-72C2C6A2AE10}" name="Column14457"/>
    <tableColumn id="14463" xr3:uid="{F1DDECE1-492B-4863-BB56-08CDBE2B9870}" name="Column14458"/>
    <tableColumn id="14464" xr3:uid="{824CB487-059A-4332-B9C4-254210FC021B}" name="Column14459"/>
    <tableColumn id="14465" xr3:uid="{ECEBCEB1-BFED-4047-B897-451B665168E0}" name="Column14460"/>
    <tableColumn id="14466" xr3:uid="{8A60F06E-3722-468C-83A2-0FC25749DA64}" name="Column14461"/>
    <tableColumn id="14467" xr3:uid="{E01B9257-D273-4AFB-AACD-F20B96A28B85}" name="Column14462"/>
    <tableColumn id="14468" xr3:uid="{88AB5C9E-0570-4E58-AC38-AE0665467B72}" name="Column14463"/>
    <tableColumn id="14469" xr3:uid="{73D420D7-6643-4A35-9481-20DD42CB0B81}" name="Column14464"/>
    <tableColumn id="14470" xr3:uid="{7247B313-CFB8-4AD8-ABEC-953E6F492A8E}" name="Column14465"/>
    <tableColumn id="14471" xr3:uid="{C3E23114-D264-4A37-A844-8EE6A6756E23}" name="Column14466"/>
    <tableColumn id="14472" xr3:uid="{E21E2BF4-9764-4E48-B4B6-8BFA04FD7E41}" name="Column14467"/>
    <tableColumn id="14473" xr3:uid="{FBF680F5-11DA-4A78-BEE9-5B39F0FF22F7}" name="Column14468"/>
    <tableColumn id="14474" xr3:uid="{4686074F-7088-4FB3-85DE-B9403B5DE91E}" name="Column14469"/>
    <tableColumn id="14475" xr3:uid="{8968A08C-2718-412B-88CA-A2CF5D6CFAD5}" name="Column14470"/>
    <tableColumn id="14476" xr3:uid="{248A8112-118F-42F3-9C16-A0150ED25755}" name="Column14471"/>
    <tableColumn id="14477" xr3:uid="{4F6531A5-A86A-4650-B2B2-7747E0ADB517}" name="Column14472"/>
    <tableColumn id="14478" xr3:uid="{E5B793B2-FE31-421A-8E4E-74B0298705D3}" name="Column14473"/>
    <tableColumn id="14479" xr3:uid="{757ADDBB-E8BA-49D2-AB03-6DE79F2A25DA}" name="Column14474"/>
    <tableColumn id="14480" xr3:uid="{82D271E0-2D89-4A45-A8CA-8F43048130BC}" name="Column14475"/>
    <tableColumn id="14481" xr3:uid="{7E5E5F17-B0E7-4DA0-8CB9-EEEA5D55917B}" name="Column14476"/>
    <tableColumn id="14482" xr3:uid="{C3CF9778-25C3-4E07-855B-65C4DABD26C0}" name="Column14477"/>
    <tableColumn id="14483" xr3:uid="{DB27AA9B-64F3-4F42-9276-9186F8E48DC7}" name="Column14478"/>
    <tableColumn id="14484" xr3:uid="{679A9797-36EA-4AFE-8D32-7AC3B03289AA}" name="Column14479"/>
    <tableColumn id="14485" xr3:uid="{598C0D8D-7941-4728-BDE8-245592316FAC}" name="Column14480"/>
    <tableColumn id="14486" xr3:uid="{422E5314-2B36-4485-9EC7-0F89BD845861}" name="Column14481"/>
    <tableColumn id="14487" xr3:uid="{5C256344-69F2-44C4-8B5F-7EE587B4C3BE}" name="Column14482"/>
    <tableColumn id="14488" xr3:uid="{AE558971-A8A3-419D-A1D6-8E28422AF1B0}" name="Column14483"/>
    <tableColumn id="14489" xr3:uid="{11E2BAA1-BD87-40C8-AE8A-204C4EBA85AB}" name="Column14484"/>
    <tableColumn id="14490" xr3:uid="{10650FC7-1E5B-49F5-BDCF-BC6D0CFE7A73}" name="Column14485"/>
    <tableColumn id="14491" xr3:uid="{87C01B83-E8B4-4681-B79C-2F33BC416FB2}" name="Column14486"/>
    <tableColumn id="14492" xr3:uid="{1A652578-A521-4130-A718-147C463D03B3}" name="Column14487"/>
    <tableColumn id="14493" xr3:uid="{A90B5A19-6DAB-461F-B68A-81AABC7E5B0C}" name="Column14488"/>
    <tableColumn id="14494" xr3:uid="{596B3809-52D5-4E47-9D73-CBFEC50F5B5A}" name="Column14489"/>
    <tableColumn id="14495" xr3:uid="{DDEE5625-9291-4D7B-88FF-805C2DA8C4BB}" name="Column14490"/>
    <tableColumn id="14496" xr3:uid="{C405A96D-137C-4787-AC85-5EAA454D1E88}" name="Column14491"/>
    <tableColumn id="14497" xr3:uid="{97DD450B-CCCE-4E47-BD75-24C0DD93049E}" name="Column14492"/>
    <tableColumn id="14498" xr3:uid="{8638C24A-338D-44BF-B436-3C19176EFB1B}" name="Column14493"/>
    <tableColumn id="14499" xr3:uid="{74242F53-2D00-45D4-991E-EAEAA772A352}" name="Column14494"/>
    <tableColumn id="14500" xr3:uid="{3A7F443A-01FA-4E31-A10E-1D27898EDD8C}" name="Column14495"/>
    <tableColumn id="14501" xr3:uid="{5B026751-4249-4A24-A02F-ECA369D0B084}" name="Column14496"/>
    <tableColumn id="14502" xr3:uid="{6FD36B0C-21E3-4E07-A5D2-3854874978FC}" name="Column14497"/>
    <tableColumn id="14503" xr3:uid="{C7FB049E-16CB-4AF4-A09B-723187F60AC6}" name="Column14498"/>
    <tableColumn id="14504" xr3:uid="{2532964D-C775-429D-9AD0-29D059A19CF0}" name="Column14499"/>
    <tableColumn id="14505" xr3:uid="{1D1C3351-A381-4639-A528-679EF8ED1C31}" name="Column14500"/>
    <tableColumn id="14506" xr3:uid="{BF8A9DA2-663F-45C2-B839-9B7575F4340E}" name="Column14501"/>
    <tableColumn id="14507" xr3:uid="{90E45982-48F9-400F-B708-F87744B7DD8A}" name="Column14502"/>
    <tableColumn id="14508" xr3:uid="{529E9BA1-2337-428D-8083-3F51823FEBE6}" name="Column14503"/>
    <tableColumn id="14509" xr3:uid="{9B541F48-28D9-49D4-BE90-96494E313164}" name="Column14504"/>
    <tableColumn id="14510" xr3:uid="{22BE03A1-7FB0-4BE6-86F5-2803D208495D}" name="Column14505"/>
    <tableColumn id="14511" xr3:uid="{1A176610-E843-4AD9-93F2-93337F65B80C}" name="Column14506"/>
    <tableColumn id="14512" xr3:uid="{D520BB25-7F5C-4373-BA3A-413F62289945}" name="Column14507"/>
    <tableColumn id="14513" xr3:uid="{46C40F4B-650A-4178-9279-69E24AE83139}" name="Column14508"/>
    <tableColumn id="14514" xr3:uid="{F791D6FA-B244-4E6E-A8B9-8084FA02917B}" name="Column14509"/>
    <tableColumn id="14515" xr3:uid="{2AFB4C50-96D5-4C76-9F8F-F2CFB37208F9}" name="Column14510"/>
    <tableColumn id="14516" xr3:uid="{0A82E6C5-FE94-480F-82AD-0DE2836AFFA8}" name="Column14511"/>
    <tableColumn id="14517" xr3:uid="{9FBDFDE4-3DD9-4B26-AD9E-29E079B4A777}" name="Column14512"/>
    <tableColumn id="14518" xr3:uid="{1846A0F8-C013-46F8-92F3-1CDDC1A6BD31}" name="Column14513"/>
    <tableColumn id="14519" xr3:uid="{CC34CB94-42FC-4D29-A216-7A7C62F0D145}" name="Column14514"/>
    <tableColumn id="14520" xr3:uid="{E32BDA3F-E095-4E77-9310-AD79F3DACB8E}" name="Column14515"/>
    <tableColumn id="14521" xr3:uid="{DCC6A121-8FF9-48AC-A82B-558D27696384}" name="Column14516"/>
    <tableColumn id="14522" xr3:uid="{491A7387-AA37-4ED3-B0C9-357B7C08DBCD}" name="Column14517"/>
    <tableColumn id="14523" xr3:uid="{5EF8ABAD-CA3B-42E2-BD07-8BC2390DCE05}" name="Column14518"/>
    <tableColumn id="14524" xr3:uid="{C5C2A46B-1575-481A-8A47-21B1AE3A016B}" name="Column14519"/>
    <tableColumn id="14525" xr3:uid="{C27FCDB3-B38C-48FA-826D-005A0E4C8124}" name="Column14520"/>
    <tableColumn id="14526" xr3:uid="{D5DE69B0-283D-4935-8EF5-AAC53D1589C9}" name="Column14521"/>
    <tableColumn id="14527" xr3:uid="{10F37247-957F-4A73-95C0-6846B2B2AC7A}" name="Column14522"/>
    <tableColumn id="14528" xr3:uid="{62523168-358F-4353-AAE4-3DF1DAF4F3ED}" name="Column14523"/>
    <tableColumn id="14529" xr3:uid="{A77A1E2E-9269-4F50-83FA-A8D597202C7E}" name="Column14524"/>
    <tableColumn id="14530" xr3:uid="{8D5FBE5A-8EE2-4E02-B657-C5A3B3444E0C}" name="Column14525"/>
    <tableColumn id="14531" xr3:uid="{B36A3EEC-9AE0-4E82-A300-2048B8749BE6}" name="Column14526"/>
    <tableColumn id="14532" xr3:uid="{CB1A22CD-F742-4F2B-924D-F5D68580CDCB}" name="Column14527"/>
    <tableColumn id="14533" xr3:uid="{B9E1873A-EAEF-45DC-B3C0-CA6068A6FA7C}" name="Column14528"/>
    <tableColumn id="14534" xr3:uid="{DDE44384-5AAD-48B3-9FF3-20D2F39B2B09}" name="Column14529"/>
    <tableColumn id="14535" xr3:uid="{662FD3F0-17D1-46BB-BA03-01C8267D4812}" name="Column14530"/>
    <tableColumn id="14536" xr3:uid="{01AA2178-F612-4BEA-A5EA-DAE456CFD88D}" name="Column14531"/>
    <tableColumn id="14537" xr3:uid="{0F566B3C-34A5-4085-98C2-15F717892E41}" name="Column14532"/>
    <tableColumn id="14538" xr3:uid="{57698549-EC23-4673-B265-BECF9A21C995}" name="Column14533"/>
    <tableColumn id="14539" xr3:uid="{9D80B876-7B56-47FA-8A52-9326CFC48571}" name="Column14534"/>
    <tableColumn id="14540" xr3:uid="{F8B4822D-F49C-40F5-9EDE-2A21261CE859}" name="Column14535"/>
    <tableColumn id="14541" xr3:uid="{E8F59B25-CA34-4570-93D1-416B5C4487B9}" name="Column14536"/>
    <tableColumn id="14542" xr3:uid="{A6679E4C-7384-4A78-B032-2A02033FAD5C}" name="Column14537"/>
    <tableColumn id="14543" xr3:uid="{CF5A25FA-3413-4A25-870E-897521A455F4}" name="Column14538"/>
    <tableColumn id="14544" xr3:uid="{DB0363C6-800B-4130-934D-D99DEE171382}" name="Column14539"/>
    <tableColumn id="14545" xr3:uid="{610F7BB7-3BB4-41FF-B4F6-F232E910F4E9}" name="Column14540"/>
    <tableColumn id="14546" xr3:uid="{21DD6D12-E9D9-43D1-B585-B0B86094CBC0}" name="Column14541"/>
    <tableColumn id="14547" xr3:uid="{3F450FAE-DAF9-4512-A69E-B7844941BE9D}" name="Column14542"/>
    <tableColumn id="14548" xr3:uid="{67F41F3A-90A8-4F90-B194-FCE1A1BCEC58}" name="Column14543"/>
    <tableColumn id="14549" xr3:uid="{706A9DE3-9E3F-460E-AB16-F00A9AD79C9C}" name="Column14544"/>
    <tableColumn id="14550" xr3:uid="{6BD3BB89-845A-4A5C-89CD-E2F28512FF52}" name="Column14545"/>
    <tableColumn id="14551" xr3:uid="{F7270423-CC17-4989-88EC-A94ACB5E969F}" name="Column14546"/>
    <tableColumn id="14552" xr3:uid="{E455BD6E-5FA0-401E-B870-E6B626C6663C}" name="Column14547"/>
    <tableColumn id="14553" xr3:uid="{0313817D-9C58-48A2-B0A8-83C5F8A2F849}" name="Column14548"/>
    <tableColumn id="14554" xr3:uid="{43AAF116-826B-430F-8F36-DD022CBEA2EE}" name="Column14549"/>
    <tableColumn id="14555" xr3:uid="{1222F758-5706-461D-9CE0-AD4EA903B402}" name="Column14550"/>
    <tableColumn id="14556" xr3:uid="{A1D33060-8CFE-49D0-9BD0-DF0B5BF4C628}" name="Column14551"/>
    <tableColumn id="14557" xr3:uid="{434C6BAC-D45A-43D6-803E-067284F32907}" name="Column14552"/>
    <tableColumn id="14558" xr3:uid="{5822BDCD-E78D-4BFD-9650-ECA57F866B61}" name="Column14553"/>
    <tableColumn id="14559" xr3:uid="{50641042-FBB8-4356-BEBA-0E0471448DFF}" name="Column14554"/>
    <tableColumn id="14560" xr3:uid="{72330709-C5E1-423F-9F3B-5FE1A4E4866F}" name="Column14555"/>
    <tableColumn id="14561" xr3:uid="{F04BB166-8A22-4BEA-87D3-9F7F1E9C02C3}" name="Column14556"/>
    <tableColumn id="14562" xr3:uid="{D6C2C915-7007-4985-9FE1-1321D1067478}" name="Column14557"/>
    <tableColumn id="14563" xr3:uid="{BCC8D6CE-D9DC-4DFD-9E89-199825D97269}" name="Column14558"/>
    <tableColumn id="14564" xr3:uid="{DDC2251F-3583-4C54-B0ED-31F9C3EE5BE5}" name="Column14559"/>
    <tableColumn id="14565" xr3:uid="{E2F7B6FE-E7D7-4E1A-AEC0-81C3DE566516}" name="Column14560"/>
    <tableColumn id="14566" xr3:uid="{B1282F76-E9EE-4EFD-BA37-40A3475DFB8B}" name="Column14561"/>
    <tableColumn id="14567" xr3:uid="{3A89268E-9E94-49C6-B57D-FB17134B16E6}" name="Column14562"/>
    <tableColumn id="14568" xr3:uid="{26C05476-39CC-4D3C-9903-F2225BC09781}" name="Column14563"/>
    <tableColumn id="14569" xr3:uid="{0B1B1985-AE50-486E-8F91-3A641110AA65}" name="Column14564"/>
    <tableColumn id="14570" xr3:uid="{7BAFB0BE-EF4A-48F7-93A8-354C1E221A09}" name="Column14565"/>
    <tableColumn id="14571" xr3:uid="{F828826D-2ED5-4D3F-9B3D-AECBAC6588D6}" name="Column14566"/>
    <tableColumn id="14572" xr3:uid="{FDA5396A-12E7-44F6-BA9E-09BFC32DCF87}" name="Column14567"/>
    <tableColumn id="14573" xr3:uid="{63586207-A741-48F7-A9CE-90CB6F9DD3DE}" name="Column14568"/>
    <tableColumn id="14574" xr3:uid="{3DFDAC5D-2B91-4D20-B122-384585E2A98A}" name="Column14569"/>
    <tableColumn id="14575" xr3:uid="{2C6C717E-7F94-4522-8485-A588844CF538}" name="Column14570"/>
    <tableColumn id="14576" xr3:uid="{9D58EBDD-5689-4FFC-803F-788C299ED867}" name="Column14571"/>
    <tableColumn id="14577" xr3:uid="{7F6088B3-CC06-4DC8-956F-B95FB288EB65}" name="Column14572"/>
    <tableColumn id="14578" xr3:uid="{4C95B788-D6F1-46AF-9702-1602C82FFC89}" name="Column14573"/>
    <tableColumn id="14579" xr3:uid="{49927C6E-F862-41B7-A29B-734685E7031A}" name="Column14574"/>
    <tableColumn id="14580" xr3:uid="{3E532F0D-F3B9-47A8-B047-0A485BE12F2A}" name="Column14575"/>
    <tableColumn id="14581" xr3:uid="{D3FC4E54-E107-43CC-A0FF-E12187EE565F}" name="Column14576"/>
    <tableColumn id="14582" xr3:uid="{25E6306A-CC0A-4306-9DA1-4DC87C9BB145}" name="Column14577"/>
    <tableColumn id="14583" xr3:uid="{4C52E1F5-1112-48D2-8AFB-6E11AEFEFA32}" name="Column14578"/>
    <tableColumn id="14584" xr3:uid="{2AC92008-6899-4CA7-9BC6-01F13EB74967}" name="Column14579"/>
    <tableColumn id="14585" xr3:uid="{FD853ED7-264A-4881-989E-8DF379E92133}" name="Column14580"/>
    <tableColumn id="14586" xr3:uid="{EFAD1FC1-1712-4E93-9E2E-C0702A0795A1}" name="Column14581"/>
    <tableColumn id="14587" xr3:uid="{C1D39BA4-FBDE-4F2D-B29D-576BF50B98D7}" name="Column14582"/>
    <tableColumn id="14588" xr3:uid="{0CA2257C-5043-4843-B312-67A99F899BC9}" name="Column14583"/>
    <tableColumn id="14589" xr3:uid="{6F14EF3F-890D-4724-B042-7A41C28D4B9E}" name="Column14584"/>
    <tableColumn id="14590" xr3:uid="{2A3B2CBC-BF55-4A37-B5D6-C05E85A3BBCD}" name="Column14585"/>
    <tableColumn id="14591" xr3:uid="{9F0699A3-B935-40D7-8627-EB80BD79352B}" name="Column14586"/>
    <tableColumn id="14592" xr3:uid="{6290D9F3-4DAB-48E2-83AA-9ACBDEBF198A}" name="Column14587"/>
    <tableColumn id="14593" xr3:uid="{297A936A-8CD0-4965-83AA-4C4E5FAF67B0}" name="Column14588"/>
    <tableColumn id="14594" xr3:uid="{C45F77BE-AC98-427E-A3D2-D831151BF777}" name="Column14589"/>
    <tableColumn id="14595" xr3:uid="{8855695B-47BB-40B9-BBA5-3BDBDF758C27}" name="Column14590"/>
    <tableColumn id="14596" xr3:uid="{1D7C4FFF-8661-4F95-AAFF-D88F8BF45454}" name="Column14591"/>
    <tableColumn id="14597" xr3:uid="{E434695A-6F81-4AE7-8D89-58616BB41089}" name="Column14592"/>
    <tableColumn id="14598" xr3:uid="{26C88B99-EA81-4436-B9E6-C465E8D66439}" name="Column14593"/>
    <tableColumn id="14599" xr3:uid="{3DAD054F-E964-420A-87FA-13E5C757F050}" name="Column14594"/>
    <tableColumn id="14600" xr3:uid="{951A1A17-CB86-4BD9-9C79-B6E3F6F18D4C}" name="Column14595"/>
    <tableColumn id="14601" xr3:uid="{D9311845-0A2B-46B7-8477-B23904C4CC85}" name="Column14596"/>
    <tableColumn id="14602" xr3:uid="{B2F15C99-3DCB-4178-ADB1-8F89D0CBBD7E}" name="Column14597"/>
    <tableColumn id="14603" xr3:uid="{3EB4E89F-FC28-4593-A1EB-B035F9C73FA1}" name="Column14598"/>
    <tableColumn id="14604" xr3:uid="{88C4DE86-C8E5-4294-8B60-A6CDD72B5DE0}" name="Column14599"/>
    <tableColumn id="14605" xr3:uid="{934D3809-5F12-4F4C-B916-0CD1DC512B0B}" name="Column14600"/>
    <tableColumn id="14606" xr3:uid="{1AA0ACCF-9F0E-4143-B146-9E79F36DCCA5}" name="Column14601"/>
    <tableColumn id="14607" xr3:uid="{BE12B6EA-6910-48C6-9F52-987E151F01C0}" name="Column14602"/>
    <tableColumn id="14608" xr3:uid="{3B273B08-D24E-4B27-BC71-B09840B08CFE}" name="Column14603"/>
    <tableColumn id="14609" xr3:uid="{D3D28087-AC8A-4BBF-94F6-ABC8B2C3AD9B}" name="Column14604"/>
    <tableColumn id="14610" xr3:uid="{24E1D3B9-A01E-428F-9B6A-DC4A6F43DCEC}" name="Column14605"/>
    <tableColumn id="14611" xr3:uid="{1FCD9C0D-15B5-45BA-9E21-24DBDD338CEB}" name="Column14606"/>
    <tableColumn id="14612" xr3:uid="{F3BA8CD9-4D1F-431C-844E-B7F6C5577D7A}" name="Column14607"/>
    <tableColumn id="14613" xr3:uid="{662381FC-6C7C-4917-A1F9-0A216CAD0F83}" name="Column14608"/>
    <tableColumn id="14614" xr3:uid="{8B7E1182-A231-4C67-A21C-9D31AD4B1CB6}" name="Column14609"/>
    <tableColumn id="14615" xr3:uid="{F3E16426-6CBD-400E-A0ED-E64A9B1C244F}" name="Column14610"/>
    <tableColumn id="14616" xr3:uid="{11FD5C14-CC8C-400B-AC2A-C0E774AC905B}" name="Column14611"/>
    <tableColumn id="14617" xr3:uid="{9701577B-2397-4892-A895-3D882D3BDA32}" name="Column14612"/>
    <tableColumn id="14618" xr3:uid="{804BC3FF-86EA-4A3C-A121-A593A3849EC6}" name="Column14613"/>
    <tableColumn id="14619" xr3:uid="{17B57ACA-B3B1-407A-AC49-BDA33BF6C1AC}" name="Column14614"/>
    <tableColumn id="14620" xr3:uid="{2B683E94-24D1-4D1F-82F2-ACBAE0E01E87}" name="Column14615"/>
    <tableColumn id="14621" xr3:uid="{76DD6BFD-964B-404E-BEB5-DCD3138EAA42}" name="Column14616"/>
    <tableColumn id="14622" xr3:uid="{93B738EE-CF5C-4D8B-8183-E3A55E25EDF5}" name="Column14617"/>
    <tableColumn id="14623" xr3:uid="{68FF52C4-9C66-456D-8E5F-69C3C6F2B973}" name="Column14618"/>
    <tableColumn id="14624" xr3:uid="{2C02A74E-844C-449A-9703-91561D326456}" name="Column14619"/>
    <tableColumn id="14625" xr3:uid="{4EEF3786-511E-4625-B415-CC29C149265D}" name="Column14620"/>
    <tableColumn id="14626" xr3:uid="{4B9C02DC-60F7-45DD-AB17-41318CBF6E29}" name="Column14621"/>
    <tableColumn id="14627" xr3:uid="{00193880-7BAA-47FB-B505-26B299824C77}" name="Column14622"/>
    <tableColumn id="14628" xr3:uid="{7986CB4E-55A4-4DC2-90E1-9091AEE1672D}" name="Column14623"/>
    <tableColumn id="14629" xr3:uid="{78E29EE0-C0FF-4996-83E1-55C1476C9728}" name="Column14624"/>
    <tableColumn id="14630" xr3:uid="{36E1ED65-E39E-4659-9B39-5A44F3C5F520}" name="Column14625"/>
    <tableColumn id="14631" xr3:uid="{C302CE02-8D66-42E4-9078-C66AFDD14133}" name="Column14626"/>
    <tableColumn id="14632" xr3:uid="{CACAADBF-6C7D-481C-9AEE-A58FEBA0900B}" name="Column14627"/>
    <tableColumn id="14633" xr3:uid="{9C63F7B3-8DB9-47C7-83F1-E4354AA88D90}" name="Column14628"/>
    <tableColumn id="14634" xr3:uid="{10C74693-699C-441A-A011-C1768187214B}" name="Column14629"/>
    <tableColumn id="14635" xr3:uid="{AF0105A1-A725-43F0-9520-48BB3273C53E}" name="Column14630"/>
    <tableColumn id="14636" xr3:uid="{C0585677-D0D8-4792-BD7F-66FC45B3BD6B}" name="Column14631"/>
    <tableColumn id="14637" xr3:uid="{DBDCC8B8-6C25-4830-B6CD-BF0BEFBD7DAB}" name="Column14632"/>
    <tableColumn id="14638" xr3:uid="{F7AFBAEB-3828-44AC-85D6-A20767F1F5AF}" name="Column14633"/>
    <tableColumn id="14639" xr3:uid="{F2A4CFDB-B4E0-433C-B138-010A0A94179E}" name="Column14634"/>
    <tableColumn id="14640" xr3:uid="{61EE54C7-7973-4E64-A174-CB4D6702F020}" name="Column14635"/>
    <tableColumn id="14641" xr3:uid="{7FA6F638-12A7-4333-AC21-4BFD74CF6271}" name="Column14636"/>
    <tableColumn id="14642" xr3:uid="{8E41BFC1-BDE7-4F4D-A672-553F851B7656}" name="Column14637"/>
    <tableColumn id="14643" xr3:uid="{0E181FEE-E239-46A3-9DF0-B0F031D6A730}" name="Column14638"/>
    <tableColumn id="14644" xr3:uid="{DEE24970-95B0-45F1-9A7D-BDAF908755DA}" name="Column14639"/>
    <tableColumn id="14645" xr3:uid="{F7F8EB4B-8417-4D0B-A5A7-A8478773DC50}" name="Column14640"/>
    <tableColumn id="14646" xr3:uid="{E5308C49-7C30-4E0A-942F-A8C7FD8229BB}" name="Column14641"/>
    <tableColumn id="14647" xr3:uid="{CF334597-F431-45CD-AF38-9BF849E7E7B0}" name="Column14642"/>
    <tableColumn id="14648" xr3:uid="{E5A54203-3771-455B-94D9-CC675214839B}" name="Column14643"/>
    <tableColumn id="14649" xr3:uid="{DFD64A2C-EB8D-43D3-A1CF-6994EC4FEE82}" name="Column14644"/>
    <tableColumn id="14650" xr3:uid="{8E3A299C-8A51-45A6-A036-A48B45C35EB1}" name="Column14645"/>
    <tableColumn id="14651" xr3:uid="{E20BDFE7-E893-472E-95AF-D5723D4FE963}" name="Column14646"/>
    <tableColumn id="14652" xr3:uid="{017854CF-8F09-4F68-9E8A-2E482770F244}" name="Column14647"/>
    <tableColumn id="14653" xr3:uid="{F7F60917-9EE5-46EE-837D-5D6F559C641F}" name="Column14648"/>
    <tableColumn id="14654" xr3:uid="{7EBE658B-F75C-4F8A-9989-0B4672C2B997}" name="Column14649"/>
    <tableColumn id="14655" xr3:uid="{0ED45F22-52B4-4988-9EB4-F9B4C5647E61}" name="Column14650"/>
    <tableColumn id="14656" xr3:uid="{D6CC5E8D-996F-47DB-84FD-6B457D2191D6}" name="Column14651"/>
    <tableColumn id="14657" xr3:uid="{B4EC3064-D091-49F7-BFAD-664F921BCE7C}" name="Column14652"/>
    <tableColumn id="14658" xr3:uid="{3A609376-42FA-4A5D-9D77-7424C2FA5965}" name="Column14653"/>
    <tableColumn id="14659" xr3:uid="{485968A3-FC5E-4267-B056-B17ACEFA1D6E}" name="Column14654"/>
    <tableColumn id="14660" xr3:uid="{72EC0A4F-D5B8-48D4-A03E-6E6CFAC44A39}" name="Column14655"/>
    <tableColumn id="14661" xr3:uid="{FB0C5E84-561D-4C0A-99C7-35587FE2584A}" name="Column14656"/>
    <tableColumn id="14662" xr3:uid="{512995B2-CE50-4889-AACB-830643473762}" name="Column14657"/>
    <tableColumn id="14663" xr3:uid="{907B0C91-3695-4C5F-A566-704D5B5D5262}" name="Column14658"/>
    <tableColumn id="14664" xr3:uid="{903BFBBE-D040-4103-99C1-4EA4BDD42067}" name="Column14659"/>
    <tableColumn id="14665" xr3:uid="{E383E339-D483-441D-9F11-BB4333AC8777}" name="Column14660"/>
    <tableColumn id="14666" xr3:uid="{16A4BB2A-D93D-4E02-B8D2-1B718D40B738}" name="Column14661"/>
    <tableColumn id="14667" xr3:uid="{E65D2935-F26B-4BD6-9607-F8B2EB855D71}" name="Column14662"/>
    <tableColumn id="14668" xr3:uid="{89515682-A9E2-49FD-BFE9-A713F611B4F3}" name="Column14663"/>
    <tableColumn id="14669" xr3:uid="{1B977A31-FBA1-48E7-812F-FC94CBF35FA3}" name="Column14664"/>
    <tableColumn id="14670" xr3:uid="{82DF96D8-EE9F-481C-908B-09B66A50D524}" name="Column14665"/>
    <tableColumn id="14671" xr3:uid="{80CF9BA3-DDBB-450C-950F-B1942B22C7E9}" name="Column14666"/>
    <tableColumn id="14672" xr3:uid="{99BD4A9F-1A4B-4CA1-AE4D-C64345E9D71D}" name="Column14667"/>
    <tableColumn id="14673" xr3:uid="{9762D5C6-C95B-47F7-BA1C-EC1BD26EFAF4}" name="Column14668"/>
    <tableColumn id="14674" xr3:uid="{9C456F6D-7EC5-4BCC-8F35-3FA1F58EE6E6}" name="Column14669"/>
    <tableColumn id="14675" xr3:uid="{F5983E5E-D4F4-4E2A-AAA6-24A209B5E8C9}" name="Column14670"/>
    <tableColumn id="14676" xr3:uid="{BEFCFE0E-8CB5-4F4A-A470-42018552E53E}" name="Column14671"/>
    <tableColumn id="14677" xr3:uid="{BDA3BBAF-6FF7-4F54-A6BF-18C4408BD591}" name="Column14672"/>
    <tableColumn id="14678" xr3:uid="{E4B499BD-3024-489D-ABE5-634C3F8B7821}" name="Column14673"/>
    <tableColumn id="14679" xr3:uid="{0FA741E4-E1ED-4172-9D56-DD6B48F08E5C}" name="Column14674"/>
    <tableColumn id="14680" xr3:uid="{3FB8A3CA-053D-478F-B31E-0152471711F2}" name="Column14675"/>
    <tableColumn id="14681" xr3:uid="{78931B86-42A7-4D88-A24E-E91DB76770F9}" name="Column14676"/>
    <tableColumn id="14682" xr3:uid="{24B17844-3426-4143-B886-0ABC50AEA196}" name="Column14677"/>
    <tableColumn id="14683" xr3:uid="{5D3FB300-B48B-44B4-B8F8-F5976A47DF6A}" name="Column14678"/>
    <tableColumn id="14684" xr3:uid="{3A7AA9EA-6010-4303-81F9-E52976519CD1}" name="Column14679"/>
    <tableColumn id="14685" xr3:uid="{E1921D76-32B4-44DA-8A65-1D17488DA062}" name="Column14680"/>
    <tableColumn id="14686" xr3:uid="{1EC33A57-FC53-4B8B-92E9-9F6B25B17CC9}" name="Column14681"/>
    <tableColumn id="14687" xr3:uid="{92C3226D-EA42-45D2-A80B-F79EBE9C1013}" name="Column14682"/>
    <tableColumn id="14688" xr3:uid="{490181B2-88F0-4A07-A4E1-1960C27B7861}" name="Column14683"/>
    <tableColumn id="14689" xr3:uid="{7D3BF77C-0DEA-4F1D-9893-CA76F6B211B8}" name="Column14684"/>
    <tableColumn id="14690" xr3:uid="{98595951-8DBC-4A81-9323-5A2C0F6745FE}" name="Column14685"/>
    <tableColumn id="14691" xr3:uid="{EDCF5DE1-57C9-49F3-B66E-D10538750A3A}" name="Column14686"/>
    <tableColumn id="14692" xr3:uid="{0E337571-EC7C-447B-8FE2-D0AFBC8E2D6C}" name="Column14687"/>
    <tableColumn id="14693" xr3:uid="{DE14DDB1-503E-49E0-AE8D-D8CEA7AEC301}" name="Column14688"/>
    <tableColumn id="14694" xr3:uid="{E30E0AF9-F654-4952-BFDA-4BD6EC084D43}" name="Column14689"/>
    <tableColumn id="14695" xr3:uid="{B6D5FAF3-34B0-4C68-BCE8-572838A11412}" name="Column14690"/>
    <tableColumn id="14696" xr3:uid="{DF2541ED-49E0-4E3C-A7DD-06E24DD8B4C1}" name="Column14691"/>
    <tableColumn id="14697" xr3:uid="{FE32CB7A-A7C2-415B-B14F-F3D1C6B4BD9D}" name="Column14692"/>
    <tableColumn id="14698" xr3:uid="{349AAF44-C2DF-4954-96D7-46B6ACACEF24}" name="Column14693"/>
    <tableColumn id="14699" xr3:uid="{E1AB260D-EA1F-490C-A668-66197E150446}" name="Column14694"/>
    <tableColumn id="14700" xr3:uid="{E1581CE3-5954-4CB8-9152-E4969E81CF3C}" name="Column14695"/>
    <tableColumn id="14701" xr3:uid="{D3773EDA-C376-4AD8-B3FA-6403E49393A4}" name="Column14696"/>
    <tableColumn id="14702" xr3:uid="{85C8FBAF-8D85-44ED-A8DE-55406BFF96E0}" name="Column14697"/>
    <tableColumn id="14703" xr3:uid="{12F4CC7F-1775-4F2F-8140-7077D38FB051}" name="Column14698"/>
    <tableColumn id="14704" xr3:uid="{8EC1DA07-B9D4-4585-898D-61386D241657}" name="Column14699"/>
    <tableColumn id="14705" xr3:uid="{94845730-9D70-4083-9148-BEBD9A0046C9}" name="Column14700"/>
    <tableColumn id="14706" xr3:uid="{53D8FA5E-23D3-4F7A-8CFC-E679B8D0297E}" name="Column14701"/>
    <tableColumn id="14707" xr3:uid="{AB394B0F-C511-4129-9B1E-D898B8E4D3FE}" name="Column14702"/>
    <tableColumn id="14708" xr3:uid="{5D2DFF2D-F43D-4D59-9574-405FF64C3B7F}" name="Column14703"/>
    <tableColumn id="14709" xr3:uid="{290410D0-4ECC-4EEB-BC0A-1A598F461A2E}" name="Column14704"/>
    <tableColumn id="14710" xr3:uid="{49FFABD3-534A-4AB9-8EAD-D7A9DD08D19F}" name="Column14705"/>
    <tableColumn id="14711" xr3:uid="{A88E34AD-5822-4A47-AD7D-366AED74F72D}" name="Column14706"/>
    <tableColumn id="14712" xr3:uid="{0408243A-AC23-413C-A968-219A046120C2}" name="Column14707"/>
    <tableColumn id="14713" xr3:uid="{34769C44-F9E3-46F3-9100-5D1A37FF8152}" name="Column14708"/>
    <tableColumn id="14714" xr3:uid="{CAB1C9A4-9156-4B1A-BE1B-832D87304ABC}" name="Column14709"/>
    <tableColumn id="14715" xr3:uid="{2072F2B9-5AF7-4628-9BDA-261CAC211643}" name="Column14710"/>
    <tableColumn id="14716" xr3:uid="{FF9F8F26-33CF-47AC-8933-30A3E08C558B}" name="Column14711"/>
    <tableColumn id="14717" xr3:uid="{76EA1F70-9E74-4C04-A3D5-5A7A72C6AAD3}" name="Column14712"/>
    <tableColumn id="14718" xr3:uid="{6CC61C8B-8E8E-414D-A144-B5F8E3F800EA}" name="Column14713"/>
    <tableColumn id="14719" xr3:uid="{FB8F5FBC-75F6-4141-A955-514920A988E0}" name="Column14714"/>
    <tableColumn id="14720" xr3:uid="{71424342-0032-4CB6-A7C9-C07CA9298419}" name="Column14715"/>
    <tableColumn id="14721" xr3:uid="{9DC4058B-2A4C-427A-B6DC-8BFC5C79AF6F}" name="Column14716"/>
    <tableColumn id="14722" xr3:uid="{D672F108-9902-4C0E-93ED-5E67C7076BB7}" name="Column14717"/>
    <tableColumn id="14723" xr3:uid="{FE5388BA-8E2B-40EF-B9D0-33D77EC3F26B}" name="Column14718"/>
    <tableColumn id="14724" xr3:uid="{321C5C74-8C9F-4160-BFCD-E96FB1746548}" name="Column14719"/>
    <tableColumn id="14725" xr3:uid="{6681B3F0-AED4-4C73-B13C-9D0A2DC3E7C3}" name="Column14720"/>
    <tableColumn id="14726" xr3:uid="{1455829C-F6F8-4C51-84EC-37C7E857BFF6}" name="Column14721"/>
    <tableColumn id="14727" xr3:uid="{270D62AB-E473-49D3-97DD-D05FB862C4FD}" name="Column14722"/>
    <tableColumn id="14728" xr3:uid="{85668EBE-8DB1-425F-BFA2-FAC1F6BEF95D}" name="Column14723"/>
    <tableColumn id="14729" xr3:uid="{D4F3073C-0F68-4945-A971-386AE4B3A8F1}" name="Column14724"/>
    <tableColumn id="14730" xr3:uid="{40867035-4141-4E7B-9EDF-9257E244372F}" name="Column14725"/>
    <tableColumn id="14731" xr3:uid="{8159A192-37C1-42B7-9131-34D96A33D076}" name="Column14726"/>
    <tableColumn id="14732" xr3:uid="{464D4810-53F5-4373-A3A9-6FEDBD9DF8CC}" name="Column14727"/>
    <tableColumn id="14733" xr3:uid="{8C50C60B-A531-4AF7-A921-6883F3360A88}" name="Column14728"/>
    <tableColumn id="14734" xr3:uid="{DB960B90-A06A-4108-A26A-2FABC44E5401}" name="Column14729"/>
    <tableColumn id="14735" xr3:uid="{051146AB-9DD8-404E-8FFA-16126B959606}" name="Column14730"/>
    <tableColumn id="14736" xr3:uid="{B337AFC2-6890-4CD1-A8E9-5B4FAB8A4D5D}" name="Column14731"/>
    <tableColumn id="14737" xr3:uid="{C9FEDDF6-37D3-47B2-9295-B9F2ABDFF9E2}" name="Column14732"/>
    <tableColumn id="14738" xr3:uid="{2789435C-E270-4C24-B0DA-52B7DCADE9E4}" name="Column14733"/>
    <tableColumn id="14739" xr3:uid="{D0D09392-2969-411B-9895-AC883711379F}" name="Column14734"/>
    <tableColumn id="14740" xr3:uid="{C73BB416-CDCB-4426-8C3E-3E86CB35F3D1}" name="Column14735"/>
    <tableColumn id="14741" xr3:uid="{2EAB09D5-DFE3-4BBD-844F-C4C21BA4BCC5}" name="Column14736"/>
    <tableColumn id="14742" xr3:uid="{6C453B5A-5C79-4A1D-B493-F1BC89B6BC50}" name="Column14737"/>
    <tableColumn id="14743" xr3:uid="{5F6E995E-8295-42ED-B408-F807B3E71620}" name="Column14738"/>
    <tableColumn id="14744" xr3:uid="{D82D2BF3-2268-419C-A155-76E69F50EFF5}" name="Column14739"/>
    <tableColumn id="14745" xr3:uid="{3DF14F09-14E2-4F1C-9AAC-0FCA41D132D8}" name="Column14740"/>
    <tableColumn id="14746" xr3:uid="{B193D70B-0446-4105-8EC0-30E7B574A8D9}" name="Column14741"/>
    <tableColumn id="14747" xr3:uid="{5B08CEF4-19B7-439F-9FFE-9496B7CFF74A}" name="Column14742"/>
    <tableColumn id="14748" xr3:uid="{7056E8EF-EA60-4BCC-81B9-28E4A10E0575}" name="Column14743"/>
    <tableColumn id="14749" xr3:uid="{6A33D70B-F967-4F95-B9AC-3C60593E85E0}" name="Column14744"/>
    <tableColumn id="14750" xr3:uid="{30F8835D-A3C2-4CA3-9D10-DD21B86F36FF}" name="Column14745"/>
    <tableColumn id="14751" xr3:uid="{426E4C71-E444-4127-A578-31CD0814B733}" name="Column14746"/>
    <tableColumn id="14752" xr3:uid="{C75C3B43-2E05-425D-8CD6-38E665015195}" name="Column14747"/>
    <tableColumn id="14753" xr3:uid="{13409356-B48D-40B6-8B04-C7E74A749D95}" name="Column14748"/>
    <tableColumn id="14754" xr3:uid="{D1B9AA13-CBA4-45F7-A5F2-84326CC0C63A}" name="Column14749"/>
    <tableColumn id="14755" xr3:uid="{8E044F57-90DA-404A-86AB-91AF6F13A0D0}" name="Column14750"/>
    <tableColumn id="14756" xr3:uid="{FE43DADF-BF41-4419-BED7-06E8EC18615A}" name="Column14751"/>
    <tableColumn id="14757" xr3:uid="{B0196114-759B-4118-88B4-AC60B3E142DD}" name="Column14752"/>
    <tableColumn id="14758" xr3:uid="{08158696-EA66-44C3-A737-466D609FAEAF}" name="Column14753"/>
    <tableColumn id="14759" xr3:uid="{3AB61C13-50AF-4B62-93D9-514825E5330C}" name="Column14754"/>
    <tableColumn id="14760" xr3:uid="{7E226F1F-48AC-46B8-99E1-D063F6F5A4D1}" name="Column14755"/>
    <tableColumn id="14761" xr3:uid="{89D9970D-B2A7-409B-A758-1E8118A5A8A6}" name="Column14756"/>
    <tableColumn id="14762" xr3:uid="{0C20F2C6-BC72-4352-BE2B-DE5FF427764D}" name="Column14757"/>
    <tableColumn id="14763" xr3:uid="{B13DB734-5ED1-4777-B4A0-FFE5D06D20B4}" name="Column14758"/>
    <tableColumn id="14764" xr3:uid="{887A3635-A6A2-4F3C-A927-7DE1018CA1F4}" name="Column14759"/>
    <tableColumn id="14765" xr3:uid="{8D5B9BA4-D479-44D6-A41C-AE717AFF65FE}" name="Column14760"/>
    <tableColumn id="14766" xr3:uid="{853EB127-F019-4250-9542-3CB06CF46CC2}" name="Column14761"/>
    <tableColumn id="14767" xr3:uid="{B65B8DF7-F469-4D04-AE42-F7BAD04444B1}" name="Column14762"/>
    <tableColumn id="14768" xr3:uid="{241AC43A-60BD-456F-9A44-BC04D30CB28E}" name="Column14763"/>
    <tableColumn id="14769" xr3:uid="{04EAE5FC-F5EA-4963-8E63-210293662928}" name="Column14764"/>
    <tableColumn id="14770" xr3:uid="{DC8AAED3-C4A7-4D36-9710-FB24E65C1D10}" name="Column14765"/>
    <tableColumn id="14771" xr3:uid="{1D394C6A-AD57-4012-8CF7-B8440A73EAB7}" name="Column14766"/>
    <tableColumn id="14772" xr3:uid="{379928E4-30A9-45A3-BFDD-787ACE39D295}" name="Column14767"/>
    <tableColumn id="14773" xr3:uid="{25EBD080-5C28-4A9C-BB7D-74E7B269159C}" name="Column14768"/>
    <tableColumn id="14774" xr3:uid="{2567951C-ADAE-4C79-9A43-5EBA40C2E97F}" name="Column14769"/>
    <tableColumn id="14775" xr3:uid="{052D2075-9219-4590-87F4-2FD125BF82C2}" name="Column14770"/>
    <tableColumn id="14776" xr3:uid="{CA2EF4D8-80B7-41BD-A07B-9A6BBD74ACB5}" name="Column14771"/>
    <tableColumn id="14777" xr3:uid="{04F2481B-E2E9-460A-A6C7-EC48BE8168A0}" name="Column14772"/>
    <tableColumn id="14778" xr3:uid="{016612B6-52F1-4B2D-8725-71DDA7B15697}" name="Column14773"/>
    <tableColumn id="14779" xr3:uid="{3A3F083E-2B2B-4549-972C-5B330FD15C87}" name="Column14774"/>
    <tableColumn id="14780" xr3:uid="{972CBD66-F4BF-46D5-A707-B7A5BA635040}" name="Column14775"/>
    <tableColumn id="14781" xr3:uid="{66E8B2A2-0BD5-480B-B824-35187862080A}" name="Column14776"/>
    <tableColumn id="14782" xr3:uid="{132FCA61-C8CE-4885-B511-0C8E7D6F05A8}" name="Column14777"/>
    <tableColumn id="14783" xr3:uid="{BD52FC71-EC54-4460-9046-ED673A6ADE89}" name="Column14778"/>
    <tableColumn id="14784" xr3:uid="{D8BF5E3A-EA88-4AC9-9818-B2C57A69A624}" name="Column14779"/>
    <tableColumn id="14785" xr3:uid="{547ADD57-2344-4B75-B89E-A4BBEDAAF1C7}" name="Column14780"/>
    <tableColumn id="14786" xr3:uid="{80A79CDD-0A1D-429B-B954-5BDED5523A01}" name="Column14781"/>
    <tableColumn id="14787" xr3:uid="{541015FF-ADE3-4F17-9D0A-F1C7ED892603}" name="Column14782"/>
    <tableColumn id="14788" xr3:uid="{46D23329-6D9A-4B29-A21E-ACE55435618D}" name="Column14783"/>
    <tableColumn id="14789" xr3:uid="{D206BECB-91D7-482A-825E-072D75BC042A}" name="Column14784"/>
    <tableColumn id="14790" xr3:uid="{25F65F5E-AD33-42BA-A672-D6F5B4C71A13}" name="Column14785"/>
    <tableColumn id="14791" xr3:uid="{2CCECAA5-C86E-4673-9623-26D511AC8574}" name="Column14786"/>
    <tableColumn id="14792" xr3:uid="{B6841C11-A2B9-451E-9D76-9083C12393B1}" name="Column14787"/>
    <tableColumn id="14793" xr3:uid="{3D9BAF3F-289B-410F-8585-0F3E2E52E1E4}" name="Column14788"/>
    <tableColumn id="14794" xr3:uid="{4B3C0A92-A67F-4858-A816-AD9802E65207}" name="Column14789"/>
    <tableColumn id="14795" xr3:uid="{BA621905-F0D6-40E0-BFED-18A818D8C8C7}" name="Column14790"/>
    <tableColumn id="14796" xr3:uid="{18DC21D6-D052-4894-9FDF-8F38DB3A42D9}" name="Column14791"/>
    <tableColumn id="14797" xr3:uid="{A6CFC589-913A-4573-BD4C-225AEB3070CA}" name="Column14792"/>
    <tableColumn id="14798" xr3:uid="{BC8B4ACF-0B06-453D-9181-C82B55F97AC8}" name="Column14793"/>
    <tableColumn id="14799" xr3:uid="{BEF4AF43-871D-4045-A37D-B0DE0533ADB8}" name="Column14794"/>
    <tableColumn id="14800" xr3:uid="{7205408B-E028-4573-B250-EDC9A4455A00}" name="Column14795"/>
    <tableColumn id="14801" xr3:uid="{E4C371C5-8EE0-4DA9-85D9-5AE573C492C1}" name="Column14796"/>
    <tableColumn id="14802" xr3:uid="{1ED0404E-0097-4D00-8912-F6366A40E622}" name="Column14797"/>
    <tableColumn id="14803" xr3:uid="{08357639-0F12-438A-989A-F348B322C7F5}" name="Column14798"/>
    <tableColumn id="14804" xr3:uid="{83D8CF04-6113-4CAF-8E74-E914D9E054FC}" name="Column14799"/>
    <tableColumn id="14805" xr3:uid="{AB4E529F-C195-4CDA-91ED-9CF01B593C30}" name="Column14800"/>
    <tableColumn id="14806" xr3:uid="{3B743567-50E9-490D-83E8-10DC659F0DDF}" name="Column14801"/>
    <tableColumn id="14807" xr3:uid="{26478FA3-F66C-4C48-A57A-C64D3CEDED2D}" name="Column14802"/>
    <tableColumn id="14808" xr3:uid="{20433F06-8A4C-44D0-ADD1-A99052E01E29}" name="Column14803"/>
    <tableColumn id="14809" xr3:uid="{CDFECC39-5A91-44E3-A3BB-9E0958A10D13}" name="Column14804"/>
    <tableColumn id="14810" xr3:uid="{CB1ECD49-6FB1-470F-8A8D-DE885AC8D112}" name="Column14805"/>
    <tableColumn id="14811" xr3:uid="{5A5E6E38-E4D1-49C2-B5B3-F2241DA7A42D}" name="Column14806"/>
    <tableColumn id="14812" xr3:uid="{4D1489FA-6243-4660-8A68-CA516ECFFDA1}" name="Column14807"/>
    <tableColumn id="14813" xr3:uid="{DC43FE01-2017-4CDE-84B0-817F01E0EC9E}" name="Column14808"/>
    <tableColumn id="14814" xr3:uid="{61DC826E-096B-491D-8F2B-57886AD931F3}" name="Column14809"/>
    <tableColumn id="14815" xr3:uid="{7878EE7D-A27C-4B7C-9270-9417720CA3BD}" name="Column14810"/>
    <tableColumn id="14816" xr3:uid="{34BB0455-09B9-4A9B-B47E-1F52573C9E1B}" name="Column14811"/>
    <tableColumn id="14817" xr3:uid="{42B0572F-20CC-4C22-A727-D856152C740A}" name="Column14812"/>
    <tableColumn id="14818" xr3:uid="{58CEAAFC-3BE0-4EBF-AFCD-208F749477C1}" name="Column14813"/>
    <tableColumn id="14819" xr3:uid="{120C27C3-7F84-4E36-A1D1-F7399BA6F36C}" name="Column14814"/>
    <tableColumn id="14820" xr3:uid="{1EC0138A-9316-4D5D-AF5C-D243CFC725AB}" name="Column14815"/>
    <tableColumn id="14821" xr3:uid="{DC0B7C5F-4025-4B16-A8AF-BA201941E6CD}" name="Column14816"/>
    <tableColumn id="14822" xr3:uid="{2408B622-4CA7-4945-9974-FF6210B8E2DA}" name="Column14817"/>
    <tableColumn id="14823" xr3:uid="{1B687AAF-D950-468A-9330-80DD24C537FC}" name="Column14818"/>
    <tableColumn id="14824" xr3:uid="{46912ADB-AC2D-4F68-BB77-B549EB9246F8}" name="Column14819"/>
    <tableColumn id="14825" xr3:uid="{2B541A96-D335-4800-8E54-4677E4BDEC70}" name="Column14820"/>
    <tableColumn id="14826" xr3:uid="{F98246DE-1492-44A7-AE32-5A9ED7046DDE}" name="Column14821"/>
    <tableColumn id="14827" xr3:uid="{9666E56B-B379-4185-A9B9-74512780711C}" name="Column14822"/>
    <tableColumn id="14828" xr3:uid="{EA6DCF76-6022-4379-8DEB-05449BD22A57}" name="Column14823"/>
    <tableColumn id="14829" xr3:uid="{51424768-88E9-4763-9EED-E581C4C46F20}" name="Column14824"/>
    <tableColumn id="14830" xr3:uid="{6497D5A0-89BD-4F4C-B629-542C56C7906C}" name="Column14825"/>
    <tableColumn id="14831" xr3:uid="{FE56A64E-DA08-48B6-9969-9107D1C13C91}" name="Column14826"/>
    <tableColumn id="14832" xr3:uid="{A1C68A65-A311-4E82-AFC0-9C18CD391255}" name="Column14827"/>
    <tableColumn id="14833" xr3:uid="{225408F4-4436-4321-9E19-88CFE5396FE4}" name="Column14828"/>
    <tableColumn id="14834" xr3:uid="{7A278120-BFA0-404E-9FE5-BAB3FC1BEEE2}" name="Column14829"/>
    <tableColumn id="14835" xr3:uid="{5DA66253-2400-446B-B72B-28DEBC4CFE2A}" name="Column14830"/>
    <tableColumn id="14836" xr3:uid="{FDFB5A7D-928C-4C99-8BBE-907BC3966261}" name="Column14831"/>
    <tableColumn id="14837" xr3:uid="{1B241BD0-7C28-4B3D-A27F-D5A095B590E6}" name="Column14832"/>
    <tableColumn id="14838" xr3:uid="{885C9502-80B3-4738-A867-C96C67F73113}" name="Column14833"/>
    <tableColumn id="14839" xr3:uid="{B64BE802-FF74-4843-B1AB-B66F1803ED0A}" name="Column14834"/>
    <tableColumn id="14840" xr3:uid="{DCB68607-6F1C-45B8-84C5-35B41960A735}" name="Column14835"/>
    <tableColumn id="14841" xr3:uid="{D4F31E3F-9688-4308-9482-AE7A7601E522}" name="Column14836"/>
    <tableColumn id="14842" xr3:uid="{FF2815C6-83D4-44C2-8347-7BA550FC1889}" name="Column14837"/>
    <tableColumn id="14843" xr3:uid="{25A21EFE-E127-409D-ADDC-EC1249ABDD5E}" name="Column14838"/>
    <tableColumn id="14844" xr3:uid="{E282F52E-8546-4BB9-B491-90BD97F9C0FE}" name="Column14839"/>
    <tableColumn id="14845" xr3:uid="{57A0B16D-E5FF-4674-9936-6AD17C9EB815}" name="Column14840"/>
    <tableColumn id="14846" xr3:uid="{3045342E-6773-4B83-B65A-8C415FBE3CDE}" name="Column14841"/>
    <tableColumn id="14847" xr3:uid="{7D8EE9CB-577C-4FB6-B122-6B3936B4345F}" name="Column14842"/>
    <tableColumn id="14848" xr3:uid="{80C4B9DC-5A74-4656-B5DA-267A580AFB5D}" name="Column14843"/>
    <tableColumn id="14849" xr3:uid="{E9E38FCC-A676-4B41-96C7-4886130685E3}" name="Column14844"/>
    <tableColumn id="14850" xr3:uid="{2573D4E4-6326-4220-AE76-4EC48578AD42}" name="Column14845"/>
    <tableColumn id="14851" xr3:uid="{F1E7DA10-14A4-4F56-9EBF-1EEF1AE8909A}" name="Column14846"/>
    <tableColumn id="14852" xr3:uid="{E97758EE-B50B-482E-B25C-27B83FA19377}" name="Column14847"/>
    <tableColumn id="14853" xr3:uid="{1D20D4DA-F654-4A14-A4F2-1398CFBBC399}" name="Column14848"/>
    <tableColumn id="14854" xr3:uid="{8B76F103-14DA-4DE1-83CA-864208F193D2}" name="Column14849"/>
    <tableColumn id="14855" xr3:uid="{FC067E95-4387-4E13-ACE5-F3AB4894E869}" name="Column14850"/>
    <tableColumn id="14856" xr3:uid="{B12B1018-E604-425F-B144-B512CBBEB76B}" name="Column14851"/>
    <tableColumn id="14857" xr3:uid="{12E26FDB-B482-4DB1-8988-01ECE7DA135E}" name="Column14852"/>
    <tableColumn id="14858" xr3:uid="{C6030D0D-80E1-4EB8-BC86-B6845675AFBB}" name="Column14853"/>
    <tableColumn id="14859" xr3:uid="{707AA454-2DC8-428E-B200-5F921686528D}" name="Column14854"/>
    <tableColumn id="14860" xr3:uid="{7ECFA6FF-AE08-4559-AFA6-578A2FECA9F0}" name="Column14855"/>
    <tableColumn id="14861" xr3:uid="{006E3C42-56B3-4C34-A11B-88A6EFEA84DC}" name="Column14856"/>
    <tableColumn id="14862" xr3:uid="{77DD51B8-6194-4886-8F8E-68F80AB1A719}" name="Column14857"/>
    <tableColumn id="14863" xr3:uid="{924827C7-13EB-415C-A965-94817792F425}" name="Column14858"/>
    <tableColumn id="14864" xr3:uid="{82363860-5C75-4B6B-9638-EE7FA278A22C}" name="Column14859"/>
    <tableColumn id="14865" xr3:uid="{69E5D81E-F1BB-4A3A-8CB2-CB3AE77142BA}" name="Column14860"/>
    <tableColumn id="14866" xr3:uid="{FCFC662C-E676-4D11-9F79-3779E47718E3}" name="Column14861"/>
    <tableColumn id="14867" xr3:uid="{15480282-BEDE-40E9-9833-A6BCA4A682D0}" name="Column14862"/>
    <tableColumn id="14868" xr3:uid="{F14EE786-59F2-494C-B394-F1CDCB7C5D5E}" name="Column14863"/>
    <tableColumn id="14869" xr3:uid="{97DA4F55-C9B5-4C4D-84FD-F07820E5C2AF}" name="Column14864"/>
    <tableColumn id="14870" xr3:uid="{9F35BF0C-33BC-490A-B0E0-5F442360F4B3}" name="Column14865"/>
    <tableColumn id="14871" xr3:uid="{13793933-2990-4F71-B3CE-076B33FC91F0}" name="Column14866"/>
    <tableColumn id="14872" xr3:uid="{BCA36437-37FC-4B99-A78A-BCC47B6C3326}" name="Column14867"/>
    <tableColumn id="14873" xr3:uid="{49E55C72-8997-4728-A18B-72C2142DDA7B}" name="Column14868"/>
    <tableColumn id="14874" xr3:uid="{3697B576-B39D-4FEC-9DD7-C296DC6A4A5D}" name="Column14869"/>
    <tableColumn id="14875" xr3:uid="{B321CD6F-BD15-4438-8189-8A27A5C58869}" name="Column14870"/>
    <tableColumn id="14876" xr3:uid="{179C5E33-C477-433D-AB22-5854F7C48FB4}" name="Column14871"/>
    <tableColumn id="14877" xr3:uid="{C78F0D39-5309-48F1-8105-B3BB00C1E511}" name="Column14872"/>
    <tableColumn id="14878" xr3:uid="{A6AF771E-6DE8-414F-BE5B-B1D483F245B8}" name="Column14873"/>
    <tableColumn id="14879" xr3:uid="{24E9FC4F-37E3-4EAC-B2EB-E71170CF697D}" name="Column14874"/>
    <tableColumn id="14880" xr3:uid="{6EC3775E-F113-490A-8AE3-130F5272CFB4}" name="Column14875"/>
    <tableColumn id="14881" xr3:uid="{5768EAF8-AA1D-41D0-A4B6-077B5845D51E}" name="Column14876"/>
    <tableColumn id="14882" xr3:uid="{AB40723A-7D5F-449D-B8EC-57DAB0100AAC}" name="Column14877"/>
    <tableColumn id="14883" xr3:uid="{1C2304DB-08E7-4742-9C7C-2D5608055D09}" name="Column14878"/>
    <tableColumn id="14884" xr3:uid="{04C0FD99-A72E-46E9-ADFD-CE058AE333EB}" name="Column14879"/>
    <tableColumn id="14885" xr3:uid="{00AE667F-ADB6-4525-879E-62269E946B2F}" name="Column14880"/>
    <tableColumn id="14886" xr3:uid="{38258DCB-157D-42FA-B7E5-4320CA94C72F}" name="Column14881"/>
    <tableColumn id="14887" xr3:uid="{DE2DD621-43D7-4036-A246-D2B3F1A9CA52}" name="Column14882"/>
    <tableColumn id="14888" xr3:uid="{833F563F-0574-46DC-B018-A447FF6FBB5B}" name="Column14883"/>
    <tableColumn id="14889" xr3:uid="{D395F918-8064-4511-BBD5-F43229F3A28B}" name="Column14884"/>
    <tableColumn id="14890" xr3:uid="{78DD0A82-8A97-4F10-87C9-1BA77B6195BF}" name="Column14885"/>
    <tableColumn id="14891" xr3:uid="{025B4B88-F0B7-47D7-A1EF-DD15E9549C76}" name="Column14886"/>
    <tableColumn id="14892" xr3:uid="{68B56F79-C188-427A-82C5-D2C2585CBBCA}" name="Column14887"/>
    <tableColumn id="14893" xr3:uid="{0B833CA7-3905-4AA5-A19D-5FA65EA9894D}" name="Column14888"/>
    <tableColumn id="14894" xr3:uid="{24692499-E60C-49AD-AF1F-00BD49169C93}" name="Column14889"/>
    <tableColumn id="14895" xr3:uid="{E8DF4133-474E-4124-89FC-EAE071939ADA}" name="Column14890"/>
    <tableColumn id="14896" xr3:uid="{2F94DEC7-E3B5-4E39-8798-E7F25852B7EE}" name="Column14891"/>
    <tableColumn id="14897" xr3:uid="{184145DD-C048-4090-B53C-5A9AD1FD3400}" name="Column14892"/>
    <tableColumn id="14898" xr3:uid="{728E8176-8080-4CC3-9C1E-8C414A995D57}" name="Column14893"/>
    <tableColumn id="14899" xr3:uid="{D4BB269B-B513-4837-9A3F-987853873C52}" name="Column14894"/>
    <tableColumn id="14900" xr3:uid="{60BCF36F-A92F-4EC6-8795-555DFF02990A}" name="Column14895"/>
    <tableColumn id="14901" xr3:uid="{C39FEF0F-2964-4DE7-A3A1-7E01F67E3EA0}" name="Column14896"/>
    <tableColumn id="14902" xr3:uid="{CD122778-452C-4007-8F36-6DB952A69C0B}" name="Column14897"/>
    <tableColumn id="14903" xr3:uid="{820F100D-FB5D-45D0-ACDA-F991201EFBE7}" name="Column14898"/>
    <tableColumn id="14904" xr3:uid="{23C83ACD-AAE1-4A4C-8D7E-EEA6DA348B3D}" name="Column14899"/>
    <tableColumn id="14905" xr3:uid="{3471A066-866E-4E91-9830-C239FB29B173}" name="Column14900"/>
    <tableColumn id="14906" xr3:uid="{FA826310-18CF-4CB7-B349-A07B8886955C}" name="Column14901"/>
    <tableColumn id="14907" xr3:uid="{DDC55BFF-E910-4F7C-9321-5CB6EE39BB9D}" name="Column14902"/>
    <tableColumn id="14908" xr3:uid="{14FD6E79-FA04-4837-A2BF-425443FC02C5}" name="Column14903"/>
    <tableColumn id="14909" xr3:uid="{9A02ADEB-4097-4068-8729-AEE5EF5353D6}" name="Column14904"/>
    <tableColumn id="14910" xr3:uid="{7783101F-E015-4D43-912E-65ACDFB012B7}" name="Column14905"/>
    <tableColumn id="14911" xr3:uid="{79C30C45-4B8A-4D18-8352-7B71AD35FCBF}" name="Column14906"/>
    <tableColumn id="14912" xr3:uid="{75CB19BA-7B37-40E6-ADA9-A6413B8856D2}" name="Column14907"/>
    <tableColumn id="14913" xr3:uid="{A7C4A6DE-C52D-4633-AE17-59591B7E6C59}" name="Column14908"/>
    <tableColumn id="14914" xr3:uid="{D1697B1F-FBC6-437A-B31B-D5EA94F4EB5E}" name="Column14909"/>
    <tableColumn id="14915" xr3:uid="{99675C27-25D9-4D98-AFE2-9D4A14F66AD5}" name="Column14910"/>
    <tableColumn id="14916" xr3:uid="{FB6E2E86-F77D-4497-B0D6-00E194DE79CC}" name="Column14911"/>
    <tableColumn id="14917" xr3:uid="{54F2D98B-812C-4501-A74F-4D099613B2AA}" name="Column14912"/>
    <tableColumn id="14918" xr3:uid="{C85CF368-393A-42B0-B13A-1AD8EBD0ECDC}" name="Column14913"/>
    <tableColumn id="14919" xr3:uid="{B959B9C5-852A-49F9-B102-CC1169086247}" name="Column14914"/>
    <tableColumn id="14920" xr3:uid="{2352A12E-9D1C-49AC-ACF5-7045D0B342A9}" name="Column14915"/>
    <tableColumn id="14921" xr3:uid="{C2B381CA-E944-45E7-BA9F-E00C4BB1D046}" name="Column14916"/>
    <tableColumn id="14922" xr3:uid="{6871ACA6-2A26-4BF8-88EA-4A06CD91F9D2}" name="Column14917"/>
    <tableColumn id="14923" xr3:uid="{483240F1-40B2-48B3-8B6F-DB0402DE3DF5}" name="Column14918"/>
    <tableColumn id="14924" xr3:uid="{B6F163C0-460A-453A-94AA-5D34DD12D70B}" name="Column14919"/>
    <tableColumn id="14925" xr3:uid="{974D59EB-372F-433C-ADB6-30CA93C13AEE}" name="Column14920"/>
    <tableColumn id="14926" xr3:uid="{88CBF928-68F4-4B37-B65B-655FE0372E81}" name="Column14921"/>
    <tableColumn id="14927" xr3:uid="{BD74EA75-AA97-4E19-9740-AECF2C10262E}" name="Column14922"/>
    <tableColumn id="14928" xr3:uid="{E9E015F0-178F-44A3-A9C9-E88916D17A61}" name="Column14923"/>
    <tableColumn id="14929" xr3:uid="{99F2F28B-94B5-4BAC-BD17-780CA791174E}" name="Column14924"/>
    <tableColumn id="14930" xr3:uid="{D983CC34-AA65-49C0-AA4C-1C7BE196A322}" name="Column14925"/>
    <tableColumn id="14931" xr3:uid="{2D4FC875-8927-4EBB-B0A2-3308FD8F82F2}" name="Column14926"/>
    <tableColumn id="14932" xr3:uid="{82E9ACD6-4C3C-4178-81E0-A29934082626}" name="Column14927"/>
    <tableColumn id="14933" xr3:uid="{EF66131B-AF77-42B3-AF79-523B63E8ADB7}" name="Column14928"/>
    <tableColumn id="14934" xr3:uid="{328950DE-2547-4263-BF79-E2145497D428}" name="Column14929"/>
    <tableColumn id="14935" xr3:uid="{5D772B57-B9E0-4B05-9087-CAA0A92C4160}" name="Column14930"/>
    <tableColumn id="14936" xr3:uid="{671C25EE-85BA-4C51-8ABE-5F23087FC56C}" name="Column14931"/>
    <tableColumn id="14937" xr3:uid="{FE20E7D9-5099-46D2-A716-37C7F463CC71}" name="Column14932"/>
    <tableColumn id="14938" xr3:uid="{245F09D0-31F5-4051-A29F-010CB24EA7FA}" name="Column14933"/>
    <tableColumn id="14939" xr3:uid="{B918035F-D0A2-462B-BB34-4CB9BAE700E4}" name="Column14934"/>
    <tableColumn id="14940" xr3:uid="{13CE0AC0-C9E6-42F5-820E-3B4F66F7B8D3}" name="Column14935"/>
    <tableColumn id="14941" xr3:uid="{5F27FA28-AC89-4338-B203-29B4B767178B}" name="Column14936"/>
    <tableColumn id="14942" xr3:uid="{F14198F1-6A55-48D5-9AF2-CF8030D65223}" name="Column14937"/>
    <tableColumn id="14943" xr3:uid="{50DB2E73-17F3-45D4-9D58-40CE0CE5624C}" name="Column14938"/>
    <tableColumn id="14944" xr3:uid="{3990C6AB-B6BD-45AB-BDC6-02E7D6D188FC}" name="Column14939"/>
    <tableColumn id="14945" xr3:uid="{FFD41B27-92B9-4805-9376-143C628636E9}" name="Column14940"/>
    <tableColumn id="14946" xr3:uid="{1725158C-13E1-440E-BDA2-2AE725D94604}" name="Column14941"/>
    <tableColumn id="14947" xr3:uid="{3C86B6EB-416C-43D7-A3EE-148B0F46E6F5}" name="Column14942"/>
    <tableColumn id="14948" xr3:uid="{C4328D25-E24D-491B-B1DE-C0858C38201F}" name="Column14943"/>
    <tableColumn id="14949" xr3:uid="{491914D0-AB19-4A52-8F6D-367686DCAE0E}" name="Column14944"/>
    <tableColumn id="14950" xr3:uid="{69C77CEE-2230-4C79-B29E-E5EB062EDDA5}" name="Column14945"/>
    <tableColumn id="14951" xr3:uid="{E7BB2C1A-6D0B-41B9-8BBD-1DD1863ACC88}" name="Column14946"/>
    <tableColumn id="14952" xr3:uid="{06D7A2A7-0ACB-4E62-922C-169DEBBC9618}" name="Column14947"/>
    <tableColumn id="14953" xr3:uid="{0E4C3CB2-EA87-437F-AB97-B71D10082F25}" name="Column14948"/>
    <tableColumn id="14954" xr3:uid="{4B46F250-7BB7-4576-B7DD-3F917484966B}" name="Column14949"/>
    <tableColumn id="14955" xr3:uid="{A6268FF3-3A76-48CA-9F37-339E09D35B91}" name="Column14950"/>
    <tableColumn id="14956" xr3:uid="{4173CC7C-196D-4945-A2A0-C21699D1B941}" name="Column14951"/>
    <tableColumn id="14957" xr3:uid="{7C8D4CAD-93E9-41A3-8E58-377D0BD7ADE3}" name="Column14952"/>
    <tableColumn id="14958" xr3:uid="{8DF4F07A-E21E-4953-94BD-546B3134CB85}" name="Column14953"/>
    <tableColumn id="14959" xr3:uid="{24BD373C-10D6-4BC2-932C-003A49540008}" name="Column14954"/>
    <tableColumn id="14960" xr3:uid="{ABC70923-BBCE-4E9C-ABFE-20053B003216}" name="Column14955"/>
    <tableColumn id="14961" xr3:uid="{724C181A-2FF5-458B-AFF2-559A9A160A8A}" name="Column14956"/>
    <tableColumn id="14962" xr3:uid="{517CF422-3108-4D4D-8FCD-A9187E0E95C0}" name="Column14957"/>
    <tableColumn id="14963" xr3:uid="{AC9379EB-2A24-4976-9FA4-1839C0EC037A}" name="Column14958"/>
    <tableColumn id="14964" xr3:uid="{10D852CB-DDFE-4415-B455-B2F29307C253}" name="Column14959"/>
    <tableColumn id="14965" xr3:uid="{9BADED40-4C55-4BE0-A339-3C71B606DB3C}" name="Column14960"/>
    <tableColumn id="14966" xr3:uid="{5A16D39B-F797-444D-ADE7-1B2DD739AF52}" name="Column14961"/>
    <tableColumn id="14967" xr3:uid="{C77282D0-F722-4E9E-9419-AD396C7976F0}" name="Column14962"/>
    <tableColumn id="14968" xr3:uid="{4783FBCA-4B8F-4E2F-9E25-76826256DFC6}" name="Column14963"/>
    <tableColumn id="14969" xr3:uid="{2B9EAFC1-C56D-4FB1-9401-6FA00A193E60}" name="Column14964"/>
    <tableColumn id="14970" xr3:uid="{85A79229-D11A-484B-B96D-B944FCC92E6B}" name="Column14965"/>
    <tableColumn id="14971" xr3:uid="{45DEB89B-E5C4-4EAA-B3EF-AF4B84FC4EED}" name="Column14966"/>
    <tableColumn id="14972" xr3:uid="{43C58F77-F852-4B1B-82F0-83BB9C545F73}" name="Column14967"/>
    <tableColumn id="14973" xr3:uid="{EC064754-0567-4FEC-A8D2-E14EED3D547C}" name="Column14968"/>
    <tableColumn id="14974" xr3:uid="{5B7ED120-914F-4C97-814B-DB7A5DB28DFA}" name="Column14969"/>
    <tableColumn id="14975" xr3:uid="{BC1EE96F-E808-43EF-A8F9-B797D52BC99C}" name="Column14970"/>
    <tableColumn id="14976" xr3:uid="{E561F0BF-B885-454C-A836-46056D676BF2}" name="Column14971"/>
    <tableColumn id="14977" xr3:uid="{179CF517-A46B-40D6-99AD-28114F37FC92}" name="Column14972"/>
    <tableColumn id="14978" xr3:uid="{84BCE99D-0622-460A-BC56-23F391202874}" name="Column14973"/>
    <tableColumn id="14979" xr3:uid="{E8353400-E334-4559-AF2F-CBADD36E768A}" name="Column14974"/>
    <tableColumn id="14980" xr3:uid="{41388245-FDD6-4FF5-B7E9-ADD5F0C123B0}" name="Column14975"/>
    <tableColumn id="14981" xr3:uid="{D18E1333-AEB1-433C-BB98-9BFADB78B964}" name="Column14976"/>
    <tableColumn id="14982" xr3:uid="{AC976237-D093-495D-B474-FADED5982391}" name="Column14977"/>
    <tableColumn id="14983" xr3:uid="{B3A6A19E-EB5D-4E07-9432-004FC7C3AB7C}" name="Column14978"/>
    <tableColumn id="14984" xr3:uid="{3DB3FCFA-619D-4FAE-9CA5-AD48FEFAF04F}" name="Column14979"/>
    <tableColumn id="14985" xr3:uid="{CAB0FEC3-07AB-4847-9FD3-09C248F26686}" name="Column14980"/>
    <tableColumn id="14986" xr3:uid="{DB2B3D6C-E041-4A6E-8F01-395D87334D07}" name="Column14981"/>
    <tableColumn id="14987" xr3:uid="{FABB1B63-D70F-4448-AC63-B623C8A33968}" name="Column14982"/>
    <tableColumn id="14988" xr3:uid="{977FF0B3-D304-4D39-BAA4-1DAAADE41428}" name="Column14983"/>
    <tableColumn id="14989" xr3:uid="{E15F6BEF-48A8-4CDA-8992-8EE6CB342FF3}" name="Column14984"/>
    <tableColumn id="14990" xr3:uid="{9E32206E-86FB-4298-A5DB-55DE773FFD47}" name="Column14985"/>
    <tableColumn id="14991" xr3:uid="{78F8FD84-2046-4850-BB87-4D6DE7410D48}" name="Column14986"/>
    <tableColumn id="14992" xr3:uid="{C01B841F-F4A3-4733-9CC1-96A193FD923A}" name="Column14987"/>
    <tableColumn id="14993" xr3:uid="{50C27C9F-9E56-4512-A5D5-7AF462066675}" name="Column14988"/>
    <tableColumn id="14994" xr3:uid="{5153951D-C25B-4B86-A3AC-0FD713FAFE2D}" name="Column14989"/>
    <tableColumn id="14995" xr3:uid="{48487DFE-F07E-4AC7-AB97-374C76A2FAC5}" name="Column14990"/>
    <tableColumn id="14996" xr3:uid="{2FFB0F66-1D5C-494F-95EA-5451FF3AE5F9}" name="Column14991"/>
    <tableColumn id="14997" xr3:uid="{CD630888-56CB-4B64-9366-E0A254443EC7}" name="Column14992"/>
    <tableColumn id="14998" xr3:uid="{23B02901-7B22-4811-822F-43F0C18A1943}" name="Column14993"/>
    <tableColumn id="14999" xr3:uid="{7BAF6D38-59E0-4D8B-BA33-37738AA35E65}" name="Column14994"/>
    <tableColumn id="15000" xr3:uid="{EA297483-6E99-4E8C-89EF-F53D8635108D}" name="Column14995"/>
    <tableColumn id="15001" xr3:uid="{1A4DEAC0-9EE2-4B17-8F1E-812F3F535C1F}" name="Column14996"/>
    <tableColumn id="15002" xr3:uid="{3C31DA15-38CE-4962-99BB-4844AFD0632B}" name="Column14997"/>
    <tableColumn id="15003" xr3:uid="{AD4D8564-4DA1-4FC9-81BE-B9104B0D683D}" name="Column14998"/>
    <tableColumn id="15004" xr3:uid="{4B0CBAA8-FEF9-4068-B12E-04B9CBCD3FFA}" name="Column14999"/>
    <tableColumn id="15005" xr3:uid="{DA26EC66-7D98-4A1A-9DEC-67ED3750CD72}" name="Column15000"/>
    <tableColumn id="15006" xr3:uid="{DA377E21-C72F-4F58-BEC9-9E689C903E14}" name="Column15001"/>
    <tableColumn id="15007" xr3:uid="{6B175DFE-9B53-493E-9026-93311FAAB258}" name="Column15002"/>
    <tableColumn id="15008" xr3:uid="{75C0DB9D-5CAA-4955-A6DD-010B9D5D2FDE}" name="Column15003"/>
    <tableColumn id="15009" xr3:uid="{2AF4C7CC-029C-41AB-B7F7-1CC8E0C45852}" name="Column15004"/>
    <tableColumn id="15010" xr3:uid="{C88E9A14-A53D-45C3-A84C-C2FDB1C46552}" name="Column15005"/>
    <tableColumn id="15011" xr3:uid="{9B0D8B65-731E-4F1D-8D78-1512B99D2318}" name="Column15006"/>
    <tableColumn id="15012" xr3:uid="{E78313FC-112D-4009-97A9-06892804FECC}" name="Column15007"/>
    <tableColumn id="15013" xr3:uid="{61ACF5E2-C371-473F-B45F-EB94D65B9648}" name="Column15008"/>
    <tableColumn id="15014" xr3:uid="{221EC460-616A-47E6-943E-D0BC1DFAA1C8}" name="Column15009"/>
    <tableColumn id="15015" xr3:uid="{A676100D-A965-491A-821E-270116A04FBE}" name="Column15010"/>
    <tableColumn id="15016" xr3:uid="{7D868659-D71C-4978-8FA1-6EB40D72A50D}" name="Column15011"/>
    <tableColumn id="15017" xr3:uid="{7E1AF3ED-EFB6-42B8-9189-3C669D6A9A61}" name="Column15012"/>
    <tableColumn id="15018" xr3:uid="{388CA902-EDD5-4960-8E55-A736A63C2345}" name="Column15013"/>
    <tableColumn id="15019" xr3:uid="{F1480015-AA77-459F-8587-7B46D75C7D89}" name="Column15014"/>
    <tableColumn id="15020" xr3:uid="{83906F7B-068D-4F27-B6F3-AA31ACDD3D67}" name="Column15015"/>
    <tableColumn id="15021" xr3:uid="{98A60473-8478-474D-B8E9-A7BE4D2FB498}" name="Column15016"/>
    <tableColumn id="15022" xr3:uid="{C8A627B7-4BBB-4FC4-A62A-9D898720CB77}" name="Column15017"/>
    <tableColumn id="15023" xr3:uid="{F8BF587D-1213-4702-81DB-63BDB16823DD}" name="Column15018"/>
    <tableColumn id="15024" xr3:uid="{B77E97CC-C4B4-4B9C-BAA9-7DB68AACB73B}" name="Column15019"/>
    <tableColumn id="15025" xr3:uid="{A9677A1C-57D0-47E2-B3AE-99F9554371BE}" name="Column15020"/>
    <tableColumn id="15026" xr3:uid="{20944C53-4D46-4959-84A5-4BF539C1F5EC}" name="Column15021"/>
    <tableColumn id="15027" xr3:uid="{0656A30E-699E-430F-86DB-733DA232FEC8}" name="Column15022"/>
    <tableColumn id="15028" xr3:uid="{8F047530-8B12-4ADA-AA8C-21826A64D359}" name="Column15023"/>
    <tableColumn id="15029" xr3:uid="{43257CD1-81A8-4840-9B17-D96C06824657}" name="Column15024"/>
    <tableColumn id="15030" xr3:uid="{6BA2723D-09F9-4E76-8321-D1BC04CEA91B}" name="Column15025"/>
    <tableColumn id="15031" xr3:uid="{31CF4A89-55E3-4CB5-B42A-EDFFC6B5511F}" name="Column15026"/>
    <tableColumn id="15032" xr3:uid="{27AB17CB-D438-4EBA-AC84-5E1186C78D04}" name="Column15027"/>
    <tableColumn id="15033" xr3:uid="{46A4A049-1309-401E-9FE1-4B2772139BA0}" name="Column15028"/>
    <tableColumn id="15034" xr3:uid="{67E7DA65-9544-4300-8547-6B54D270E40A}" name="Column15029"/>
    <tableColumn id="15035" xr3:uid="{108CEF58-E125-47F8-890E-9847295ABD98}" name="Column15030"/>
    <tableColumn id="15036" xr3:uid="{C108C8B1-98DE-410F-9662-AF048415A151}" name="Column15031"/>
    <tableColumn id="15037" xr3:uid="{A59C0D19-8075-478E-B650-102B491BBC42}" name="Column15032"/>
    <tableColumn id="15038" xr3:uid="{A8C5DFAF-1969-485D-BF07-42B13629FBC9}" name="Column15033"/>
    <tableColumn id="15039" xr3:uid="{F2382F13-79B0-46DD-AB22-D8F3D3219461}" name="Column15034"/>
    <tableColumn id="15040" xr3:uid="{4A25687C-DF3D-4B0A-A3B0-466352C37C4F}" name="Column15035"/>
    <tableColumn id="15041" xr3:uid="{25E07EBD-BA28-4619-AE39-A7DD082D24EC}" name="Column15036"/>
    <tableColumn id="15042" xr3:uid="{F8A4186D-CA28-46C5-BD1D-372BA8313899}" name="Column15037"/>
    <tableColumn id="15043" xr3:uid="{CBD4078D-59EA-4DB1-B682-B1C8599A323B}" name="Column15038"/>
    <tableColumn id="15044" xr3:uid="{29C33E7D-96EA-4984-A17E-131C153DE08C}" name="Column15039"/>
    <tableColumn id="15045" xr3:uid="{369D7F60-BD30-4273-A3FF-C57883E6B52F}" name="Column15040"/>
    <tableColumn id="15046" xr3:uid="{EF2E2C7E-CA27-450B-8765-9AF53ABBE5B5}" name="Column15041"/>
    <tableColumn id="15047" xr3:uid="{D335A50A-36B2-48F3-A13F-78423E88FF0B}" name="Column15042"/>
    <tableColumn id="15048" xr3:uid="{32A9BC59-D30B-445B-892F-0DEA8DF382A3}" name="Column15043"/>
    <tableColumn id="15049" xr3:uid="{9151222D-FF18-4526-9F4F-9305A9659FBA}" name="Column15044"/>
    <tableColumn id="15050" xr3:uid="{680E4F84-696E-429F-B838-16437922B3A5}" name="Column15045"/>
    <tableColumn id="15051" xr3:uid="{E2A98FAA-CE55-4161-A643-1F0189FDFB16}" name="Column15046"/>
    <tableColumn id="15052" xr3:uid="{520396C8-E9C3-428B-90C2-3EE39265D680}" name="Column15047"/>
    <tableColumn id="15053" xr3:uid="{BD8DD68E-1525-4BB6-87CD-FF337B9AE10B}" name="Column15048"/>
    <tableColumn id="15054" xr3:uid="{5D6F29FC-DC14-486E-91C2-1B3CD19B31E3}" name="Column15049"/>
    <tableColumn id="15055" xr3:uid="{E97D506C-7F3D-4B77-8E4A-529B0E8DCC8E}" name="Column15050"/>
    <tableColumn id="15056" xr3:uid="{D114C31E-5E5B-4B68-8A00-66AF3D95621E}" name="Column15051"/>
    <tableColumn id="15057" xr3:uid="{5F9CE103-B64F-4387-83E9-DD047FB02C8C}" name="Column15052"/>
    <tableColumn id="15058" xr3:uid="{2000632F-8DB9-4CC5-B04D-3D3626A4AAEC}" name="Column15053"/>
    <tableColumn id="15059" xr3:uid="{5D6CC405-AABC-4994-A616-5A5FCD56A70D}" name="Column15054"/>
    <tableColumn id="15060" xr3:uid="{011452B4-668F-4997-AF42-947833903903}" name="Column15055"/>
    <tableColumn id="15061" xr3:uid="{21FD4FB6-ED41-46EE-A3BF-860EEF776DB4}" name="Column15056"/>
    <tableColumn id="15062" xr3:uid="{F81642F4-022F-4C7C-8015-6AA2A3EB25B1}" name="Column15057"/>
    <tableColumn id="15063" xr3:uid="{34A6BE28-7F1C-4EE8-85EF-3FAC2CD9DC9E}" name="Column15058"/>
    <tableColumn id="15064" xr3:uid="{8AB028AA-7D98-4A0D-A588-6E8C703B8EC9}" name="Column15059"/>
    <tableColumn id="15065" xr3:uid="{B384DA98-E4EC-41B2-A204-08CAD67DC5CC}" name="Column15060"/>
    <tableColumn id="15066" xr3:uid="{425FF21F-3E00-49EF-A137-1472530590AE}" name="Column15061"/>
    <tableColumn id="15067" xr3:uid="{BF5CF183-1EF1-4B66-999C-C1D3B527354C}" name="Column15062"/>
    <tableColumn id="15068" xr3:uid="{318B102B-BF69-4EA5-911E-6D5B91DA0B15}" name="Column15063"/>
    <tableColumn id="15069" xr3:uid="{F84A526F-D443-41A4-BC29-2DEF0F4D0207}" name="Column15064"/>
    <tableColumn id="15070" xr3:uid="{3C1A4160-FC60-4B6C-A059-2250B1A00748}" name="Column15065"/>
    <tableColumn id="15071" xr3:uid="{B87D9ACE-68E9-41BF-B6DC-BC0AFFE3CC9F}" name="Column15066"/>
    <tableColumn id="15072" xr3:uid="{C34E96C0-5BBE-4141-974C-D7592EF41C20}" name="Column15067"/>
    <tableColumn id="15073" xr3:uid="{8D9FE4E0-2C77-43C8-B5AD-0822D3888BA9}" name="Column15068"/>
    <tableColumn id="15074" xr3:uid="{FA966903-A975-47EF-9EB3-5D75058B08F6}" name="Column15069"/>
    <tableColumn id="15075" xr3:uid="{884A4121-0BF7-4524-ABF5-FF79C862BE2D}" name="Column15070"/>
    <tableColumn id="15076" xr3:uid="{A4A986F9-45E0-4442-9DDD-8A073DDE6255}" name="Column15071"/>
    <tableColumn id="15077" xr3:uid="{525583F4-E680-4BEA-967D-73C5543096C7}" name="Column15072"/>
    <tableColumn id="15078" xr3:uid="{7ED53061-4EC8-48EE-8639-2C5D0929ECF5}" name="Column15073"/>
    <tableColumn id="15079" xr3:uid="{6D0958B8-C248-4543-A3CE-022E280A414A}" name="Column15074"/>
    <tableColumn id="15080" xr3:uid="{49FD878C-D8C1-446F-B059-C8D542822888}" name="Column15075"/>
    <tableColumn id="15081" xr3:uid="{23877211-DAA3-47E5-9072-4D5689159805}" name="Column15076"/>
    <tableColumn id="15082" xr3:uid="{85878D5C-6459-45E2-8593-CB30D674803D}" name="Column15077"/>
    <tableColumn id="15083" xr3:uid="{1B5402DC-F1BC-4B1F-A1A8-F8B1F0EEAEDE}" name="Column15078"/>
    <tableColumn id="15084" xr3:uid="{E839B502-F782-4E2E-B242-38F2761906F0}" name="Column15079"/>
    <tableColumn id="15085" xr3:uid="{7B2445F1-0AEA-4522-9B87-941AEFEA9E2A}" name="Column15080"/>
    <tableColumn id="15086" xr3:uid="{68CBA1CE-DE3E-490C-BC36-CF64A99606E8}" name="Column15081"/>
    <tableColumn id="15087" xr3:uid="{8FA38D98-DDEE-4E15-94A9-DB163567F309}" name="Column15082"/>
    <tableColumn id="15088" xr3:uid="{65760521-6AFE-4A17-A195-B3450C193E2D}" name="Column15083"/>
    <tableColumn id="15089" xr3:uid="{62196CE1-82B3-4569-8A1E-4F2427A63DF3}" name="Column15084"/>
    <tableColumn id="15090" xr3:uid="{B32E69B4-8256-4EDF-AD06-CDFA56707BAC}" name="Column15085"/>
    <tableColumn id="15091" xr3:uid="{7146CCCE-E49A-4A9B-B1FE-2F29D54D5243}" name="Column15086"/>
    <tableColumn id="15092" xr3:uid="{CAB1F310-5053-4E21-8106-9A8A40C614E6}" name="Column15087"/>
    <tableColumn id="15093" xr3:uid="{49667CA2-082E-4292-8535-9BF7D382FA34}" name="Column15088"/>
    <tableColumn id="15094" xr3:uid="{439247DC-A552-4945-A100-33D508FB379A}" name="Column15089"/>
    <tableColumn id="15095" xr3:uid="{1A79E150-4082-4360-8341-2C8AE9C7F38C}" name="Column15090"/>
    <tableColumn id="15096" xr3:uid="{3A2668ED-7013-43D3-B659-2676A5F2838D}" name="Column15091"/>
    <tableColumn id="15097" xr3:uid="{63FC6506-8C7E-4403-9263-853EA7C7D3B7}" name="Column15092"/>
    <tableColumn id="15098" xr3:uid="{E66BF816-76E1-4D05-80E0-966C15332C57}" name="Column15093"/>
    <tableColumn id="15099" xr3:uid="{22F0DF05-2D2C-44F6-A350-9244008CDCF5}" name="Column15094"/>
    <tableColumn id="15100" xr3:uid="{1426F43F-B3F4-49AB-BF5B-07B1C26831F7}" name="Column15095"/>
    <tableColumn id="15101" xr3:uid="{40B157AF-2E91-47C1-B863-B7E45DA7B426}" name="Column15096"/>
    <tableColumn id="15102" xr3:uid="{3DB68D2F-FED9-4A66-9FDE-627CD28A0BCF}" name="Column15097"/>
    <tableColumn id="15103" xr3:uid="{BAA7211C-03F9-4A7E-994D-FFBDA8B59732}" name="Column15098"/>
    <tableColumn id="15104" xr3:uid="{AABD375C-E75D-499C-8EE2-A286EDBB1091}" name="Column15099"/>
    <tableColumn id="15105" xr3:uid="{57C3A816-9CD6-4504-9797-9E2C846DE64D}" name="Column15100"/>
    <tableColumn id="15106" xr3:uid="{80322568-2DA9-43EB-B305-E6F330C252C4}" name="Column15101"/>
    <tableColumn id="15107" xr3:uid="{4D027597-5C0A-4B03-8798-F24965DB58DD}" name="Column15102"/>
    <tableColumn id="15108" xr3:uid="{2C038C1D-2618-4ADB-AC0E-2D5EC6241E51}" name="Column15103"/>
    <tableColumn id="15109" xr3:uid="{5E310C85-6CB4-4623-8B5B-97973EBA3D8B}" name="Column15104"/>
    <tableColumn id="15110" xr3:uid="{40360657-212E-4361-BF29-D95D0FB4B402}" name="Column15105"/>
    <tableColumn id="15111" xr3:uid="{F0B0B24B-3A7B-41E2-B2AE-C45C4D481BDF}" name="Column15106"/>
    <tableColumn id="15112" xr3:uid="{A7314CFC-5124-4ACE-9603-5214E2E58329}" name="Column15107"/>
    <tableColumn id="15113" xr3:uid="{5B5EEA04-CB31-48DF-86F4-15F77442B8B6}" name="Column15108"/>
    <tableColumn id="15114" xr3:uid="{E152478B-E319-48DA-A744-DF9A4791428D}" name="Column15109"/>
    <tableColumn id="15115" xr3:uid="{49D7752F-4349-411C-A7F8-2DF4680C9A3C}" name="Column15110"/>
    <tableColumn id="15116" xr3:uid="{1104DD76-9FD2-4B9D-AF52-B087833E6DE7}" name="Column15111"/>
    <tableColumn id="15117" xr3:uid="{919DBA14-936C-4843-BB55-59EBC4B5FC47}" name="Column15112"/>
    <tableColumn id="15118" xr3:uid="{D2BC2171-99DB-4119-BFE7-83919E5D49E5}" name="Column15113"/>
    <tableColumn id="15119" xr3:uid="{FE24CDF0-6DEA-4246-84F0-DD1AC76D5F7E}" name="Column15114"/>
    <tableColumn id="15120" xr3:uid="{8096798D-18C3-4CC6-9539-615A2A27EDE3}" name="Column15115"/>
    <tableColumn id="15121" xr3:uid="{09AFCC6A-6EA2-4210-97BE-785A406A753E}" name="Column15116"/>
    <tableColumn id="15122" xr3:uid="{552B5539-A6B5-4EE0-B76F-C324EC9329ED}" name="Column15117"/>
    <tableColumn id="15123" xr3:uid="{CC6EA876-4CBC-4922-90E9-52F5FBF54CD6}" name="Column15118"/>
    <tableColumn id="15124" xr3:uid="{B5FE9A9D-782A-48FA-8382-8195DEE8B40A}" name="Column15119"/>
    <tableColumn id="15125" xr3:uid="{CE5D7C73-A28B-45CD-A445-D23D543CA2B5}" name="Column15120"/>
    <tableColumn id="15126" xr3:uid="{CF8A9FFD-99E1-4157-945F-C31A8CD6B4E6}" name="Column15121"/>
    <tableColumn id="15127" xr3:uid="{53F18F15-287B-41AE-A893-C94415666163}" name="Column15122"/>
    <tableColumn id="15128" xr3:uid="{64AE87E1-4653-4557-A03E-7C3FC4D2118A}" name="Column15123"/>
    <tableColumn id="15129" xr3:uid="{7F96F64C-4615-404D-969D-53A197BE7BB3}" name="Column15124"/>
    <tableColumn id="15130" xr3:uid="{D8BA1CF7-33AA-4D68-83DB-53A482CBDC47}" name="Column15125"/>
    <tableColumn id="15131" xr3:uid="{B21EC518-5F01-47E1-873C-F38EF3B19F27}" name="Column15126"/>
    <tableColumn id="15132" xr3:uid="{B09F3993-595C-4807-9504-8CB0F136A18C}" name="Column15127"/>
    <tableColumn id="15133" xr3:uid="{F7F93A9C-760D-4224-808F-FE68E2A2AA13}" name="Column15128"/>
    <tableColumn id="15134" xr3:uid="{BFA7C705-B59F-4750-9AFD-C278818491A4}" name="Column15129"/>
    <tableColumn id="15135" xr3:uid="{1B06D2D0-6811-4EC0-A41B-EE6F3F408F02}" name="Column15130"/>
    <tableColumn id="15136" xr3:uid="{29FDB316-BB0F-4008-BFCF-3412B76FAD18}" name="Column15131"/>
    <tableColumn id="15137" xr3:uid="{929EE38E-FD15-4395-BF58-D0F767F3CF96}" name="Column15132"/>
    <tableColumn id="15138" xr3:uid="{17B08935-6834-4B01-AD46-76D634B93359}" name="Column15133"/>
    <tableColumn id="15139" xr3:uid="{37E0A6B8-C139-4EE1-B081-A1AE1F517457}" name="Column15134"/>
    <tableColumn id="15140" xr3:uid="{87D76AF7-1FEC-42FE-A304-C43C9220A6EE}" name="Column15135"/>
    <tableColumn id="15141" xr3:uid="{760C5F64-9A21-4176-B807-9BAB20278DC8}" name="Column15136"/>
    <tableColumn id="15142" xr3:uid="{4BCD8E06-4546-4075-8CCF-CA351AB42F8E}" name="Column15137"/>
    <tableColumn id="15143" xr3:uid="{0C1D4602-5790-41B4-B6FE-2443BED31EAD}" name="Column15138"/>
    <tableColumn id="15144" xr3:uid="{6341F8CC-7ED8-4D5C-81E4-7628880B840D}" name="Column15139"/>
    <tableColumn id="15145" xr3:uid="{3F878518-3EB4-4F5B-8EF6-714D08D3E8B3}" name="Column15140"/>
    <tableColumn id="15146" xr3:uid="{558357FD-9FBE-46D2-AB9B-2A7BE56A7E94}" name="Column15141"/>
    <tableColumn id="15147" xr3:uid="{E5CC09B1-82A6-4B50-8070-8ED577351BC0}" name="Column15142"/>
    <tableColumn id="15148" xr3:uid="{6D5C6BD4-DBC8-44C2-8B72-8C0E142D4D12}" name="Column15143"/>
    <tableColumn id="15149" xr3:uid="{20ACC091-58D3-4FC3-BDF3-BB46BCFB9466}" name="Column15144"/>
    <tableColumn id="15150" xr3:uid="{F4C1FA32-0F61-4E14-9A97-64924BFC157A}" name="Column15145"/>
    <tableColumn id="15151" xr3:uid="{4DCA48D1-A903-44B5-B7A5-186A8C633756}" name="Column15146"/>
    <tableColumn id="15152" xr3:uid="{E251BA68-C843-4C73-8527-7B1253707FCA}" name="Column15147"/>
    <tableColumn id="15153" xr3:uid="{7585430C-5A6E-498F-BA5A-6231119E0212}" name="Column15148"/>
    <tableColumn id="15154" xr3:uid="{785FC4E1-7E03-4157-AB5A-D8F5A58A1AB8}" name="Column15149"/>
    <tableColumn id="15155" xr3:uid="{BF393FE0-BB18-4009-9A50-491AA2142A0B}" name="Column15150"/>
    <tableColumn id="15156" xr3:uid="{1043EF0D-76AF-421D-8C0C-F1E78B3F16BD}" name="Column15151"/>
    <tableColumn id="15157" xr3:uid="{D0ED15F7-E9FC-4820-950F-0DCF92C96DDA}" name="Column15152"/>
    <tableColumn id="15158" xr3:uid="{D20E56FC-68A6-4EC2-BF80-B79E47D03B41}" name="Column15153"/>
    <tableColumn id="15159" xr3:uid="{D40AA713-4231-4184-B01D-DB60BE2D252E}" name="Column15154"/>
    <tableColumn id="15160" xr3:uid="{514FB8F4-CFB8-4E4D-8015-5BEC8F24326A}" name="Column15155"/>
    <tableColumn id="15161" xr3:uid="{54D5F334-B27B-4889-9905-345DD9298501}" name="Column15156"/>
    <tableColumn id="15162" xr3:uid="{AD7617BE-0252-46A1-AA08-05FE7A305221}" name="Column15157"/>
    <tableColumn id="15163" xr3:uid="{A9217F35-E0FE-4F1D-B3AD-E0103B049534}" name="Column15158"/>
    <tableColumn id="15164" xr3:uid="{DB939A87-DD45-4145-AC18-82B68069813D}" name="Column15159"/>
    <tableColumn id="15165" xr3:uid="{82CFC5B2-84B6-4587-9EE2-E5D74554A2F4}" name="Column15160"/>
    <tableColumn id="15166" xr3:uid="{4D2BF783-CBA8-4D7A-968F-D6698F3A879E}" name="Column15161"/>
    <tableColumn id="15167" xr3:uid="{1B695668-25DA-424D-B7A6-2C1D9F01953C}" name="Column15162"/>
    <tableColumn id="15168" xr3:uid="{53F97846-5B75-4123-9ACE-96266A3BB713}" name="Column15163"/>
    <tableColumn id="15169" xr3:uid="{A59BB59D-4313-4B7D-A770-0336CB856EA6}" name="Column15164"/>
    <tableColumn id="15170" xr3:uid="{433EFCA5-CE5C-4BFE-8625-52AFA075E59A}" name="Column15165"/>
    <tableColumn id="15171" xr3:uid="{9D42CE09-CE65-4A68-A513-681F31F5EBF7}" name="Column15166"/>
    <tableColumn id="15172" xr3:uid="{F7AFDA85-120A-4FD1-A442-3A642BBCE598}" name="Column15167"/>
    <tableColumn id="15173" xr3:uid="{0807565A-0B2F-49E3-95A1-EF02E7A14D7F}" name="Column15168"/>
    <tableColumn id="15174" xr3:uid="{C77556C7-22EB-47FE-83D6-17DF56EEAB92}" name="Column15169"/>
    <tableColumn id="15175" xr3:uid="{B3965ED6-7D6F-4510-9AAA-CC66E5EDADC1}" name="Column15170"/>
    <tableColumn id="15176" xr3:uid="{70A8A9B0-3893-47FF-8293-46A8046BBC37}" name="Column15171"/>
    <tableColumn id="15177" xr3:uid="{90C35356-6EE5-4D28-AC97-4535EA0EC92A}" name="Column15172"/>
    <tableColumn id="15178" xr3:uid="{D23351C2-B83C-4BB2-A882-4FCF01B8559E}" name="Column15173"/>
    <tableColumn id="15179" xr3:uid="{D2B6224B-E76A-410D-B946-8564CAFE7067}" name="Column15174"/>
    <tableColumn id="15180" xr3:uid="{0EF48BB7-ECC0-455C-A693-2341D52766DE}" name="Column15175"/>
    <tableColumn id="15181" xr3:uid="{386B28E7-A449-4379-A4A8-93AD8DC2C0C4}" name="Column15176"/>
    <tableColumn id="15182" xr3:uid="{04398477-D087-47FC-ADE8-7A8CB539B92A}" name="Column15177"/>
    <tableColumn id="15183" xr3:uid="{8A5A0F07-1B79-4C5B-AFDA-CEA1E87C6A2D}" name="Column15178"/>
    <tableColumn id="15184" xr3:uid="{A394B178-D09D-442B-BFB5-8795433B7F64}" name="Column15179"/>
    <tableColumn id="15185" xr3:uid="{D8E42DAA-186D-4DE9-814F-8C362432BCF6}" name="Column15180"/>
    <tableColumn id="15186" xr3:uid="{A2C640BA-95FB-454D-86F5-EB8C885C6179}" name="Column15181"/>
    <tableColumn id="15187" xr3:uid="{E6EC89CC-54AD-4E0F-ADF2-C595D00363E4}" name="Column15182"/>
    <tableColumn id="15188" xr3:uid="{AB87D169-908C-4B19-9808-B03FA8CB8F98}" name="Column15183"/>
    <tableColumn id="15189" xr3:uid="{600FCA89-14C4-4E0C-90CE-38DC1E272103}" name="Column15184"/>
    <tableColumn id="15190" xr3:uid="{1B224A5F-22DC-4C0A-AA5D-BB9A0D77A9A5}" name="Column15185"/>
    <tableColumn id="15191" xr3:uid="{6F03ABE8-193A-4E74-92EE-F89822FCB4B3}" name="Column15186"/>
    <tableColumn id="15192" xr3:uid="{D90EC91F-0EF9-46F6-B127-0A05D8878328}" name="Column15187"/>
    <tableColumn id="15193" xr3:uid="{9AA66031-D7A4-48E5-964E-09B11871FCA5}" name="Column15188"/>
    <tableColumn id="15194" xr3:uid="{0EE11289-DCFD-4B67-AC56-7A6737C763BE}" name="Column15189"/>
    <tableColumn id="15195" xr3:uid="{F55ABF46-BB8E-4348-8A0C-FF183DD34047}" name="Column15190"/>
    <tableColumn id="15196" xr3:uid="{13213515-A6A3-4EE6-BF75-741142D30F95}" name="Column15191"/>
    <tableColumn id="15197" xr3:uid="{BBF362D4-E2C5-4029-A01D-04E969354F05}" name="Column15192"/>
    <tableColumn id="15198" xr3:uid="{A72D4A21-72FC-44A2-8F84-0A7161176301}" name="Column15193"/>
    <tableColumn id="15199" xr3:uid="{C2CAD3D3-7C23-4AD7-85E7-29036033778E}" name="Column15194"/>
    <tableColumn id="15200" xr3:uid="{F7A57531-E7D7-4DB2-B2AB-FA1F67B5121D}" name="Column15195"/>
    <tableColumn id="15201" xr3:uid="{EB1D930F-FF08-45AA-ACC1-4EE28AC1DF13}" name="Column15196"/>
    <tableColumn id="15202" xr3:uid="{C5CF3188-178A-4455-B8E6-967ED33FBE98}" name="Column15197"/>
    <tableColumn id="15203" xr3:uid="{15C829BA-576D-49EA-9719-E414A14B8952}" name="Column15198"/>
    <tableColumn id="15204" xr3:uid="{A878761A-099C-4DF0-A8F5-EF6E4419D64C}" name="Column15199"/>
    <tableColumn id="15205" xr3:uid="{99B93F6C-B98B-4050-B871-779AD2585938}" name="Column15200"/>
    <tableColumn id="15206" xr3:uid="{4CA83FD4-913A-4E5F-A408-1AD4B81DC895}" name="Column15201"/>
    <tableColumn id="15207" xr3:uid="{E066C40F-6931-480E-A1EA-91F3B81AFD78}" name="Column15202"/>
    <tableColumn id="15208" xr3:uid="{4A75B679-1124-4D73-88C6-D88AE4390D6E}" name="Column15203"/>
    <tableColumn id="15209" xr3:uid="{9F391DCF-AFEF-465C-B424-BB560429FDCF}" name="Column15204"/>
    <tableColumn id="15210" xr3:uid="{285C2A98-0654-4B6D-9B7A-88FFC861340E}" name="Column15205"/>
    <tableColumn id="15211" xr3:uid="{5B89F9D8-D293-4183-9B56-B7C7B0AFE375}" name="Column15206"/>
    <tableColumn id="15212" xr3:uid="{9E3EEFBE-67D3-4E10-91BB-81F98F525C20}" name="Column15207"/>
    <tableColumn id="15213" xr3:uid="{77954682-4CB7-4DDC-A49C-DE4841DCD684}" name="Column15208"/>
    <tableColumn id="15214" xr3:uid="{1DEF0534-1E81-49CC-BA2A-4BD755E33BED}" name="Column15209"/>
    <tableColumn id="15215" xr3:uid="{2B008D7B-80A5-4EDA-A256-3637BD1B00D7}" name="Column15210"/>
    <tableColumn id="15216" xr3:uid="{60AF5477-CCE8-4308-8EE5-3785EEF8F733}" name="Column15211"/>
    <tableColumn id="15217" xr3:uid="{40B696A7-079C-49BE-9B96-55A5E29F66B5}" name="Column15212"/>
    <tableColumn id="15218" xr3:uid="{BE411FD4-353E-41F6-8089-B2820419B51F}" name="Column15213"/>
    <tableColumn id="15219" xr3:uid="{B671C7EF-42B0-4C12-9559-8EBF8DD5326C}" name="Column15214"/>
    <tableColumn id="15220" xr3:uid="{ABD2635C-49FF-42EE-8361-973DEAB2A5E9}" name="Column15215"/>
    <tableColumn id="15221" xr3:uid="{E9D8BD0E-B583-465F-ABCF-0E292D19F80D}" name="Column15216"/>
    <tableColumn id="15222" xr3:uid="{DFCD42EA-6E07-4BAF-A0A2-08C9C3C83A47}" name="Column15217"/>
    <tableColumn id="15223" xr3:uid="{7FFF1BBE-14DD-4417-BD1C-DB2C705FD442}" name="Column15218"/>
    <tableColumn id="15224" xr3:uid="{E537CFB3-D8EF-4A6B-9973-42FDF5075BEC}" name="Column15219"/>
    <tableColumn id="15225" xr3:uid="{349A98FE-71E0-4144-95B9-0485B5CF10F2}" name="Column15220"/>
    <tableColumn id="15226" xr3:uid="{9038F7CF-8C82-4C48-A5AC-6DE4A1A6FFB4}" name="Column15221"/>
    <tableColumn id="15227" xr3:uid="{E181850A-CD39-4234-A55B-1DD15F5BBBAD}" name="Column15222"/>
    <tableColumn id="15228" xr3:uid="{68D8F981-2986-46CB-8625-29AF198F779B}" name="Column15223"/>
    <tableColumn id="15229" xr3:uid="{5275A9C1-F173-429C-8117-3A35376EAA65}" name="Column15224"/>
    <tableColumn id="15230" xr3:uid="{8172F18E-A3B9-4481-8CFE-EFFC8400C300}" name="Column15225"/>
    <tableColumn id="15231" xr3:uid="{D2177865-D614-489A-9C38-72077BFFECE8}" name="Column15226"/>
    <tableColumn id="15232" xr3:uid="{E4A167FC-0336-4A0F-8F54-17D0C5BD1CE3}" name="Column15227"/>
    <tableColumn id="15233" xr3:uid="{B9FD130B-86D8-4470-9B58-586E3A3362C8}" name="Column15228"/>
    <tableColumn id="15234" xr3:uid="{37605C65-8269-4632-8E9F-F232CCB2B9DD}" name="Column15229"/>
    <tableColumn id="15235" xr3:uid="{64898287-0237-42C2-BAD4-55AE842F3EC0}" name="Column15230"/>
    <tableColumn id="15236" xr3:uid="{89768CB2-200E-430F-B08C-46449FC2D8B5}" name="Column15231"/>
    <tableColumn id="15237" xr3:uid="{7C856FF5-F177-4B75-B9FD-CE00B499705A}" name="Column15232"/>
    <tableColumn id="15238" xr3:uid="{A7DD4174-33C3-4692-9C17-BEF4A61299A9}" name="Column15233"/>
    <tableColumn id="15239" xr3:uid="{9889D822-9FC3-4D79-8DB9-D3BD1A87575E}" name="Column15234"/>
    <tableColumn id="15240" xr3:uid="{6A23AEA6-7023-476B-AAD2-C490873D1121}" name="Column15235"/>
    <tableColumn id="15241" xr3:uid="{41B30426-4179-4B7D-A0D2-F443F1EF337F}" name="Column15236"/>
    <tableColumn id="15242" xr3:uid="{1CC2F517-283A-4C7A-8E6E-A27227ED7B06}" name="Column15237"/>
    <tableColumn id="15243" xr3:uid="{5C431BD6-AE5B-4AB2-9D58-1A20FB119D74}" name="Column15238"/>
    <tableColumn id="15244" xr3:uid="{3AE89244-83E8-4B7F-8657-A3160B13C92D}" name="Column15239"/>
    <tableColumn id="15245" xr3:uid="{5E2E7F50-EA99-4DC6-9040-1CE197B0AA78}" name="Column15240"/>
    <tableColumn id="15246" xr3:uid="{10F95A5C-E043-4272-8C4D-D9CA697322D3}" name="Column15241"/>
    <tableColumn id="15247" xr3:uid="{1B148AEC-6342-4778-8169-7FB719B1948D}" name="Column15242"/>
    <tableColumn id="15248" xr3:uid="{8BC09BC4-624B-482C-A46A-F5DFB637CB82}" name="Column15243"/>
    <tableColumn id="15249" xr3:uid="{D6951BDF-126B-492C-B452-148C4CA8E09A}" name="Column15244"/>
    <tableColumn id="15250" xr3:uid="{D40894AB-9E75-49EF-834D-C1125D051CE6}" name="Column15245"/>
    <tableColumn id="15251" xr3:uid="{1904E1FC-35F2-4F98-9741-50B90CBB7D88}" name="Column15246"/>
    <tableColumn id="15252" xr3:uid="{1BBA9074-AAB3-4CBC-BEBF-A1208921B632}" name="Column15247"/>
    <tableColumn id="15253" xr3:uid="{C74507D8-94B2-4A45-8813-BBBB34E4F7D0}" name="Column15248"/>
    <tableColumn id="15254" xr3:uid="{E067B8EB-A3DD-4D74-8038-9180C7B64895}" name="Column15249"/>
    <tableColumn id="15255" xr3:uid="{D64BAE56-B056-4279-AC94-6E2AB57FA06F}" name="Column15250"/>
    <tableColumn id="15256" xr3:uid="{8978407C-46DE-404B-98E7-4B12BC85CEC7}" name="Column15251"/>
    <tableColumn id="15257" xr3:uid="{E03E5F46-0D3E-4C5D-9ECC-05307EEA6164}" name="Column15252"/>
    <tableColumn id="15258" xr3:uid="{4931F98F-DC1D-44D4-A9BA-337DE2BE755F}" name="Column15253"/>
    <tableColumn id="15259" xr3:uid="{1B6ACB8E-1AC9-4D10-B10E-69E2344C60F9}" name="Column15254"/>
    <tableColumn id="15260" xr3:uid="{7E80A63B-1424-49C8-8863-CAE0C3DADD01}" name="Column15255"/>
    <tableColumn id="15261" xr3:uid="{4444F666-E2CB-4EE0-A04B-6D887AD1ED06}" name="Column15256"/>
    <tableColumn id="15262" xr3:uid="{0F8632A9-3E09-4B07-86CA-302F0525A635}" name="Column15257"/>
    <tableColumn id="15263" xr3:uid="{34B9CF54-D542-4532-81EC-01798FE73B4D}" name="Column15258"/>
    <tableColumn id="15264" xr3:uid="{40281413-7D47-4F79-A8DD-E93C499EB88F}" name="Column15259"/>
    <tableColumn id="15265" xr3:uid="{A017A2EB-C35E-42C6-B777-1683303971AA}" name="Column15260"/>
    <tableColumn id="15266" xr3:uid="{0C191B00-35A8-4050-B1AB-865E1E3E7165}" name="Column15261"/>
    <tableColumn id="15267" xr3:uid="{0F416E34-7373-4413-8008-476794A6BDBF}" name="Column15262"/>
    <tableColumn id="15268" xr3:uid="{8EFA008E-0CC4-4C66-9DC6-A01DD3E67EF4}" name="Column15263"/>
    <tableColumn id="15269" xr3:uid="{B49481B4-34DE-4DBD-A977-E407A7F2EF4C}" name="Column15264"/>
    <tableColumn id="15270" xr3:uid="{6F2E7174-86D7-45B8-A4BF-9A2518B1B4A0}" name="Column15265"/>
    <tableColumn id="15271" xr3:uid="{CF09AEAC-28A7-4E24-9CE5-71EE5E0644B2}" name="Column15266"/>
    <tableColumn id="15272" xr3:uid="{382647C5-CC15-4AE2-8087-D6257DC2DCEB}" name="Column15267"/>
    <tableColumn id="15273" xr3:uid="{DFFE5C41-3632-4832-B867-6D1365E9348F}" name="Column15268"/>
    <tableColumn id="15274" xr3:uid="{405620FF-C8DB-46E5-B3E0-634EF867FC88}" name="Column15269"/>
    <tableColumn id="15275" xr3:uid="{20975C51-7538-4899-B407-E5463ADDAACE}" name="Column15270"/>
    <tableColumn id="15276" xr3:uid="{92DFD834-568D-4B5A-A190-7C33DB2FA392}" name="Column15271"/>
    <tableColumn id="15277" xr3:uid="{9B3445D9-F9B0-4A1B-A12F-373035C862A2}" name="Column15272"/>
    <tableColumn id="15278" xr3:uid="{11318771-5EF3-4D8D-B353-C05EB4ECDCD6}" name="Column15273"/>
    <tableColumn id="15279" xr3:uid="{40BA85DC-2582-4E80-91E0-C574E00DC860}" name="Column15274"/>
    <tableColumn id="15280" xr3:uid="{CAD02FD7-33FF-479E-9AE7-9099FD70180A}" name="Column15275"/>
    <tableColumn id="15281" xr3:uid="{080EEFC4-9B5B-4C81-B09F-242ABEA3DF13}" name="Column15276"/>
    <tableColumn id="15282" xr3:uid="{446D5ADD-4B69-4962-9C25-4470F0F14018}" name="Column15277"/>
    <tableColumn id="15283" xr3:uid="{7E248E19-CAD6-4793-B7A7-BCACCE4BE951}" name="Column15278"/>
    <tableColumn id="15284" xr3:uid="{805824B7-E25F-4166-B063-392CE97B20C2}" name="Column15279"/>
    <tableColumn id="15285" xr3:uid="{3DA58433-0958-4BED-AF01-57F64AEBDF39}" name="Column15280"/>
    <tableColumn id="15286" xr3:uid="{477102AB-E7DF-462F-A059-5614B6551939}" name="Column15281"/>
    <tableColumn id="15287" xr3:uid="{BD219912-55C5-4933-943E-B7DF4D45E625}" name="Column15282"/>
    <tableColumn id="15288" xr3:uid="{29A4C363-7969-43CF-B4A3-E4843B54D5FB}" name="Column15283"/>
    <tableColumn id="15289" xr3:uid="{457F4A67-98AE-413E-B15C-0FD00579FC3E}" name="Column15284"/>
    <tableColumn id="15290" xr3:uid="{69BB196E-8469-4D53-8F13-65DE41F29305}" name="Column15285"/>
    <tableColumn id="15291" xr3:uid="{7D8D4ECC-5B4C-40C0-A324-F75334D23346}" name="Column15286"/>
    <tableColumn id="15292" xr3:uid="{BCA70C42-A694-47E7-B4CC-EEFDD0CAC913}" name="Column15287"/>
    <tableColumn id="15293" xr3:uid="{8D4436D9-1982-4D81-9D12-1BDD5C61FE97}" name="Column15288"/>
    <tableColumn id="15294" xr3:uid="{EA78C970-C89A-451E-A679-D49E5F97937F}" name="Column15289"/>
    <tableColumn id="15295" xr3:uid="{E7FCD93A-914B-4A8B-9192-95B9F464C347}" name="Column15290"/>
    <tableColumn id="15296" xr3:uid="{10A89D77-3AC8-4A4C-A4C9-17C3C81EF4FC}" name="Column15291"/>
    <tableColumn id="15297" xr3:uid="{B4FA99B9-3B8D-4914-88FC-CA00739F55D5}" name="Column15292"/>
    <tableColumn id="15298" xr3:uid="{4870348C-1D63-47CC-8F12-3A3AEA014806}" name="Column15293"/>
    <tableColumn id="15299" xr3:uid="{3834F27F-CCB6-4ED0-B9DB-EA2F8DA31F50}" name="Column15294"/>
    <tableColumn id="15300" xr3:uid="{E811342E-59EC-47C9-ABC4-1A622CE5E85C}" name="Column15295"/>
    <tableColumn id="15301" xr3:uid="{7E09084F-FDE4-43C2-83CE-C0D813CE3729}" name="Column15296"/>
    <tableColumn id="15302" xr3:uid="{B5DA064F-F7F5-4B1C-A849-318B50BB76ED}" name="Column15297"/>
    <tableColumn id="15303" xr3:uid="{52DFEF0C-F38E-47C2-A836-34FA1920A175}" name="Column15298"/>
    <tableColumn id="15304" xr3:uid="{34ACE251-4E95-4C4E-BB5C-FEA83CC2885A}" name="Column15299"/>
    <tableColumn id="15305" xr3:uid="{A4EB63C5-A9E4-4BCE-A0D2-4FAF5327B8A1}" name="Column15300"/>
    <tableColumn id="15306" xr3:uid="{5FAF5D02-D643-4E00-94BD-6AFD7FD069AC}" name="Column15301"/>
    <tableColumn id="15307" xr3:uid="{80A13D6F-682A-4A06-B30D-0DC08A1369D4}" name="Column15302"/>
    <tableColumn id="15308" xr3:uid="{0ED9D62C-9496-432B-9870-85C2569D9164}" name="Column15303"/>
    <tableColumn id="15309" xr3:uid="{7C18845C-CDDC-4EE4-9CC0-630DA039F88D}" name="Column15304"/>
    <tableColumn id="15310" xr3:uid="{6359E786-6CFD-4313-B815-F974F475447E}" name="Column15305"/>
    <tableColumn id="15311" xr3:uid="{10001A12-5DA0-40F6-BE24-95D165661547}" name="Column15306"/>
    <tableColumn id="15312" xr3:uid="{D9DB3E5E-54DE-438B-A1F6-AF50C0FEFEB3}" name="Column15307"/>
    <tableColumn id="15313" xr3:uid="{7DB5B16A-7C40-4CD0-A9C5-FB79AE9D9187}" name="Column15308"/>
    <tableColumn id="15314" xr3:uid="{41C66705-431C-4F9D-97A0-01580EC2719E}" name="Column15309"/>
    <tableColumn id="15315" xr3:uid="{DBA445E0-064D-487B-BDBB-89F0E7E06E5F}" name="Column15310"/>
    <tableColumn id="15316" xr3:uid="{4DA192D6-0A29-42C3-9717-2B233C37B26A}" name="Column15311"/>
    <tableColumn id="15317" xr3:uid="{F3E74F72-BF46-4FF1-8E77-BDC335544895}" name="Column15312"/>
    <tableColumn id="15318" xr3:uid="{0DD5AAF9-4857-4B0F-B6D3-E5CA9CAAD030}" name="Column15313"/>
    <tableColumn id="15319" xr3:uid="{ACD0025B-B755-423A-B83F-0358810D2FC9}" name="Column15314"/>
    <tableColumn id="15320" xr3:uid="{A886B070-3B3D-4C6D-86B3-FA078E4D4CDF}" name="Column15315"/>
    <tableColumn id="15321" xr3:uid="{9B8FCDD2-0A0C-4AC9-8FDD-E8ACEF326CA9}" name="Column15316"/>
    <tableColumn id="15322" xr3:uid="{F750EC05-1677-43A6-9ADD-6CDE1CB50780}" name="Column15317"/>
    <tableColumn id="15323" xr3:uid="{21F9F27D-3467-4290-91BD-E1AB8EC02EDE}" name="Column15318"/>
    <tableColumn id="15324" xr3:uid="{59627F3C-97E7-4969-8362-F2B8163F7CF2}" name="Column15319"/>
    <tableColumn id="15325" xr3:uid="{F72D24FC-BBBA-440F-BE37-B0B556439C4B}" name="Column15320"/>
    <tableColumn id="15326" xr3:uid="{CF07D501-9CBF-4763-B080-BAB40D01C68C}" name="Column15321"/>
    <tableColumn id="15327" xr3:uid="{E8E09581-27BE-47D6-9595-224650BD6CD8}" name="Column15322"/>
    <tableColumn id="15328" xr3:uid="{A893F5BD-266E-4810-8933-811757D8E35F}" name="Column15323"/>
    <tableColumn id="15329" xr3:uid="{12519805-15BB-4363-BF05-4E74B9CD37BA}" name="Column15324"/>
    <tableColumn id="15330" xr3:uid="{D031A96C-69DC-44C4-8C01-57D775314F6B}" name="Column15325"/>
    <tableColumn id="15331" xr3:uid="{98AC6EB0-D149-47D8-BA29-598B65943C25}" name="Column15326"/>
    <tableColumn id="15332" xr3:uid="{04AF8A03-8DAA-44C3-837C-F724826514F4}" name="Column15327"/>
    <tableColumn id="15333" xr3:uid="{6053E447-B5A1-4EFE-AB20-F98FDC86F8A1}" name="Column15328"/>
    <tableColumn id="15334" xr3:uid="{1E6D13A1-4045-4BE7-98BF-B40DC7B49FB3}" name="Column15329"/>
    <tableColumn id="15335" xr3:uid="{35B53C9A-2041-41C3-A6AB-1484079A00E2}" name="Column15330"/>
    <tableColumn id="15336" xr3:uid="{74EFDC38-6FB4-488B-91B4-4A38019EE4DE}" name="Column15331"/>
    <tableColumn id="15337" xr3:uid="{EC902ED1-ADC6-404F-B838-E8D17739DB6A}" name="Column15332"/>
    <tableColumn id="15338" xr3:uid="{876512AE-FFA5-42AC-BFFB-0EB29829C525}" name="Column15333"/>
    <tableColumn id="15339" xr3:uid="{1DFE48BF-69ED-41B8-B400-49E955934260}" name="Column15334"/>
    <tableColumn id="15340" xr3:uid="{C96AF3AA-1DF5-4CB8-BAB2-9709E873B48A}" name="Column15335"/>
    <tableColumn id="15341" xr3:uid="{4C75BD27-5D8F-46CE-9B6E-D3AE48C22AE6}" name="Column15336"/>
    <tableColumn id="15342" xr3:uid="{D9A579DF-5474-4780-B283-E29524D91D69}" name="Column15337"/>
    <tableColumn id="15343" xr3:uid="{E2ECD9EB-CD45-4C25-AACF-68B2FE804F39}" name="Column15338"/>
    <tableColumn id="15344" xr3:uid="{EDF3DC53-9F08-4FF8-8990-DD80D57BE722}" name="Column15339"/>
    <tableColumn id="15345" xr3:uid="{BE3B871C-97E7-45AE-B633-ACBA804A85DF}" name="Column15340"/>
    <tableColumn id="15346" xr3:uid="{614E94D4-A232-488B-B30C-5642D7D3330E}" name="Column15341"/>
    <tableColumn id="15347" xr3:uid="{43EAB4D9-E286-4B7D-A3E6-79C6CE87C304}" name="Column15342"/>
    <tableColumn id="15348" xr3:uid="{C00E9882-56B6-4D14-BCEC-D3FAE7599219}" name="Column15343"/>
    <tableColumn id="15349" xr3:uid="{B8FB3DC0-06FC-409F-A66E-7F056D37F003}" name="Column15344"/>
    <tableColumn id="15350" xr3:uid="{5F4C6DB8-B598-4215-823C-53E66BDFBC6F}" name="Column15345"/>
    <tableColumn id="15351" xr3:uid="{78790594-A511-4B06-A54B-ED6AE30E1A48}" name="Column15346"/>
    <tableColumn id="15352" xr3:uid="{A382DB5F-7B4C-4533-B215-4073E68B36CE}" name="Column15347"/>
    <tableColumn id="15353" xr3:uid="{9826AF7B-EDEA-4B9A-9C8E-F8B0132D5EC3}" name="Column15348"/>
    <tableColumn id="15354" xr3:uid="{FF2F2425-6497-4318-94B3-199CE01726A3}" name="Column15349"/>
    <tableColumn id="15355" xr3:uid="{581D118E-937B-4B44-B060-F86A3446516C}" name="Column15350"/>
    <tableColumn id="15356" xr3:uid="{7B80FFEF-D9CE-4EC8-AFEA-046374F56ED0}" name="Column15351"/>
    <tableColumn id="15357" xr3:uid="{104E7B64-D54F-4434-B051-B8021DE246BD}" name="Column15352"/>
    <tableColumn id="15358" xr3:uid="{91CA6F94-D469-4C9E-A934-B90C5B135DF5}" name="Column15353"/>
    <tableColumn id="15359" xr3:uid="{6EC13E97-B5F3-4A10-8267-88895F674721}" name="Column15354"/>
    <tableColumn id="15360" xr3:uid="{B3B42A41-286C-47F1-AD3F-712DDE550E08}" name="Column15355"/>
    <tableColumn id="15361" xr3:uid="{EA4E9DC4-5CC4-4FB2-A56A-C195D4FCF24F}" name="Column15356"/>
    <tableColumn id="15362" xr3:uid="{058B741A-C93D-45C9-9797-604320EB5A2F}" name="Column15357"/>
    <tableColumn id="15363" xr3:uid="{0F5F0284-ECDD-4958-B03F-14A9745BCA61}" name="Column15358"/>
    <tableColumn id="15364" xr3:uid="{FF3E1075-2A84-4496-A0EB-4A64F3A08D68}" name="Column15359"/>
    <tableColumn id="15365" xr3:uid="{FE9124D5-2AC1-40C4-80A9-893E7F880AA9}" name="Column15360"/>
    <tableColumn id="15366" xr3:uid="{2242A155-A41A-4858-945B-BE9EAC4926F4}" name="Column15361"/>
    <tableColumn id="15367" xr3:uid="{7FBB45BA-20A6-4367-B925-6422526C82B4}" name="Column15362"/>
    <tableColumn id="15368" xr3:uid="{E8B74E1B-3B99-411E-94D6-7005A634D7CD}" name="Column15363"/>
    <tableColumn id="15369" xr3:uid="{A43C52A9-C52F-4162-AFF4-5F09E677D468}" name="Column15364"/>
    <tableColumn id="15370" xr3:uid="{07119FB1-E26D-4620-8104-4235E74F6324}" name="Column15365"/>
    <tableColumn id="15371" xr3:uid="{59271A48-A23B-4907-9F9A-CBB0C42D5F07}" name="Column15366"/>
    <tableColumn id="15372" xr3:uid="{4AA08727-53E0-4EDD-9118-81D2AF03870D}" name="Column15367"/>
    <tableColumn id="15373" xr3:uid="{0202238D-4D0C-46DA-A80E-8A50349726D7}" name="Column15368"/>
    <tableColumn id="15374" xr3:uid="{5817355B-F445-4A31-A084-6B48108C58CF}" name="Column15369"/>
    <tableColumn id="15375" xr3:uid="{CA588B87-08C6-415A-AAAD-8F8C2738608F}" name="Column15370"/>
    <tableColumn id="15376" xr3:uid="{205D08E4-731F-4ED8-A423-71D50A32AE21}" name="Column15371"/>
    <tableColumn id="15377" xr3:uid="{D81FD37E-404F-4F8F-8BAC-114462A8C04B}" name="Column15372"/>
    <tableColumn id="15378" xr3:uid="{F97253C8-61AD-4827-A2AF-EA5E470CBA5A}" name="Column15373"/>
    <tableColumn id="15379" xr3:uid="{E6EFCA88-5180-43BA-B339-E1A65F98516C}" name="Column15374"/>
    <tableColumn id="15380" xr3:uid="{2C7B06A5-016E-4E8B-A14F-F1A82BDC8043}" name="Column15375"/>
    <tableColumn id="15381" xr3:uid="{6050A4AE-A8DC-494C-A4CA-3C5E457FEB65}" name="Column15376"/>
    <tableColumn id="15382" xr3:uid="{2076C5AD-A20B-4AE0-A971-5AB789EEF4CA}" name="Column15377"/>
    <tableColumn id="15383" xr3:uid="{91E70A06-003A-4CCC-8242-6C7D1844D12E}" name="Column15378"/>
    <tableColumn id="15384" xr3:uid="{A0A73D99-3023-4B81-9261-71ABBCE14360}" name="Column15379"/>
    <tableColumn id="15385" xr3:uid="{B21C9C44-0D7A-4173-B38A-68C90834AC1D}" name="Column15380"/>
    <tableColumn id="15386" xr3:uid="{D5C6DEBD-E644-4E27-ABFE-51A55B78CEC0}" name="Column15381"/>
    <tableColumn id="15387" xr3:uid="{FD8593A6-0118-46DD-8412-9D241B6FFDF3}" name="Column15382"/>
    <tableColumn id="15388" xr3:uid="{10EA90D7-B3F7-465A-87D8-811707081B77}" name="Column15383"/>
    <tableColumn id="15389" xr3:uid="{920787C8-A83B-487F-BEB6-7D6A59085291}" name="Column15384"/>
    <tableColumn id="15390" xr3:uid="{2C9DF80C-12B3-47A7-A9D4-F709B6D2E05E}" name="Column15385"/>
    <tableColumn id="15391" xr3:uid="{CC6A8C76-591C-4656-A165-4ADB09732A2E}" name="Column15386"/>
    <tableColumn id="15392" xr3:uid="{D23152FC-2C14-4397-8266-40E818647FFA}" name="Column15387"/>
    <tableColumn id="15393" xr3:uid="{DD40A7F6-A755-43D9-8F4F-8087822AC2B3}" name="Column15388"/>
    <tableColumn id="15394" xr3:uid="{0A8C241A-B74D-4651-B664-28823B5238A5}" name="Column15389"/>
    <tableColumn id="15395" xr3:uid="{C11347DB-FCE1-4738-B5FE-424CCF3778E4}" name="Column15390"/>
    <tableColumn id="15396" xr3:uid="{ACF79AA8-8A37-4B29-96AA-F7B3CF307EF0}" name="Column15391"/>
    <tableColumn id="15397" xr3:uid="{A5FF82B7-F9B5-45DC-9C9F-702B894D1515}" name="Column15392"/>
    <tableColumn id="15398" xr3:uid="{F43C36AA-9114-4BF7-B7E7-C4EF82508E70}" name="Column15393"/>
    <tableColumn id="15399" xr3:uid="{A39FA150-F52F-44CB-A8BE-2D8F117D868C}" name="Column15394"/>
    <tableColumn id="15400" xr3:uid="{6CF3BF2F-5077-4A4C-8C98-561696EFFB17}" name="Column15395"/>
    <tableColumn id="15401" xr3:uid="{A1D4147A-A3CB-423E-9E5B-E6858ED5AEC4}" name="Column15396"/>
    <tableColumn id="15402" xr3:uid="{6C72F2FF-5358-494F-8078-F89008633108}" name="Column15397"/>
    <tableColumn id="15403" xr3:uid="{61944942-4204-42D5-A089-20057E0E09DE}" name="Column15398"/>
    <tableColumn id="15404" xr3:uid="{BE2841CB-A890-464A-9C61-CF19CB0B3C63}" name="Column15399"/>
    <tableColumn id="15405" xr3:uid="{A719B846-D179-4610-A603-CD3AB20A3B66}" name="Column15400"/>
    <tableColumn id="15406" xr3:uid="{175F0C86-A755-4571-9B60-FC3F359228A9}" name="Column15401"/>
    <tableColumn id="15407" xr3:uid="{7AA81C00-D768-43B8-9EE8-5AF814210EBE}" name="Column15402"/>
    <tableColumn id="15408" xr3:uid="{13BA57DC-837F-4C94-970F-7251B4BEC308}" name="Column15403"/>
    <tableColumn id="15409" xr3:uid="{26E792C9-C828-42D0-8F1F-5DCD7FC5ADBF}" name="Column15404"/>
    <tableColumn id="15410" xr3:uid="{BCA9DC87-8CFF-40E5-AFF8-F457DC0AF30E}" name="Column15405"/>
    <tableColumn id="15411" xr3:uid="{DF869810-FB2C-4DD0-8CAE-9D3533347425}" name="Column15406"/>
    <tableColumn id="15412" xr3:uid="{C66851C3-0A4E-44FB-A7DA-7F93E928D3ED}" name="Column15407"/>
    <tableColumn id="15413" xr3:uid="{D4661885-A52F-4B23-9EC9-4B3C34126056}" name="Column15408"/>
    <tableColumn id="15414" xr3:uid="{85660D12-FE73-4781-8E16-C31B5764B395}" name="Column15409"/>
    <tableColumn id="15415" xr3:uid="{71467D82-085B-4562-875D-FA98B9555155}" name="Column15410"/>
    <tableColumn id="15416" xr3:uid="{00EA1BD4-6E71-4FC8-8BFF-09724D86944B}" name="Column15411"/>
    <tableColumn id="15417" xr3:uid="{FCB2558C-9C6C-491A-9D73-B4A4DC5F914D}" name="Column15412"/>
    <tableColumn id="15418" xr3:uid="{0F2D03FD-89C1-4902-84F3-75FB1FB1AADA}" name="Column15413"/>
    <tableColumn id="15419" xr3:uid="{68CF148D-D47D-4CAA-BB44-1214A44102B1}" name="Column15414"/>
    <tableColumn id="15420" xr3:uid="{08855A78-781C-4260-BC3C-DC046D38F4F0}" name="Column15415"/>
    <tableColumn id="15421" xr3:uid="{84F8E629-2FB0-4908-8BEC-E735E3188B17}" name="Column15416"/>
    <tableColumn id="15422" xr3:uid="{4F9BF598-D864-41ED-AE50-55E74421E910}" name="Column15417"/>
    <tableColumn id="15423" xr3:uid="{815A41BE-A42C-4704-BB9C-FC4849FDC739}" name="Column15418"/>
    <tableColumn id="15424" xr3:uid="{32530B79-7470-4319-B078-0590CCC7ED41}" name="Column15419"/>
    <tableColumn id="15425" xr3:uid="{D638795D-93BC-46BA-8E7C-AB607558857B}" name="Column15420"/>
    <tableColumn id="15426" xr3:uid="{12D2F02F-6469-4F5B-B963-A7D086569AA4}" name="Column15421"/>
    <tableColumn id="15427" xr3:uid="{CB635D2B-FA4B-4C19-80BE-0AD64016207F}" name="Column15422"/>
    <tableColumn id="15428" xr3:uid="{F166BCB3-DFD1-4BED-A6FA-009A10482282}" name="Column15423"/>
    <tableColumn id="15429" xr3:uid="{9A92B2AD-2335-4408-A704-2776C023EBE4}" name="Column15424"/>
    <tableColumn id="15430" xr3:uid="{D6113223-6DF0-492B-8DA4-369BB9FFB906}" name="Column15425"/>
    <tableColumn id="15431" xr3:uid="{F976C80A-4D98-4BD0-82CC-C84E34BA1B60}" name="Column15426"/>
    <tableColumn id="15432" xr3:uid="{69593728-41D4-4C2F-92B6-49E0BF099DE4}" name="Column15427"/>
    <tableColumn id="15433" xr3:uid="{94A900F3-5A77-4A65-B7D0-08A77754D72A}" name="Column15428"/>
    <tableColumn id="15434" xr3:uid="{DF473310-B967-4592-A54F-FCDFD596D381}" name="Column15429"/>
    <tableColumn id="15435" xr3:uid="{CB080BDD-5080-45C8-9663-3672BD05B28D}" name="Column15430"/>
    <tableColumn id="15436" xr3:uid="{1515D7F6-9F4F-4F0F-8963-4CDE3DD56230}" name="Column15431"/>
    <tableColumn id="15437" xr3:uid="{8BF9A6D7-3390-4628-9076-E8B56974ED65}" name="Column15432"/>
    <tableColumn id="15438" xr3:uid="{82F3055D-E713-4416-9FAF-95D139A05E21}" name="Column15433"/>
    <tableColumn id="15439" xr3:uid="{03AFD818-EA80-403C-A5CD-530759B3BE48}" name="Column15434"/>
    <tableColumn id="15440" xr3:uid="{6CB0F57B-83B1-46A8-8BC4-C1A10F76D763}" name="Column15435"/>
    <tableColumn id="15441" xr3:uid="{C9FCF928-2145-4A5C-AE62-1CAD624EBF33}" name="Column15436"/>
    <tableColumn id="15442" xr3:uid="{155AF1DA-F49E-455C-A01E-C04ACBCE20A9}" name="Column15437"/>
    <tableColumn id="15443" xr3:uid="{D6B89E20-F14B-4A8C-B9B1-2BEFA25474B9}" name="Column15438"/>
    <tableColumn id="15444" xr3:uid="{B1B10C28-F18C-495A-B49E-908036CF23C1}" name="Column15439"/>
    <tableColumn id="15445" xr3:uid="{B7F6517A-A0EC-41CA-A7B2-A85AACCDEA93}" name="Column15440"/>
    <tableColumn id="15446" xr3:uid="{9EFE9D85-64F7-434F-8F0A-FABFC1D0573C}" name="Column15441"/>
    <tableColumn id="15447" xr3:uid="{474833FB-722F-46DC-BAD1-83ECB5DB588B}" name="Column15442"/>
    <tableColumn id="15448" xr3:uid="{7FA4E5C7-F15C-46D0-8D7D-7F4EEB6B3F5F}" name="Column15443"/>
    <tableColumn id="15449" xr3:uid="{8573027D-A5FD-4E7A-8CA7-53000DDC4132}" name="Column15444"/>
    <tableColumn id="15450" xr3:uid="{84EE15BD-E038-469F-BC12-E1176A899527}" name="Column15445"/>
    <tableColumn id="15451" xr3:uid="{3C62D258-1934-4D13-9B8F-7D1865554C25}" name="Column15446"/>
    <tableColumn id="15452" xr3:uid="{FA71F939-74D9-43EB-A72E-37474F62DF01}" name="Column15447"/>
    <tableColumn id="15453" xr3:uid="{A787AD3B-8A34-4110-8961-ABE9364AE9D0}" name="Column15448"/>
    <tableColumn id="15454" xr3:uid="{F2DB42CE-4497-46AB-BB74-8F622253EFA6}" name="Column15449"/>
    <tableColumn id="15455" xr3:uid="{7CEE7D9F-D1E8-401B-A7EA-88AFE1080DAE}" name="Column15450"/>
    <tableColumn id="15456" xr3:uid="{20578B05-C8BB-4F93-8988-A63EBC1F70B8}" name="Column15451"/>
    <tableColumn id="15457" xr3:uid="{0398A117-BD54-4CA9-8E72-601777894431}" name="Column15452"/>
    <tableColumn id="15458" xr3:uid="{4253F7C4-9C34-4293-9DAD-72FDD8A2B3DA}" name="Column15453"/>
    <tableColumn id="15459" xr3:uid="{3759D288-1332-4DE5-8CAA-284321530EA3}" name="Column15454"/>
    <tableColumn id="15460" xr3:uid="{B0F9059F-E2B2-4BCC-886A-651B698C723F}" name="Column15455"/>
    <tableColumn id="15461" xr3:uid="{3AF2F61C-7A4A-40F6-A748-03B33B2ED819}" name="Column15456"/>
    <tableColumn id="15462" xr3:uid="{009CB2B0-8A00-4D4B-B775-86D4EFC7D38C}" name="Column15457"/>
    <tableColumn id="15463" xr3:uid="{380F49C1-F4C8-4B65-B85F-1A9242429C59}" name="Column15458"/>
    <tableColumn id="15464" xr3:uid="{6335AD3F-B43F-4742-865F-9CC196CD7006}" name="Column15459"/>
    <tableColumn id="15465" xr3:uid="{FFDAACF6-181D-44B7-B848-E6FEDD060304}" name="Column15460"/>
    <tableColumn id="15466" xr3:uid="{00A18C23-20F3-4322-89D0-B59A92EC0197}" name="Column15461"/>
    <tableColumn id="15467" xr3:uid="{1F76CDF0-ED67-4FB6-8E97-2AE496BC259E}" name="Column15462"/>
    <tableColumn id="15468" xr3:uid="{81ACD396-F48E-4D52-BECE-E176E7E75E6B}" name="Column15463"/>
    <tableColumn id="15469" xr3:uid="{4AC0B1D7-B59C-496D-B3BC-5A05F8882F7F}" name="Column15464"/>
    <tableColumn id="15470" xr3:uid="{1667FFF9-842E-444F-8B4C-07B34AB0F9CC}" name="Column15465"/>
    <tableColumn id="15471" xr3:uid="{C6AC7217-0455-40A3-B553-B4A1F421DD97}" name="Column15466"/>
    <tableColumn id="15472" xr3:uid="{6DD93C20-69ED-4833-81CF-75ACB4B07A27}" name="Column15467"/>
    <tableColumn id="15473" xr3:uid="{B08003B2-A860-4B2D-BB52-EDE714E58EE1}" name="Column15468"/>
    <tableColumn id="15474" xr3:uid="{A7B53EEF-3469-4096-8A73-720E9FD17CE1}" name="Column15469"/>
    <tableColumn id="15475" xr3:uid="{41523787-973E-46E9-ABAF-19DA23263804}" name="Column15470"/>
    <tableColumn id="15476" xr3:uid="{9AFE0A96-29FD-4CC1-AA5C-394D7BD9A82D}" name="Column15471"/>
    <tableColumn id="15477" xr3:uid="{9133E4FE-918C-4933-85FD-C1F796CC3ED8}" name="Column15472"/>
    <tableColumn id="15478" xr3:uid="{E2499B3E-4B3C-495D-84AA-22C7C75A300F}" name="Column15473"/>
    <tableColumn id="15479" xr3:uid="{FCC7C346-AE33-4AD1-927D-A0C5BF40C6E3}" name="Column15474"/>
    <tableColumn id="15480" xr3:uid="{3B4F9543-F654-4EAB-9065-40630BC52721}" name="Column15475"/>
    <tableColumn id="15481" xr3:uid="{4E58C145-B216-4BD2-9C0B-609A21C288A9}" name="Column15476"/>
    <tableColumn id="15482" xr3:uid="{C4A0DDBB-67AB-4873-9EE0-BF289B5B2FF9}" name="Column15477"/>
    <tableColumn id="15483" xr3:uid="{AAAAC4A4-36EE-43A1-98C3-810A67633FC1}" name="Column15478"/>
    <tableColumn id="15484" xr3:uid="{1A92F9F4-1AC5-4D40-8C46-75ADB0A50FD4}" name="Column15479"/>
    <tableColumn id="15485" xr3:uid="{F3DACC2C-1989-4D1B-99DC-8FCAAC685FA3}" name="Column15480"/>
    <tableColumn id="15486" xr3:uid="{A4CF30EA-392E-45AD-9E61-F05B2839C039}" name="Column15481"/>
    <tableColumn id="15487" xr3:uid="{A07C702D-F087-4E8E-9D06-69433C34D7F2}" name="Column15482"/>
    <tableColumn id="15488" xr3:uid="{71A60773-AD4E-4E1C-9E4C-3BC66B0335C3}" name="Column15483"/>
    <tableColumn id="15489" xr3:uid="{EDDEDE45-BC13-45F3-8605-AEA10E42400E}" name="Column15484"/>
    <tableColumn id="15490" xr3:uid="{058DB419-1435-4AEB-A7B5-1B9F736FCE0E}" name="Column15485"/>
    <tableColumn id="15491" xr3:uid="{8D19189F-ACFD-4E80-A56C-6EE89CA9A8B2}" name="Column15486"/>
    <tableColumn id="15492" xr3:uid="{3B8E1019-C352-4418-83CE-3B7B82D1E027}" name="Column15487"/>
    <tableColumn id="15493" xr3:uid="{530293E9-EDF7-4AC8-8FCC-F7215865A439}" name="Column15488"/>
    <tableColumn id="15494" xr3:uid="{2183E5F1-2923-4A67-9C4D-7A944780474A}" name="Column15489"/>
    <tableColumn id="15495" xr3:uid="{DFB7B48B-1E34-48F1-B664-2799F6F7E9B8}" name="Column15490"/>
    <tableColumn id="15496" xr3:uid="{BBB05F8C-3A62-412C-8A81-D31E64D2B6F4}" name="Column15491"/>
    <tableColumn id="15497" xr3:uid="{F43D1722-BBE7-4F31-93FC-674BFEDA859E}" name="Column15492"/>
    <tableColumn id="15498" xr3:uid="{9D901210-ADD9-4D99-AC6E-59E637A7DC27}" name="Column15493"/>
    <tableColumn id="15499" xr3:uid="{4DBBA239-2FC3-4373-862F-A962F8A08629}" name="Column15494"/>
    <tableColumn id="15500" xr3:uid="{41BABEFF-210C-4C59-930A-E2826DECBDBB}" name="Column15495"/>
    <tableColumn id="15501" xr3:uid="{4EF52732-6A59-4157-A492-B7107C8BB621}" name="Column15496"/>
    <tableColumn id="15502" xr3:uid="{D56A962B-98E0-4397-B8F2-059D00B890D8}" name="Column15497"/>
    <tableColumn id="15503" xr3:uid="{096E4CD6-447F-48DA-A990-E02AA48AC381}" name="Column15498"/>
    <tableColumn id="15504" xr3:uid="{09B6B4B2-5810-4FC0-B031-0B4CF63EF78E}" name="Column15499"/>
    <tableColumn id="15505" xr3:uid="{977821F3-79D6-411B-A558-409EB6B662EB}" name="Column15500"/>
    <tableColumn id="15506" xr3:uid="{0FDCDE6E-3B8B-43C9-B8DA-8A266E89FE96}" name="Column15501"/>
    <tableColumn id="15507" xr3:uid="{39419299-7201-47FB-BC9D-D6561816B48C}" name="Column15502"/>
    <tableColumn id="15508" xr3:uid="{600C9B25-0B54-49BB-87B6-1165E828108E}" name="Column15503"/>
    <tableColumn id="15509" xr3:uid="{42CA371F-9112-4015-AFD8-AB51491AC4B7}" name="Column15504"/>
    <tableColumn id="15510" xr3:uid="{82A395A8-6906-4E69-8CBC-4A0C2942DED9}" name="Column15505"/>
    <tableColumn id="15511" xr3:uid="{0F6989ED-12E5-48BE-A1A7-EBE295455887}" name="Column15506"/>
    <tableColumn id="15512" xr3:uid="{A047AE3E-690C-460E-BC5B-3C14A6B4E60A}" name="Column15507"/>
    <tableColumn id="15513" xr3:uid="{BEC66A4C-EDE1-449B-AD46-204E7789B662}" name="Column15508"/>
    <tableColumn id="15514" xr3:uid="{7C2935B3-22C2-4AC4-8679-F6FC3C023864}" name="Column15509"/>
    <tableColumn id="15515" xr3:uid="{6231D518-4AF5-4391-A5AC-3327F6B7A965}" name="Column15510"/>
    <tableColumn id="15516" xr3:uid="{5630ECFA-3F44-4CD9-B739-0646211B7B35}" name="Column15511"/>
    <tableColumn id="15517" xr3:uid="{DA0103B0-FBE5-44FA-9219-C97761059FD6}" name="Column15512"/>
    <tableColumn id="15518" xr3:uid="{F1B6E033-FF7A-496F-91F4-760CBCF2B37E}" name="Column15513"/>
    <tableColumn id="15519" xr3:uid="{96B8E7C2-1748-40FE-B32E-B0773C62DF03}" name="Column15514"/>
    <tableColumn id="15520" xr3:uid="{58472757-A7AD-41B8-B597-0FA47DF59D1D}" name="Column15515"/>
    <tableColumn id="15521" xr3:uid="{F6BFA72F-9A6B-4B55-859C-C61205AEB7D0}" name="Column15516"/>
    <tableColumn id="15522" xr3:uid="{00BACF6B-814A-47AD-AD2D-46E34C4FDC25}" name="Column15517"/>
    <tableColumn id="15523" xr3:uid="{FECC08CA-6242-4677-A880-2C2DF1554C40}" name="Column15518"/>
    <tableColumn id="15524" xr3:uid="{B2601EC6-F459-42E1-97CC-C229F4B59535}" name="Column15519"/>
    <tableColumn id="15525" xr3:uid="{518AE78B-8778-4B9C-BCB9-E7B33C08C2DA}" name="Column15520"/>
    <tableColumn id="15526" xr3:uid="{046F1077-23CC-4477-BA82-768F75928AB3}" name="Column15521"/>
    <tableColumn id="15527" xr3:uid="{B41C9128-D4CC-4061-9577-1E57B6FCF4C1}" name="Column15522"/>
    <tableColumn id="15528" xr3:uid="{E51C69BC-ABBD-4716-BF7B-C18E462C1A9D}" name="Column15523"/>
    <tableColumn id="15529" xr3:uid="{02D85BCE-2308-4E14-9DAB-65E03846FF65}" name="Column15524"/>
    <tableColumn id="15530" xr3:uid="{9283D098-55DC-472F-80EC-DA22A9D6ABDC}" name="Column15525"/>
    <tableColumn id="15531" xr3:uid="{9D832936-5385-498C-85D0-517AA257E336}" name="Column15526"/>
    <tableColumn id="15532" xr3:uid="{0F611F0F-8CA4-41B7-91B0-F2B9FD92CAFA}" name="Column15527"/>
    <tableColumn id="15533" xr3:uid="{FB573E41-429E-4BE8-932B-E92F628F1AB7}" name="Column15528"/>
    <tableColumn id="15534" xr3:uid="{F66FC318-BED6-406D-BD1E-A2B381B78016}" name="Column15529"/>
    <tableColumn id="15535" xr3:uid="{229C4CBC-71B5-4EFE-9B0A-2E13DA8E8973}" name="Column15530"/>
    <tableColumn id="15536" xr3:uid="{A516C9D6-74A8-470F-9C3C-414E49A1867F}" name="Column15531"/>
    <tableColumn id="15537" xr3:uid="{999BD013-CBA7-49BF-9E2A-C754A88B1B14}" name="Column15532"/>
    <tableColumn id="15538" xr3:uid="{7020E64B-7CB8-4AD7-9A6B-F92FCC49E58A}" name="Column15533"/>
    <tableColumn id="15539" xr3:uid="{8EAFC547-969A-4103-A916-B37F05AE10BF}" name="Column15534"/>
    <tableColumn id="15540" xr3:uid="{573A023A-09A4-47F8-8C40-7F5915E4B2AE}" name="Column15535"/>
    <tableColumn id="15541" xr3:uid="{7D110F37-009F-49EE-B0D2-9C6D86D4C9C9}" name="Column15536"/>
    <tableColumn id="15542" xr3:uid="{29CB187F-7923-4354-AE43-0F677A3F268B}" name="Column15537"/>
    <tableColumn id="15543" xr3:uid="{691E56E6-B9BF-46C7-B8BE-1D2506350DB6}" name="Column15538"/>
    <tableColumn id="15544" xr3:uid="{8EEEE8D1-E7F3-46F0-B959-497C6A9BA7CF}" name="Column15539"/>
    <tableColumn id="15545" xr3:uid="{855EBCF8-0D62-462A-9838-2E4E7D2F789B}" name="Column15540"/>
    <tableColumn id="15546" xr3:uid="{1E07199D-2079-4800-96C6-2B57356B2472}" name="Column15541"/>
    <tableColumn id="15547" xr3:uid="{9F6257F8-33EF-43EF-9440-E250ABD0F7D1}" name="Column15542"/>
    <tableColumn id="15548" xr3:uid="{48927909-E05D-4622-8E3A-5925268867E2}" name="Column15543"/>
    <tableColumn id="15549" xr3:uid="{034C11A3-566A-459B-AB01-F5AFCC35AD68}" name="Column15544"/>
    <tableColumn id="15550" xr3:uid="{2A05AA38-1D2F-48B7-9394-3BEC7870E4C6}" name="Column15545"/>
    <tableColumn id="15551" xr3:uid="{B34031E1-3F84-4913-BB46-5F7BDD94BC9D}" name="Column15546"/>
    <tableColumn id="15552" xr3:uid="{2A0754BC-F029-4574-A7EF-519014AD5B7C}" name="Column15547"/>
    <tableColumn id="15553" xr3:uid="{D3F1CA11-EE33-4649-BA66-78EE9F4EEE7D}" name="Column15548"/>
    <tableColumn id="15554" xr3:uid="{C3D94644-383C-4918-8DCD-E85562BD2C6A}" name="Column15549"/>
    <tableColumn id="15555" xr3:uid="{3EDB4633-1B57-411A-B1EA-D3123817B73D}" name="Column15550"/>
    <tableColumn id="15556" xr3:uid="{99DA4B97-2B2D-49AB-84FB-ECAE9741EDFB}" name="Column15551"/>
    <tableColumn id="15557" xr3:uid="{6F7EB5F5-D9B4-4FD9-9774-2E5DBEF25931}" name="Column15552"/>
    <tableColumn id="15558" xr3:uid="{57631AFF-D831-4C38-B9B1-800D1BBDADC8}" name="Column15553"/>
    <tableColumn id="15559" xr3:uid="{331CC278-8998-4558-B2E9-ABF59F395A60}" name="Column15554"/>
    <tableColumn id="15560" xr3:uid="{26B6F1F1-F5B6-48CB-B7E1-8C6E3B134A99}" name="Column15555"/>
    <tableColumn id="15561" xr3:uid="{14A71627-1248-4DF2-A8B6-144B407C68E9}" name="Column15556"/>
    <tableColumn id="15562" xr3:uid="{50930E87-5A55-4161-A70F-0BF8BE363C66}" name="Column15557"/>
    <tableColumn id="15563" xr3:uid="{FAC4A486-9F56-4A35-BBB6-7BF30502C40C}" name="Column15558"/>
    <tableColumn id="15564" xr3:uid="{BA69A31F-69F1-4AF0-88EC-5DA63ED4BFA0}" name="Column15559"/>
    <tableColumn id="15565" xr3:uid="{3540E8B8-69BF-4F1A-9941-78A875FE37B5}" name="Column15560"/>
    <tableColumn id="15566" xr3:uid="{B1B4BFAC-0FBD-4023-9302-84ED79C397E5}" name="Column15561"/>
    <tableColumn id="15567" xr3:uid="{B3186CDE-46E8-476E-BC84-6032ECC3D725}" name="Column15562"/>
    <tableColumn id="15568" xr3:uid="{E51095EA-776A-415B-837D-4C2BE388FFFD}" name="Column15563"/>
    <tableColumn id="15569" xr3:uid="{161A70B2-D7AA-4D26-A824-143ACC59537C}" name="Column15564"/>
    <tableColumn id="15570" xr3:uid="{D61FC42C-FBE2-4D5A-8984-5F3EC9ACDDEE}" name="Column15565"/>
    <tableColumn id="15571" xr3:uid="{3BB16863-CE46-4C2F-BDEC-8AA68B3A175E}" name="Column15566"/>
    <tableColumn id="15572" xr3:uid="{F2FCE060-119F-459E-8928-C9F1092B085B}" name="Column15567"/>
    <tableColumn id="15573" xr3:uid="{2BE535A7-E178-4E89-A5A8-3525924560A9}" name="Column15568"/>
    <tableColumn id="15574" xr3:uid="{EAE74F0A-046F-4FA3-AD8A-14BA12A7705F}" name="Column15569"/>
    <tableColumn id="15575" xr3:uid="{544FE270-1948-4345-8098-044802234EF3}" name="Column15570"/>
    <tableColumn id="15576" xr3:uid="{05ACA8C3-BF9A-46F8-B701-47BE8B7713E7}" name="Column15571"/>
    <tableColumn id="15577" xr3:uid="{02206FE8-5675-48CB-B618-4F16F0649647}" name="Column15572"/>
    <tableColumn id="15578" xr3:uid="{1B9D3B4C-1E58-4A68-A63D-67E383DCACBF}" name="Column15573"/>
    <tableColumn id="15579" xr3:uid="{709E8B1A-6E05-4145-8EAC-EBA5B6918ABA}" name="Column15574"/>
    <tableColumn id="15580" xr3:uid="{CA11D0D3-928D-437F-AC6B-02DC2FDBF9D5}" name="Column15575"/>
    <tableColumn id="15581" xr3:uid="{A3671EF0-0483-45BB-BD49-28A8DF3C3F78}" name="Column15576"/>
    <tableColumn id="15582" xr3:uid="{D18B4E30-EF33-4181-BAE6-82D31F47ADCB}" name="Column15577"/>
    <tableColumn id="15583" xr3:uid="{6A73E35F-CD60-440E-8CE5-507CD25AB9E6}" name="Column15578"/>
    <tableColumn id="15584" xr3:uid="{41A58219-2111-4DED-9798-1BD91BE1B266}" name="Column15579"/>
    <tableColumn id="15585" xr3:uid="{4CD50DBC-C4E6-4D36-994A-293C2ED41ACE}" name="Column15580"/>
    <tableColumn id="15586" xr3:uid="{EAFAB16B-15EE-463C-8B3D-E335E098BD6D}" name="Column15581"/>
    <tableColumn id="15587" xr3:uid="{FFA51F6F-EE4B-4D0E-8F8F-20D04479B9D5}" name="Column15582"/>
    <tableColumn id="15588" xr3:uid="{5D8724C1-0EFC-40A4-994C-52DF1602A120}" name="Column15583"/>
    <tableColumn id="15589" xr3:uid="{9FF3A482-863B-4F4C-95D4-C4EDFBD96085}" name="Column15584"/>
    <tableColumn id="15590" xr3:uid="{DB7952D3-B4CD-49D1-B15F-16D7949186FE}" name="Column15585"/>
    <tableColumn id="15591" xr3:uid="{0B3B6B28-018B-458A-9F67-ABB94BCC2E6B}" name="Column15586"/>
    <tableColumn id="15592" xr3:uid="{AC403972-7CC0-44AE-8C1B-233754C2B2DB}" name="Column15587"/>
    <tableColumn id="15593" xr3:uid="{94BC98D5-2C1C-4075-901F-5CEE82C673E3}" name="Column15588"/>
    <tableColumn id="15594" xr3:uid="{B7CBCAC1-06F8-4078-ADFC-E54C74BACF65}" name="Column15589"/>
    <tableColumn id="15595" xr3:uid="{E99708FC-F498-440C-8531-FA69C570AB4E}" name="Column15590"/>
    <tableColumn id="15596" xr3:uid="{FB495766-3EF9-492D-B583-B0ED06394F35}" name="Column15591"/>
    <tableColumn id="15597" xr3:uid="{E1ABF06D-96FE-4F57-9C72-073EDDFABF26}" name="Column15592"/>
    <tableColumn id="15598" xr3:uid="{10B85D95-9781-498A-8863-FB391EDAD270}" name="Column15593"/>
    <tableColumn id="15599" xr3:uid="{D19A4B27-5890-4F3F-B445-8202CDF218DA}" name="Column15594"/>
    <tableColumn id="15600" xr3:uid="{09266348-CA85-4EFC-BDD9-BA0792A10F3A}" name="Column15595"/>
    <tableColumn id="15601" xr3:uid="{BE1DF117-C747-4F7F-BFF2-FC7897CCC968}" name="Column15596"/>
    <tableColumn id="15602" xr3:uid="{A0E3EB5E-6215-49DC-BAE5-9FF6D91987BD}" name="Column15597"/>
    <tableColumn id="15603" xr3:uid="{9C248F6F-2C0A-4B2B-B392-01F9F7A9B7F7}" name="Column15598"/>
    <tableColumn id="15604" xr3:uid="{79D67CB2-86B0-4136-8D35-5237545BA9E1}" name="Column15599"/>
    <tableColumn id="15605" xr3:uid="{2FE084E1-0D96-4BC4-93A2-87FC29FD54DB}" name="Column15600"/>
    <tableColumn id="15606" xr3:uid="{75B7C6D5-8817-419B-A7F7-735D0738F6A0}" name="Column15601"/>
    <tableColumn id="15607" xr3:uid="{3B739A60-6CD2-49E6-AE75-82181E9EB090}" name="Column15602"/>
    <tableColumn id="15608" xr3:uid="{9A09A13D-9892-4296-9594-9ABD9C024883}" name="Column15603"/>
    <tableColumn id="15609" xr3:uid="{93F5E408-DC22-47CF-B4D3-4A8517C1AFF7}" name="Column15604"/>
    <tableColumn id="15610" xr3:uid="{9FC1E890-B55F-4D51-93DC-B33744DD4C60}" name="Column15605"/>
    <tableColumn id="15611" xr3:uid="{04564C36-2464-4375-A168-70342C809817}" name="Column15606"/>
    <tableColumn id="15612" xr3:uid="{1EB3213A-CCE3-482F-92B6-7742790E911E}" name="Column15607"/>
    <tableColumn id="15613" xr3:uid="{9D033459-156F-42E8-90BB-2015E02E6115}" name="Column15608"/>
    <tableColumn id="15614" xr3:uid="{4A6B5A3E-D150-46B9-A2BB-E95FCAD29290}" name="Column15609"/>
    <tableColumn id="15615" xr3:uid="{6B9743C9-4DD6-4F0A-B3FF-559FB4D04B03}" name="Column15610"/>
    <tableColumn id="15616" xr3:uid="{9E7725D7-9130-4823-B619-5F4AAAED2225}" name="Column15611"/>
    <tableColumn id="15617" xr3:uid="{AC8037EE-9D0E-43D9-9930-A0D801976471}" name="Column15612"/>
    <tableColumn id="15618" xr3:uid="{054174B0-54EE-4A34-BF7C-30B486946CB5}" name="Column15613"/>
    <tableColumn id="15619" xr3:uid="{DC0B4421-8D51-4D54-A758-8D8D2E5EA120}" name="Column15614"/>
    <tableColumn id="15620" xr3:uid="{C14F1F7C-661F-4910-8A87-DE42C0DE94FE}" name="Column15615"/>
    <tableColumn id="15621" xr3:uid="{6BA19168-4947-44CD-B4FC-E6E820223726}" name="Column15616"/>
    <tableColumn id="15622" xr3:uid="{760A18A1-85B7-4938-8A57-407E468315D2}" name="Column15617"/>
    <tableColumn id="15623" xr3:uid="{209BE0CB-72D2-4333-A792-5D28AC95AB73}" name="Column15618"/>
    <tableColumn id="15624" xr3:uid="{33BB863A-BC07-4CA6-8D50-D609159AC985}" name="Column15619"/>
    <tableColumn id="15625" xr3:uid="{93F525F3-E77B-485D-8B08-CF959F283197}" name="Column15620"/>
    <tableColumn id="15626" xr3:uid="{90519D0C-E7E2-4917-9A5D-FD9D61492C31}" name="Column15621"/>
    <tableColumn id="15627" xr3:uid="{D61DC9BF-4030-402C-8C84-B0B29455C36E}" name="Column15622"/>
    <tableColumn id="15628" xr3:uid="{889EE0D1-84EB-473E-A220-F14779B277DB}" name="Column15623"/>
    <tableColumn id="15629" xr3:uid="{22BDFCD4-16EE-4B91-80AD-F2750B8D557E}" name="Column15624"/>
    <tableColumn id="15630" xr3:uid="{26CB2341-4201-44E1-BEE4-48624A5A5754}" name="Column15625"/>
    <tableColumn id="15631" xr3:uid="{F33E19BD-02F5-4229-AB31-863BA54E9C80}" name="Column15626"/>
    <tableColumn id="15632" xr3:uid="{959CA881-3ED1-4319-885F-7D0B9C9672AB}" name="Column15627"/>
    <tableColumn id="15633" xr3:uid="{970FCF0A-F16F-42C3-9177-DEA6158BC2FD}" name="Column15628"/>
    <tableColumn id="15634" xr3:uid="{52B42E75-A4B1-4ABE-8AC4-22FE81067BAB}" name="Column15629"/>
    <tableColumn id="15635" xr3:uid="{093A8A61-45E2-4196-9119-A77629733F60}" name="Column15630"/>
    <tableColumn id="15636" xr3:uid="{558489F8-983A-424D-A7E3-C92DF211E78E}" name="Column15631"/>
    <tableColumn id="15637" xr3:uid="{6178C086-A2E0-46CA-8B1B-75E5F13ED7D7}" name="Column15632"/>
    <tableColumn id="15638" xr3:uid="{9822B5B4-5A94-4865-80F8-6B266B9B644F}" name="Column15633"/>
    <tableColumn id="15639" xr3:uid="{BA1B5102-C489-41A4-9462-EBA428D31141}" name="Column15634"/>
    <tableColumn id="15640" xr3:uid="{A41663CC-DCB4-4EA5-92D9-B9D0DC1D5DBA}" name="Column15635"/>
    <tableColumn id="15641" xr3:uid="{7C062A42-57C6-4EC9-A576-5AF1A6B6D962}" name="Column15636"/>
    <tableColumn id="15642" xr3:uid="{6E026294-3E0A-400E-AD55-884984E612DB}" name="Column15637"/>
    <tableColumn id="15643" xr3:uid="{14D46F97-6C07-4541-B79C-CB0AC056F420}" name="Column15638"/>
    <tableColumn id="15644" xr3:uid="{FDAE7CEA-E9AD-48C3-9974-4CF24D438803}" name="Column15639"/>
    <tableColumn id="15645" xr3:uid="{BD005B9A-FF75-4A03-A2B6-8BFA6B500581}" name="Column15640"/>
    <tableColumn id="15646" xr3:uid="{81D9E52B-2474-4FAD-B210-DA5DE4A16E2B}" name="Column15641"/>
    <tableColumn id="15647" xr3:uid="{F54B2988-6F28-4582-AC16-B6655079D782}" name="Column15642"/>
    <tableColumn id="15648" xr3:uid="{023DF9F2-E4D0-4CDC-A279-A23BDBAF1C5F}" name="Column15643"/>
    <tableColumn id="15649" xr3:uid="{7FEF2210-1B65-4E4B-A37F-B7E7CA40253A}" name="Column15644"/>
    <tableColumn id="15650" xr3:uid="{ABC2CBC7-2CE8-4E13-9A1A-2FE7A775488E}" name="Column15645"/>
    <tableColumn id="15651" xr3:uid="{ABA906FC-50B4-4014-B499-95448E305F40}" name="Column15646"/>
    <tableColumn id="15652" xr3:uid="{11A73C9F-1E96-476D-A43E-F5049C82AF98}" name="Column15647"/>
    <tableColumn id="15653" xr3:uid="{8FB707C4-96F7-465A-8B7D-702CE53F4729}" name="Column15648"/>
    <tableColumn id="15654" xr3:uid="{DD87CD0D-16B9-4694-927E-141EC4C0535C}" name="Column15649"/>
    <tableColumn id="15655" xr3:uid="{8F3CF6DC-3698-46E2-BC28-8A263D350391}" name="Column15650"/>
    <tableColumn id="15656" xr3:uid="{7D10527D-F217-4D90-9046-471AB91643AA}" name="Column15651"/>
    <tableColumn id="15657" xr3:uid="{C6F99F0C-A5C6-4FF7-A2E9-21A8C310CA36}" name="Column15652"/>
    <tableColumn id="15658" xr3:uid="{17EAD52B-1C52-4098-B393-3E32A5FB56B4}" name="Column15653"/>
    <tableColumn id="15659" xr3:uid="{EFB5210B-7C55-4234-A02F-D8404507D81B}" name="Column15654"/>
    <tableColumn id="15660" xr3:uid="{B11C5A47-3063-449F-854B-CFA68B4D7AE5}" name="Column15655"/>
    <tableColumn id="15661" xr3:uid="{2EF728CA-E2F4-4989-B6D5-2D144B58417A}" name="Column15656"/>
    <tableColumn id="15662" xr3:uid="{3933B98F-D71C-4451-B5FA-4336485974B8}" name="Column15657"/>
    <tableColumn id="15663" xr3:uid="{5BC8F09E-4868-431B-B9CD-E760886204D8}" name="Column15658"/>
    <tableColumn id="15664" xr3:uid="{BA511C1B-B739-45F3-B602-27C6E71323FB}" name="Column15659"/>
    <tableColumn id="15665" xr3:uid="{A3CA2C03-738A-4FF1-A9A6-88CF447F4EB4}" name="Column15660"/>
    <tableColumn id="15666" xr3:uid="{DCE9F510-28B4-46CB-BA6F-D7D27303A9C8}" name="Column15661"/>
    <tableColumn id="15667" xr3:uid="{3BBE19D2-7819-4D11-89F0-190DB5AE4C17}" name="Column15662"/>
    <tableColumn id="15668" xr3:uid="{5EDDB377-2ED1-446E-8BB2-50C45D915690}" name="Column15663"/>
    <tableColumn id="15669" xr3:uid="{6164F996-CC3C-4287-8867-CBEA2E93BCB3}" name="Column15664"/>
    <tableColumn id="15670" xr3:uid="{7F78DBAC-9B03-493C-AD93-442812729313}" name="Column15665"/>
    <tableColumn id="15671" xr3:uid="{C844B54F-5265-4CC7-BADF-98450F10E090}" name="Column15666"/>
    <tableColumn id="15672" xr3:uid="{10C52F45-7AF4-4294-9706-8BC6A3802670}" name="Column15667"/>
    <tableColumn id="15673" xr3:uid="{8AF5869D-8B38-4E27-B4B9-9600061B74E3}" name="Column15668"/>
    <tableColumn id="15674" xr3:uid="{EA7F9ED3-B608-4275-8958-D838AE7BDB1C}" name="Column15669"/>
    <tableColumn id="15675" xr3:uid="{67E154D2-8845-45D1-85A3-5159A0810E3D}" name="Column15670"/>
    <tableColumn id="15676" xr3:uid="{E7E5E323-66AC-4A33-9277-EE327A3B0E58}" name="Column15671"/>
    <tableColumn id="15677" xr3:uid="{A5C03919-3A89-45D8-8A94-78F498A20958}" name="Column15672"/>
    <tableColumn id="15678" xr3:uid="{FC15793D-D9EC-4801-819C-911F12663E50}" name="Column15673"/>
    <tableColumn id="15679" xr3:uid="{79C8A335-F622-4483-99D7-06AFD4A4E3B1}" name="Column15674"/>
    <tableColumn id="15680" xr3:uid="{DD83B26F-75FB-423A-ADE5-C7FEBCFDDA9D}" name="Column15675"/>
    <tableColumn id="15681" xr3:uid="{F0A5345E-A63F-4678-8F3D-C3891D23ECAF}" name="Column15676"/>
    <tableColumn id="15682" xr3:uid="{24971AC0-C696-426E-A1F6-CC43CF89E53C}" name="Column15677"/>
    <tableColumn id="15683" xr3:uid="{BBE29D88-2CC1-4F09-945D-E405BC49AB48}" name="Column15678"/>
    <tableColumn id="15684" xr3:uid="{70ED2FEA-DB5D-4CE0-8A9E-F883546FA32E}" name="Column15679"/>
    <tableColumn id="15685" xr3:uid="{5C26E5FA-FB0D-402C-8720-F95CCB6EB2FD}" name="Column15680"/>
    <tableColumn id="15686" xr3:uid="{24FBCD3E-582A-4BAD-9109-382E36E0AF48}" name="Column15681"/>
    <tableColumn id="15687" xr3:uid="{78E89576-355B-4E0F-8FE8-9A6FA7ECBE9F}" name="Column15682"/>
    <tableColumn id="15688" xr3:uid="{3D2C837D-369F-4663-A388-1902C649CD5B}" name="Column15683"/>
    <tableColumn id="15689" xr3:uid="{318CC5BD-4ABF-4079-898B-09A6BF9CD0C4}" name="Column15684"/>
    <tableColumn id="15690" xr3:uid="{C55548CD-667E-43F1-A6A5-50489F7518E2}" name="Column15685"/>
    <tableColumn id="15691" xr3:uid="{A3893076-25CE-47AD-9507-67A7EE687491}" name="Column15686"/>
    <tableColumn id="15692" xr3:uid="{BD1F1AAE-C70F-4B0A-B0B4-D6D62E66743C}" name="Column15687"/>
    <tableColumn id="15693" xr3:uid="{57A2D196-B86C-45CE-8553-3A64119E79C7}" name="Column15688"/>
    <tableColumn id="15694" xr3:uid="{86EE4DB3-AB99-437F-8987-EAE122EBEE5E}" name="Column15689"/>
    <tableColumn id="15695" xr3:uid="{B675A499-71B3-4356-818B-29C4B716E7C6}" name="Column15690"/>
    <tableColumn id="15696" xr3:uid="{1AE586BB-CB09-4E14-B217-C6234D6CE47A}" name="Column15691"/>
    <tableColumn id="15697" xr3:uid="{64FBABAE-781E-465C-B907-7EC44BF59944}" name="Column15692"/>
    <tableColumn id="15698" xr3:uid="{7FC3A20F-F416-4ABF-853A-A9E7C2D64006}" name="Column15693"/>
    <tableColumn id="15699" xr3:uid="{34541AAD-250F-4018-93F1-0CB8F19ABDCE}" name="Column15694"/>
    <tableColumn id="15700" xr3:uid="{FB368B07-3F71-4C91-9AF1-2D4489D3AA26}" name="Column15695"/>
    <tableColumn id="15701" xr3:uid="{C1DF9BFE-D453-4EBE-9A5F-0BA843788F4F}" name="Column15696"/>
    <tableColumn id="15702" xr3:uid="{E27EECF5-5FC5-4B71-9017-F97ACE0E7995}" name="Column15697"/>
    <tableColumn id="15703" xr3:uid="{28904153-9427-4530-A460-69E28DAC19A0}" name="Column15698"/>
    <tableColumn id="15704" xr3:uid="{D03F0B46-AF54-41F1-A7BF-6E904931D353}" name="Column15699"/>
    <tableColumn id="15705" xr3:uid="{4E9FD35C-7B57-4627-B632-ACB6E036E16C}" name="Column15700"/>
    <tableColumn id="15706" xr3:uid="{B71E2950-0C3E-4195-BA60-966D05165724}" name="Column15701"/>
    <tableColumn id="15707" xr3:uid="{1FCDC07B-4E2F-4C95-A8BB-7345ADA5E539}" name="Column15702"/>
    <tableColumn id="15708" xr3:uid="{E739E980-9712-4119-B878-B209751759C9}" name="Column15703"/>
    <tableColumn id="15709" xr3:uid="{8DC28091-9ABC-4214-BF00-93F81D10DDAE}" name="Column15704"/>
    <tableColumn id="15710" xr3:uid="{DA466E59-458B-40AC-9769-5E64322112E2}" name="Column15705"/>
    <tableColumn id="15711" xr3:uid="{D212E16F-AF3D-45AC-B969-EACDA1265BCB}" name="Column15706"/>
    <tableColumn id="15712" xr3:uid="{9E77E1AF-07BE-454B-B5B5-D8869990B138}" name="Column15707"/>
    <tableColumn id="15713" xr3:uid="{2C922A81-1B7B-4C6D-BCDB-C81E9CFD59E0}" name="Column15708"/>
    <tableColumn id="15714" xr3:uid="{E5DD1501-8BF1-4D96-94A5-78AFA4CA51CC}" name="Column15709"/>
    <tableColumn id="15715" xr3:uid="{60DAADE9-2059-497F-9377-0E206F126AE3}" name="Column15710"/>
    <tableColumn id="15716" xr3:uid="{650E1893-AB00-4A2C-B59C-46EF72F39DCD}" name="Column15711"/>
    <tableColumn id="15717" xr3:uid="{1B9155DA-8FCD-44FC-81D9-E0807A4A26DD}" name="Column15712"/>
    <tableColumn id="15718" xr3:uid="{04038144-3C74-417B-A31D-3547F5E370CD}" name="Column15713"/>
    <tableColumn id="15719" xr3:uid="{835422D3-B54F-4C7B-888B-17E0F9EDD322}" name="Column15714"/>
    <tableColumn id="15720" xr3:uid="{3D5C6245-A5EF-4D25-899E-233809FBBB10}" name="Column15715"/>
    <tableColumn id="15721" xr3:uid="{B968AE09-63C1-42B4-A799-3C384B522472}" name="Column15716"/>
    <tableColumn id="15722" xr3:uid="{84B439BA-95AA-47FB-B3E2-828F7CF9A7A8}" name="Column15717"/>
    <tableColumn id="15723" xr3:uid="{24109BBA-925E-43DB-8479-F939DC3A7A74}" name="Column15718"/>
    <tableColumn id="15724" xr3:uid="{45DF36CB-3629-4FFD-82DD-9CB843DADD93}" name="Column15719"/>
    <tableColumn id="15725" xr3:uid="{E3B73123-07D0-4F90-BE07-639E15EDF077}" name="Column15720"/>
    <tableColumn id="15726" xr3:uid="{220D061F-ED9E-4203-A605-CD4295AADED7}" name="Column15721"/>
    <tableColumn id="15727" xr3:uid="{6E4F74A3-FA9A-401B-AE48-16F0771C6491}" name="Column15722"/>
    <tableColumn id="15728" xr3:uid="{3B21325A-3A5C-4A7B-BD57-AC7EC675CF89}" name="Column15723"/>
    <tableColumn id="15729" xr3:uid="{CD09D1EC-5B5D-4D3C-8076-D2E1B5639ABC}" name="Column15724"/>
    <tableColumn id="15730" xr3:uid="{42D15393-EABA-4ADD-A15D-4356817683F4}" name="Column15725"/>
    <tableColumn id="15731" xr3:uid="{35669DE0-20B1-4626-A97C-F802D926E0CC}" name="Column15726"/>
    <tableColumn id="15732" xr3:uid="{70A40A22-B7ED-43A1-820A-CCFE2A1B35EC}" name="Column15727"/>
    <tableColumn id="15733" xr3:uid="{E52A0618-2BF4-475A-A74A-8C7B857DC7EA}" name="Column15728"/>
    <tableColumn id="15734" xr3:uid="{76BA57B7-840E-4145-B356-E207C96D2EB9}" name="Column15729"/>
    <tableColumn id="15735" xr3:uid="{75AC37E9-FEDB-41DD-99A8-12CB20F3FB0D}" name="Column15730"/>
    <tableColumn id="15736" xr3:uid="{3AEB226C-77B9-43E2-8948-2B389E0E0945}" name="Column15731"/>
    <tableColumn id="15737" xr3:uid="{B2224403-7E1E-4F31-A1C9-BBE9439A577C}" name="Column15732"/>
    <tableColumn id="15738" xr3:uid="{BEC32853-F8A5-465F-973D-F8E4C5D478FE}" name="Column15733"/>
    <tableColumn id="15739" xr3:uid="{2D02EEF9-FB85-434C-A59D-1355CC0734AE}" name="Column15734"/>
    <tableColumn id="15740" xr3:uid="{CB8D8416-A708-451A-BC00-22E2A78D01E9}" name="Column15735"/>
    <tableColumn id="15741" xr3:uid="{CE094E0E-6A61-4304-AE6F-D8698F5F42AC}" name="Column15736"/>
    <tableColumn id="15742" xr3:uid="{11B73ED9-199A-43A8-B4E9-F97EAA7469A4}" name="Column15737"/>
    <tableColumn id="15743" xr3:uid="{4AEA90CB-95F6-404A-A6C3-90940888CF30}" name="Column15738"/>
    <tableColumn id="15744" xr3:uid="{69D38CD5-27A7-47D3-820F-49271D52AA15}" name="Column15739"/>
    <tableColumn id="15745" xr3:uid="{D30A3A23-5CF0-4594-A0DB-0EC216DA8439}" name="Column15740"/>
    <tableColumn id="15746" xr3:uid="{22FA20AF-2393-4157-BF6C-769745840025}" name="Column15741"/>
    <tableColumn id="15747" xr3:uid="{65A80842-07DD-438F-B9E9-8ABD0A35A445}" name="Column15742"/>
    <tableColumn id="15748" xr3:uid="{E97D87E1-402C-40CD-819A-D9E59C609769}" name="Column15743"/>
    <tableColumn id="15749" xr3:uid="{1DF9145F-AFA4-443C-B6B5-4E551D64D533}" name="Column15744"/>
    <tableColumn id="15750" xr3:uid="{7880341C-8CE3-49EC-8E3A-6C9A4382A376}" name="Column15745"/>
    <tableColumn id="15751" xr3:uid="{7ABBC3E3-860C-4FFC-A704-A772706E6DA6}" name="Column15746"/>
    <tableColumn id="15752" xr3:uid="{50B6BA07-5119-4BAD-A227-3959DDFF183E}" name="Column15747"/>
    <tableColumn id="15753" xr3:uid="{5C26C795-6C94-49DA-99F5-9072C6DE6F6E}" name="Column15748"/>
    <tableColumn id="15754" xr3:uid="{C52CF817-632B-4CB9-9E9F-B1B5FCB76407}" name="Column15749"/>
    <tableColumn id="15755" xr3:uid="{D6E23AD7-1765-4323-9F36-61DA14E8F28E}" name="Column15750"/>
    <tableColumn id="15756" xr3:uid="{8C7A38F9-054C-4092-BAAA-F995EB26E219}" name="Column15751"/>
    <tableColumn id="15757" xr3:uid="{F153479B-E037-482D-8BB0-E746C0D6C75B}" name="Column15752"/>
    <tableColumn id="15758" xr3:uid="{0BBF33A5-2FF5-48EC-9876-EC287D420748}" name="Column15753"/>
    <tableColumn id="15759" xr3:uid="{763F6567-A213-44FA-9E60-4803E071288D}" name="Column15754"/>
    <tableColumn id="15760" xr3:uid="{672085E5-F52A-4560-A14B-EDB892673798}" name="Column15755"/>
    <tableColumn id="15761" xr3:uid="{A19300B9-9286-420F-AF50-36B4DC750861}" name="Column15756"/>
    <tableColumn id="15762" xr3:uid="{FCA4AA27-BD00-4EE7-ABDF-155C85A2048A}" name="Column15757"/>
    <tableColumn id="15763" xr3:uid="{F37AD621-9226-4421-BB66-1560B849C79F}" name="Column15758"/>
    <tableColumn id="15764" xr3:uid="{9821A28A-F508-4A4D-8430-E84A40CAFC6A}" name="Column15759"/>
    <tableColumn id="15765" xr3:uid="{CA8DC3F3-111C-426D-9C77-35C8C3EF025B}" name="Column15760"/>
    <tableColumn id="15766" xr3:uid="{0464CE10-8A07-4135-9233-69D00172B9CD}" name="Column15761"/>
    <tableColumn id="15767" xr3:uid="{7458B48F-DAFE-49C8-896B-65309E05D75D}" name="Column15762"/>
    <tableColumn id="15768" xr3:uid="{2BD19408-CE83-4923-9BFE-C6DB81581E46}" name="Column15763"/>
    <tableColumn id="15769" xr3:uid="{F4AEA5CA-9FBE-46EC-AEF5-BE58D1B9A30D}" name="Column15764"/>
    <tableColumn id="15770" xr3:uid="{65030FB4-5E62-4D98-8313-D1CB45EEA8FC}" name="Column15765"/>
    <tableColumn id="15771" xr3:uid="{9A03775C-96DE-44E8-BB7D-C7F63699436E}" name="Column15766"/>
    <tableColumn id="15772" xr3:uid="{81986C5A-BC34-41F5-816A-4107788483D5}" name="Column15767"/>
    <tableColumn id="15773" xr3:uid="{AC5076C6-59BB-40DE-B5B9-3AB2D8726B62}" name="Column15768"/>
    <tableColumn id="15774" xr3:uid="{73FCDC81-8D09-42B5-B9F3-9B5F84CD8AE0}" name="Column15769"/>
    <tableColumn id="15775" xr3:uid="{E5A3D56F-E9A3-4CDA-BB1F-A00C8022C4B7}" name="Column15770"/>
    <tableColumn id="15776" xr3:uid="{BDE06E1C-3A83-43D3-83DA-5127DC5930DE}" name="Column15771"/>
    <tableColumn id="15777" xr3:uid="{340F82FE-C92B-40DC-AE27-294D1D4049DB}" name="Column15772"/>
    <tableColumn id="15778" xr3:uid="{26D83F0F-C4B5-44DD-8FE7-FEC39C5202CB}" name="Column15773"/>
    <tableColumn id="15779" xr3:uid="{B9A7575B-D42F-4234-8285-380BDEE0B219}" name="Column15774"/>
    <tableColumn id="15780" xr3:uid="{BB787F3B-E9EC-422A-B78A-C26F9F84D7C2}" name="Column15775"/>
    <tableColumn id="15781" xr3:uid="{94BDCD93-0A6A-42C9-9467-F004256630CB}" name="Column15776"/>
    <tableColumn id="15782" xr3:uid="{B21A011E-CA4A-43CC-B640-B9C325A6646C}" name="Column15777"/>
    <tableColumn id="15783" xr3:uid="{BA440EA5-33D8-416C-A931-60863EE21007}" name="Column15778"/>
    <tableColumn id="15784" xr3:uid="{3FF8B14D-E192-48A0-A6EA-9F4D9F05ED06}" name="Column15779"/>
    <tableColumn id="15785" xr3:uid="{D67C22E9-A431-4468-9A1D-3E4698BAC0B5}" name="Column15780"/>
    <tableColumn id="15786" xr3:uid="{8ABBAC57-E254-445C-98BB-330FDFEF806E}" name="Column15781"/>
    <tableColumn id="15787" xr3:uid="{5C257989-CBCE-4B8F-9476-64B1AE64A18A}" name="Column15782"/>
    <tableColumn id="15788" xr3:uid="{FA734EE3-5CFF-4D4B-BE3A-3EBB663CA34A}" name="Column15783"/>
    <tableColumn id="15789" xr3:uid="{6329986B-5392-45B4-84FD-69672B58D35B}" name="Column15784"/>
    <tableColumn id="15790" xr3:uid="{57D7760A-655B-4485-BE4B-507AB13F4572}" name="Column15785"/>
    <tableColumn id="15791" xr3:uid="{C1697A8C-93B8-41DF-B10E-A49158B52FDA}" name="Column15786"/>
    <tableColumn id="15792" xr3:uid="{2C6DA370-10C9-432D-A965-A06F8E824801}" name="Column15787"/>
    <tableColumn id="15793" xr3:uid="{570BBD8F-1703-4AED-962C-FE3762189FE5}" name="Column15788"/>
    <tableColumn id="15794" xr3:uid="{104A1CFA-ADDC-417A-B78D-7E56B04030D0}" name="Column15789"/>
    <tableColumn id="15795" xr3:uid="{D0810D4B-736F-4DA6-87A3-327503FB89EC}" name="Column15790"/>
    <tableColumn id="15796" xr3:uid="{B4AAA956-100A-4AD2-A3A5-F203604A4F9B}" name="Column15791"/>
    <tableColumn id="15797" xr3:uid="{069E76A2-5B36-4C75-A9BD-9A71F7FE65FD}" name="Column15792"/>
    <tableColumn id="15798" xr3:uid="{EE3E0256-5D61-471B-A28A-9C2EA6169F47}" name="Column15793"/>
    <tableColumn id="15799" xr3:uid="{E154094E-5068-489B-9022-0F8A7254F770}" name="Column15794"/>
    <tableColumn id="15800" xr3:uid="{8BA7FC7D-AA2E-46CA-9F72-96EA525EE205}" name="Column15795"/>
    <tableColumn id="15801" xr3:uid="{E89B3CD6-B694-4B3F-A3E7-84594EBCC047}" name="Column15796"/>
    <tableColumn id="15802" xr3:uid="{754CDE92-81F6-4DC2-B100-21BF8E2B020E}" name="Column15797"/>
    <tableColumn id="15803" xr3:uid="{A3F479B3-3FF6-4264-8C4E-FF832F1E4F5D}" name="Column15798"/>
    <tableColumn id="15804" xr3:uid="{AB57EE6A-85F4-4E95-A4C4-EE1C80DDC28E}" name="Column15799"/>
    <tableColumn id="15805" xr3:uid="{D9643A89-8BF8-41A5-B8D6-11A206DCCE29}" name="Column15800"/>
    <tableColumn id="15806" xr3:uid="{06158E5F-6DD3-4351-BBBA-163F26D31741}" name="Column15801"/>
    <tableColumn id="15807" xr3:uid="{A8B57D72-F2C9-4AD7-9C26-125ABE2D5315}" name="Column15802"/>
    <tableColumn id="15808" xr3:uid="{357FB9B1-69A8-44F1-A966-E037F0670F00}" name="Column15803"/>
    <tableColumn id="15809" xr3:uid="{1E5411D1-EF08-460F-AA19-C0C0349A9144}" name="Column15804"/>
    <tableColumn id="15810" xr3:uid="{2E67CC95-36C2-47DA-B213-8665ADA5F66C}" name="Column15805"/>
    <tableColumn id="15811" xr3:uid="{A8741D08-0A05-4BFE-A350-873B94EF3EC7}" name="Column15806"/>
    <tableColumn id="15812" xr3:uid="{F84C2D85-06E6-4D71-B603-91BE03690DEE}" name="Column15807"/>
    <tableColumn id="15813" xr3:uid="{19142A47-209C-4E17-856A-09B7ABE1629F}" name="Column15808"/>
    <tableColumn id="15814" xr3:uid="{6658CCD9-AF9A-4270-BCB6-EE9A42B58FE3}" name="Column15809"/>
    <tableColumn id="15815" xr3:uid="{8CCB9DB8-DF8C-4716-9646-F78CED3CFFC4}" name="Column15810"/>
    <tableColumn id="15816" xr3:uid="{D578A5DF-E2E7-4232-A4AA-6E0149CED6E7}" name="Column15811"/>
    <tableColumn id="15817" xr3:uid="{BFC883B8-FDBE-4580-A741-B2975DECDF8C}" name="Column15812"/>
    <tableColumn id="15818" xr3:uid="{85E1A07F-2012-42B0-B3BC-2BA5D1D1B8D5}" name="Column15813"/>
    <tableColumn id="15819" xr3:uid="{283336E2-50D7-4030-BBBC-92ED51B81185}" name="Column15814"/>
    <tableColumn id="15820" xr3:uid="{3C649B3F-59A2-4E2D-955B-87212B814820}" name="Column15815"/>
    <tableColumn id="15821" xr3:uid="{788AB517-ACB3-439A-B92C-E0BF3BC1A59B}" name="Column15816"/>
    <tableColumn id="15822" xr3:uid="{8A44B709-E98D-4A0B-A1A2-98995A3371D4}" name="Column15817"/>
    <tableColumn id="15823" xr3:uid="{871F843E-09EE-43B5-9C11-3A0CD34996B4}" name="Column15818"/>
    <tableColumn id="15824" xr3:uid="{5FA70D72-B2F0-449C-A104-92E7E3F0E18E}" name="Column15819"/>
    <tableColumn id="15825" xr3:uid="{9A35EA2C-3071-464D-A3DE-34C923B9FB55}" name="Column15820"/>
    <tableColumn id="15826" xr3:uid="{BFA03683-768A-4F22-87A4-112E12D51D1E}" name="Column15821"/>
    <tableColumn id="15827" xr3:uid="{C7C92559-6B51-4602-9417-C9DA510F945F}" name="Column15822"/>
    <tableColumn id="15828" xr3:uid="{233D2928-FC9D-4684-A0C3-852B7805A8CA}" name="Column15823"/>
    <tableColumn id="15829" xr3:uid="{481EBC0E-13DA-4270-B659-3A46CAFBEA2A}" name="Column15824"/>
    <tableColumn id="15830" xr3:uid="{683E377C-0292-4547-8BEF-9B2C93CFD933}" name="Column15825"/>
    <tableColumn id="15831" xr3:uid="{FB380C8B-02FB-4584-86D6-5728F536C71D}" name="Column15826"/>
    <tableColumn id="15832" xr3:uid="{CE6B377A-D6CB-43B2-B693-2BB7A7DCA48D}" name="Column15827"/>
    <tableColumn id="15833" xr3:uid="{42F35CE9-8635-4AC4-8675-42A63F98DB56}" name="Column15828"/>
    <tableColumn id="15834" xr3:uid="{DDC54E98-4685-443E-8E07-C6B6354B716D}" name="Column15829"/>
    <tableColumn id="15835" xr3:uid="{0A62124D-2D04-40CE-AE96-55D5ED2621FF}" name="Column15830"/>
    <tableColumn id="15836" xr3:uid="{2D80CE1F-593E-4965-9037-F59853A42189}" name="Column15831"/>
    <tableColumn id="15837" xr3:uid="{113D8750-79F4-436A-9062-E299A7034A9A}" name="Column15832"/>
    <tableColumn id="15838" xr3:uid="{7F8424E7-4E2D-4B37-91C3-EC41C45B4C22}" name="Column15833"/>
    <tableColumn id="15839" xr3:uid="{3878EAB3-C337-41EB-9A94-F19E5EBE287E}" name="Column15834"/>
    <tableColumn id="15840" xr3:uid="{41959AAC-2560-4FC8-8E5B-AB4737297D95}" name="Column15835"/>
    <tableColumn id="15841" xr3:uid="{973606D3-4F91-4E9C-907C-D5D0F059EED6}" name="Column15836"/>
    <tableColumn id="15842" xr3:uid="{9CE00888-1078-4E96-A305-05671CDD4BF5}" name="Column15837"/>
    <tableColumn id="15843" xr3:uid="{28C2E383-BBDF-4069-A0E6-0B8697E4D359}" name="Column15838"/>
    <tableColumn id="15844" xr3:uid="{B08B6CCA-B194-4D23-AB24-432FFC29E311}" name="Column15839"/>
    <tableColumn id="15845" xr3:uid="{E8371C5D-AB21-4FD1-B55B-156E97E62739}" name="Column15840"/>
    <tableColumn id="15846" xr3:uid="{08F957F5-4570-46C9-AB22-3486D21B2933}" name="Column15841"/>
    <tableColumn id="15847" xr3:uid="{C1161E68-93A0-41D8-AF0A-6FE3235A8A10}" name="Column15842"/>
    <tableColumn id="15848" xr3:uid="{96F68F31-94B3-4242-9193-45E45952BF90}" name="Column15843"/>
    <tableColumn id="15849" xr3:uid="{D3EC4EE1-3FD1-4238-9B1F-023390EB4B56}" name="Column15844"/>
    <tableColumn id="15850" xr3:uid="{817056BC-ED4C-466F-A239-FA46979BF6D2}" name="Column15845"/>
    <tableColumn id="15851" xr3:uid="{9108DA16-EE81-4D21-ACC5-D03AE66650CD}" name="Column15846"/>
    <tableColumn id="15852" xr3:uid="{07C4A5CE-9882-43BB-91F9-F9B13921F8A8}" name="Column15847"/>
    <tableColumn id="15853" xr3:uid="{B042611E-0C71-417D-9F25-96F9A91E82BF}" name="Column15848"/>
    <tableColumn id="15854" xr3:uid="{B1E5C7AB-3688-4DF0-A6F0-390DE810EEDC}" name="Column15849"/>
    <tableColumn id="15855" xr3:uid="{7C9473BC-0415-4330-A632-2E0C277AAED9}" name="Column15850"/>
    <tableColumn id="15856" xr3:uid="{ADBC8A3B-8C7B-4564-A3C9-7D55EDA59830}" name="Column15851"/>
    <tableColumn id="15857" xr3:uid="{7ACB8483-63CB-450D-858A-5CCF036C4202}" name="Column15852"/>
    <tableColumn id="15858" xr3:uid="{D2E95820-54AA-4F94-ABAC-D171012DCC66}" name="Column15853"/>
    <tableColumn id="15859" xr3:uid="{031FC587-4C37-41A3-9F4C-F2BEE8A480C1}" name="Column15854"/>
    <tableColumn id="15860" xr3:uid="{EF7E7595-DE8F-4A87-9FB6-9CB1F546BA27}" name="Column15855"/>
    <tableColumn id="15861" xr3:uid="{F65A5C14-F082-4737-AF64-78DEB90D9094}" name="Column15856"/>
    <tableColumn id="15862" xr3:uid="{829B9204-70C6-4171-A94D-15CDF795EAC1}" name="Column15857"/>
    <tableColumn id="15863" xr3:uid="{F3B97798-DA7B-433F-B504-D5FCC13900B6}" name="Column15858"/>
    <tableColumn id="15864" xr3:uid="{4698AF1D-C3AD-432C-87B7-6C228DB01C8A}" name="Column15859"/>
    <tableColumn id="15865" xr3:uid="{72ABB012-09B8-4AAD-B8D2-E5DAD376816F}" name="Column15860"/>
    <tableColumn id="15866" xr3:uid="{80769987-B3E5-474B-9539-DA89E169C5AD}" name="Column15861"/>
    <tableColumn id="15867" xr3:uid="{62866458-20F9-4155-9081-1842124FFCB5}" name="Column15862"/>
    <tableColumn id="15868" xr3:uid="{8CB52305-3807-4EBA-9E8E-BC14689DFD47}" name="Column15863"/>
    <tableColumn id="15869" xr3:uid="{C1F0D605-3EBD-47AA-82A5-76AB270464BE}" name="Column15864"/>
    <tableColumn id="15870" xr3:uid="{7D9A3E42-2E1B-452A-8965-75A80442F4DB}" name="Column15865"/>
    <tableColumn id="15871" xr3:uid="{1F3926DD-C76C-41AE-8C3F-9FA24B37E95A}" name="Column15866"/>
    <tableColumn id="15872" xr3:uid="{6A74942F-BBFE-4166-8F03-44CBCAD10398}" name="Column15867"/>
    <tableColumn id="15873" xr3:uid="{4607708A-4BB7-48E6-8F96-E5EC542216D6}" name="Column15868"/>
    <tableColumn id="15874" xr3:uid="{26AA6642-90F8-4207-994B-F0DDDA5640C7}" name="Column15869"/>
    <tableColumn id="15875" xr3:uid="{2277C73C-0C7B-4DDB-B692-506689C2C801}" name="Column15870"/>
    <tableColumn id="15876" xr3:uid="{741A767D-2015-464A-89AC-94CBE19180CE}" name="Column15871"/>
    <tableColumn id="15877" xr3:uid="{924EC4F0-C484-4309-B96A-99F5BC4A61E5}" name="Column15872"/>
    <tableColumn id="15878" xr3:uid="{A39A6BFF-FE2C-450E-A963-B31590E101E2}" name="Column15873"/>
    <tableColumn id="15879" xr3:uid="{9F3184CC-7061-462C-B0A5-454C4B76E732}" name="Column15874"/>
    <tableColumn id="15880" xr3:uid="{51C38EB2-5C86-4449-8135-9ACF64BF6052}" name="Column15875"/>
    <tableColumn id="15881" xr3:uid="{9F37000D-652E-4A21-95A4-A9A0D8544C23}" name="Column15876"/>
    <tableColumn id="15882" xr3:uid="{950F9720-90F6-43C0-8C24-15B96382AC62}" name="Column15877"/>
    <tableColumn id="15883" xr3:uid="{CD69D778-96DD-45BD-8A29-CD0B70CA5887}" name="Column15878"/>
    <tableColumn id="15884" xr3:uid="{3509B70D-D212-4730-9176-B08787A4B667}" name="Column15879"/>
    <tableColumn id="15885" xr3:uid="{DE17009F-FB3C-4C95-8A47-D3BF3770C266}" name="Column15880"/>
    <tableColumn id="15886" xr3:uid="{181F8978-6F13-4729-82AE-213B6212F50C}" name="Column15881"/>
    <tableColumn id="15887" xr3:uid="{0CE1F121-94AD-49BF-BE13-AAA6A7318743}" name="Column15882"/>
    <tableColumn id="15888" xr3:uid="{CF25B425-A63F-4F53-84DD-D4B6D2B6E890}" name="Column15883"/>
    <tableColumn id="15889" xr3:uid="{BE518B70-94FE-4707-A899-DAD9DEBD1506}" name="Column15884"/>
    <tableColumn id="15890" xr3:uid="{D2E14E08-7870-4820-B16A-F19A986DCB95}" name="Column15885"/>
    <tableColumn id="15891" xr3:uid="{F9BEDD4E-FDDF-4399-A900-46367F4A5FB5}" name="Column15886"/>
    <tableColumn id="15892" xr3:uid="{6B053B01-5306-4026-A221-BA2EDEF04FEA}" name="Column15887"/>
    <tableColumn id="15893" xr3:uid="{89189E0F-EDBB-4D45-9DAF-668CBC2A97EB}" name="Column15888"/>
    <tableColumn id="15894" xr3:uid="{48945171-6237-4691-81C7-82E37762B49F}" name="Column15889"/>
    <tableColumn id="15895" xr3:uid="{14B803C7-4DD7-450A-8981-D1FE9CDC405F}" name="Column15890"/>
    <tableColumn id="15896" xr3:uid="{5AA527DB-E8E4-4704-901E-5D4FEC739B72}" name="Column15891"/>
    <tableColumn id="15897" xr3:uid="{77589356-FF18-4929-A2D1-2CF5589EFF10}" name="Column15892"/>
    <tableColumn id="15898" xr3:uid="{3E993839-5EA9-4DB8-83CB-31CAB206C472}" name="Column15893"/>
    <tableColumn id="15899" xr3:uid="{496E8D9E-6299-43BA-A064-8F1D68DBC0BF}" name="Column15894"/>
    <tableColumn id="15900" xr3:uid="{4B7ED7C2-0D36-4FC2-BBBA-1A69BD5D65E5}" name="Column15895"/>
    <tableColumn id="15901" xr3:uid="{104AB8FA-CEAB-423D-9500-F606B18A9E31}" name="Column15896"/>
    <tableColumn id="15902" xr3:uid="{88708CC3-3D0C-451D-85A9-CD28A1E9C511}" name="Column15897"/>
    <tableColumn id="15903" xr3:uid="{52CFB7BA-1354-4844-87B2-66CC300A61C7}" name="Column15898"/>
    <tableColumn id="15904" xr3:uid="{25782E22-8FD2-4D9C-B5FE-CA8AB79A3C6C}" name="Column15899"/>
    <tableColumn id="15905" xr3:uid="{4E352589-C075-45A8-88E0-F63FD3219708}" name="Column15900"/>
    <tableColumn id="15906" xr3:uid="{B1A2C3AD-4169-4CB4-A29E-E4F6CEECD92E}" name="Column15901"/>
    <tableColumn id="15907" xr3:uid="{F4106739-7005-42B7-BE1A-1EB42733D0C6}" name="Column15902"/>
    <tableColumn id="15908" xr3:uid="{1DAB42A7-710B-45A2-94FD-E12176A2F3A4}" name="Column15903"/>
    <tableColumn id="15909" xr3:uid="{D4E617E2-5116-4574-9A62-5D5612722274}" name="Column15904"/>
    <tableColumn id="15910" xr3:uid="{7A198A2B-CA5A-450A-B999-F57C2B3F3339}" name="Column15905"/>
    <tableColumn id="15911" xr3:uid="{0347F474-0D7A-4F08-A40A-95A8A03DE5CA}" name="Column15906"/>
    <tableColumn id="15912" xr3:uid="{BDF1DAFB-E153-4452-B4C2-EBEBF57B8651}" name="Column15907"/>
    <tableColumn id="15913" xr3:uid="{B54D76F8-C230-43A6-BB80-15F09D23525A}" name="Column15908"/>
    <tableColumn id="15914" xr3:uid="{D33F2099-E812-48EB-B5BD-2C3F1ED3CA85}" name="Column15909"/>
    <tableColumn id="15915" xr3:uid="{EB171032-C558-4B07-B1AD-A9E0FF8F1A84}" name="Column15910"/>
    <tableColumn id="15916" xr3:uid="{C025899C-238A-465A-B940-FC7DCD8F0D9B}" name="Column15911"/>
    <tableColumn id="15917" xr3:uid="{9B89F3D2-7C9F-459C-A7E0-79F10C6462CC}" name="Column15912"/>
    <tableColumn id="15918" xr3:uid="{BE43D2FB-65D6-49BA-90F1-317264106AA9}" name="Column15913"/>
    <tableColumn id="15919" xr3:uid="{C67FB3D5-CA42-4D1A-9083-B827C21DE21E}" name="Column15914"/>
    <tableColumn id="15920" xr3:uid="{3F153135-3463-4370-8A89-E1F302544AF4}" name="Column15915"/>
    <tableColumn id="15921" xr3:uid="{9AF22A0F-EE9A-4ED1-BFE8-442ABD810172}" name="Column15916"/>
    <tableColumn id="15922" xr3:uid="{9C5322D1-6822-4726-B0B1-07FFBDE55458}" name="Column15917"/>
    <tableColumn id="15923" xr3:uid="{4D8FD936-2901-4872-8E5A-15A647528732}" name="Column15918"/>
    <tableColumn id="15924" xr3:uid="{6712B36A-CC43-4017-8E1B-FECF120BB2CA}" name="Column15919"/>
    <tableColumn id="15925" xr3:uid="{4E3309C7-BDD7-4467-BE0C-2D2BB26ADBFF}" name="Column15920"/>
    <tableColumn id="15926" xr3:uid="{52DF262A-6738-4483-97B8-8608A24E9108}" name="Column15921"/>
    <tableColumn id="15927" xr3:uid="{8EEC8245-C5B0-47F7-B8AC-50BD61012F8A}" name="Column15922"/>
    <tableColumn id="15928" xr3:uid="{714B8B7C-44BF-4C6C-9DF3-51495D6D0D2D}" name="Column15923"/>
    <tableColumn id="15929" xr3:uid="{05AD2593-EEED-4EF7-B261-AB349D468514}" name="Column15924"/>
    <tableColumn id="15930" xr3:uid="{00DEE5E3-48A3-45B3-8CE5-BCB0337B371A}" name="Column15925"/>
    <tableColumn id="15931" xr3:uid="{31EA5F4A-7E8B-482D-A2A6-6CBBCCB43A68}" name="Column15926"/>
    <tableColumn id="15932" xr3:uid="{F622FA58-DE27-4397-89B2-C116CE059334}" name="Column15927"/>
    <tableColumn id="15933" xr3:uid="{4C8329C6-BD90-4699-8914-7F604E72F1A8}" name="Column15928"/>
    <tableColumn id="15934" xr3:uid="{B9EE9474-4F42-4AB2-9B66-78F6624495B9}" name="Column15929"/>
    <tableColumn id="15935" xr3:uid="{796BD4C0-C60C-4BAC-84D5-527C9DA87C65}" name="Column15930"/>
    <tableColumn id="15936" xr3:uid="{C304FA3B-D94F-4863-A922-37075D68EEED}" name="Column15931"/>
    <tableColumn id="15937" xr3:uid="{8D08C9F8-A297-4731-B158-B8964697AFDA}" name="Column15932"/>
    <tableColumn id="15938" xr3:uid="{423EE364-DAEC-44A5-8DC9-547137023883}" name="Column15933"/>
    <tableColumn id="15939" xr3:uid="{8DC6DFA0-DACC-4F11-BC2F-B32306A715A8}" name="Column15934"/>
    <tableColumn id="15940" xr3:uid="{F882AAC5-0BCA-4377-A725-C6F2E2600AF0}" name="Column15935"/>
    <tableColumn id="15941" xr3:uid="{A97078F4-2A32-4F0E-B124-F292FCB1C3B0}" name="Column15936"/>
    <tableColumn id="15942" xr3:uid="{FE4E5EDD-6C7E-4336-A0C4-8F26A7854C2C}" name="Column15937"/>
    <tableColumn id="15943" xr3:uid="{011489D2-FFFF-48FE-BC7E-5F7F5D919D0F}" name="Column15938"/>
    <tableColumn id="15944" xr3:uid="{D6889DC3-4512-4987-A3DE-997BB97EC26C}" name="Column15939"/>
    <tableColumn id="15945" xr3:uid="{EA388341-B416-4278-B24E-097545A093C0}" name="Column15940"/>
    <tableColumn id="15946" xr3:uid="{FD6CFAD1-B2D4-440D-952C-5947B664E2C3}" name="Column15941"/>
    <tableColumn id="15947" xr3:uid="{FFAD978B-B601-4A34-ABB3-FABFFC0C6781}" name="Column15942"/>
    <tableColumn id="15948" xr3:uid="{5A4A2BD3-9801-4052-879A-8FC001E096BB}" name="Column15943"/>
    <tableColumn id="15949" xr3:uid="{B7655949-140F-46F6-B429-CD3D06B88A58}" name="Column15944"/>
    <tableColumn id="15950" xr3:uid="{DC8225FA-9EF8-4B54-B05F-71D3444A02B5}" name="Column15945"/>
    <tableColumn id="15951" xr3:uid="{90FF356E-26DB-461E-ACE0-89742FFD56F8}" name="Column15946"/>
    <tableColumn id="15952" xr3:uid="{5E3E3E65-603B-46D6-9679-C33B894B246B}" name="Column15947"/>
    <tableColumn id="15953" xr3:uid="{1E96D0D9-ABF0-49F6-BBFB-2DFF94727C29}" name="Column15948"/>
    <tableColumn id="15954" xr3:uid="{516FD5CE-6EA9-4F21-A109-B434B1EEED42}" name="Column15949"/>
    <tableColumn id="15955" xr3:uid="{AC20221D-E769-4F41-9453-53B7B73B3E47}" name="Column15950"/>
    <tableColumn id="15956" xr3:uid="{0D59C80F-B442-4071-961C-DBE6CBA83E61}" name="Column15951"/>
    <tableColumn id="15957" xr3:uid="{09A7521C-D025-4B88-A905-7AB253E352B6}" name="Column15952"/>
    <tableColumn id="15958" xr3:uid="{1677742E-623E-4DB4-9712-ECB0A187211F}" name="Column15953"/>
    <tableColumn id="15959" xr3:uid="{2117C83D-4E5B-49A6-89F1-0407FC78834D}" name="Column15954"/>
    <tableColumn id="15960" xr3:uid="{8C5BA5AE-5338-4315-B426-27ED61ED05BB}" name="Column15955"/>
    <tableColumn id="15961" xr3:uid="{2F663B11-53E9-448D-9F46-9B6CBDB00C7A}" name="Column15956"/>
    <tableColumn id="15962" xr3:uid="{C9172B31-1FCB-406F-BA09-D5096316F6D3}" name="Column15957"/>
    <tableColumn id="15963" xr3:uid="{479703FE-4427-4F41-84AB-93682CAF4D06}" name="Column15958"/>
    <tableColumn id="15964" xr3:uid="{45E8BCFF-8FD3-40B5-AF41-79A40CA12190}" name="Column15959"/>
    <tableColumn id="15965" xr3:uid="{ACCD0C9A-CA91-4D36-ADB8-16C8F073FAF8}" name="Column15960"/>
    <tableColumn id="15966" xr3:uid="{5C2EE7DA-5CD2-492A-AC28-300F20CF34C0}" name="Column15961"/>
    <tableColumn id="15967" xr3:uid="{776859DD-44AA-4A7C-A0E6-F356C6B394D5}" name="Column15962"/>
    <tableColumn id="15968" xr3:uid="{E7BC5B34-6C88-498F-9AB2-EDA9BE1CA6B5}" name="Column15963"/>
    <tableColumn id="15969" xr3:uid="{380E06CF-8F94-46C5-9AA2-9F43AC8AE479}" name="Column15964"/>
    <tableColumn id="15970" xr3:uid="{3267516B-DB4B-47BA-AA89-1756DF327AE1}" name="Column15965"/>
    <tableColumn id="15971" xr3:uid="{C9B0DE9E-5B15-4F1A-90C6-56B1A2D01020}" name="Column15966"/>
    <tableColumn id="15972" xr3:uid="{DEB59A8D-DA09-45CE-B892-D3BC15C189D8}" name="Column15967"/>
    <tableColumn id="15973" xr3:uid="{0EF1E914-FE5A-466E-A64F-CE18316F9113}" name="Column15968"/>
    <tableColumn id="15974" xr3:uid="{EE6211D0-E978-4046-A604-AEA33C24BB54}" name="Column15969"/>
    <tableColumn id="15975" xr3:uid="{F5F1C4DE-B735-4879-8824-E706DBA4FF2B}" name="Column15970"/>
    <tableColumn id="15976" xr3:uid="{EE047133-A0DF-4713-8EF6-9FA552EABC5C}" name="Column15971"/>
    <tableColumn id="15977" xr3:uid="{298B1464-8063-4E47-ACB0-8C82006827D1}" name="Column15972"/>
    <tableColumn id="15978" xr3:uid="{7BFD2942-A969-4CF8-A911-244486A81F33}" name="Column15973"/>
    <tableColumn id="15979" xr3:uid="{108B05BF-1C55-4DC4-A1D9-6F5EEB19D739}" name="Column15974"/>
    <tableColumn id="15980" xr3:uid="{2AD23E0E-CE50-4D07-9AA8-C350D61016FB}" name="Column15975"/>
    <tableColumn id="15981" xr3:uid="{DFB74479-D196-4FE2-BD8B-45BFA450FA25}" name="Column15976"/>
    <tableColumn id="15982" xr3:uid="{5CB47F5B-D23D-45AE-A00A-34B89A585161}" name="Column15977"/>
    <tableColumn id="15983" xr3:uid="{30042B7A-C0A4-40A5-A353-B74664F6BDFF}" name="Column15978"/>
    <tableColumn id="15984" xr3:uid="{EEB9AD7A-38BE-4174-AA04-FDBB0BF53E7A}" name="Column15979"/>
    <tableColumn id="15985" xr3:uid="{015F2C41-444C-46A0-9D42-BF28CF170995}" name="Column15980"/>
    <tableColumn id="15986" xr3:uid="{0ECE832D-B4DC-4EA7-97E7-AE71056E1D6D}" name="Column15981"/>
    <tableColumn id="15987" xr3:uid="{DC91B6C8-FADC-4C75-B640-EEA6F5AFFC0B}" name="Column15982"/>
    <tableColumn id="15988" xr3:uid="{F770752E-ABFE-463A-B3F9-2B69117616F6}" name="Column15983"/>
    <tableColumn id="15989" xr3:uid="{F9D3597D-B0A0-4A1E-83C3-85D925AD64AB}" name="Column15984"/>
    <tableColumn id="15990" xr3:uid="{17F9FE95-EAB7-42DA-8D80-6A934984CCD3}" name="Column15985"/>
    <tableColumn id="15991" xr3:uid="{F793FD86-3B9D-44A3-A424-449B040FAC43}" name="Column15986"/>
    <tableColumn id="15992" xr3:uid="{3DE6E08B-33A2-4009-8AB4-9A0D0E1B107D}" name="Column15987"/>
    <tableColumn id="15993" xr3:uid="{C3FB69D7-62B4-40E1-B3D6-CD55A5DEB9EB}" name="Column15988"/>
    <tableColumn id="15994" xr3:uid="{040D2084-A793-4E3C-AE36-BF9B48A47759}" name="Column15989"/>
    <tableColumn id="15995" xr3:uid="{008AC2E7-7113-4CC7-AB82-96D14845A3A4}" name="Column15990"/>
    <tableColumn id="15996" xr3:uid="{0EC483E1-4C65-4C8B-B6D7-5A5EA32F83A2}" name="Column15991"/>
    <tableColumn id="15997" xr3:uid="{DB8F23E4-3EC4-4AA7-972C-6A6653B45441}" name="Column15992"/>
    <tableColumn id="15998" xr3:uid="{85B08A21-3836-4450-8A63-73D08E3F5170}" name="Column15993"/>
    <tableColumn id="15999" xr3:uid="{A6BF222B-6DE9-49FE-A53A-098A385CDC26}" name="Column15994"/>
    <tableColumn id="16000" xr3:uid="{B2E8F598-8927-4D1C-8BE2-517FB83CD8EC}" name="Column15995"/>
    <tableColumn id="16001" xr3:uid="{8D7E563B-EE77-41B0-A562-21984D93A4B2}" name="Column15996"/>
    <tableColumn id="16002" xr3:uid="{B221A51C-97AC-47F4-B962-A3C250B5206D}" name="Column15997"/>
    <tableColumn id="16003" xr3:uid="{63E16ABB-C0F1-41A6-A4CB-435A018F9480}" name="Column15998"/>
    <tableColumn id="16004" xr3:uid="{6F263E2F-6D81-4149-8206-F02CC48F220C}" name="Column15999"/>
    <tableColumn id="16005" xr3:uid="{F54F1B37-412A-414B-982B-C76D97BF9638}" name="Column16000"/>
    <tableColumn id="16006" xr3:uid="{4BC8BE8D-497B-4591-BB7E-A59CF6156787}" name="Column16001"/>
    <tableColumn id="16007" xr3:uid="{E4218A47-11A0-42A4-A815-2B286C3C980F}" name="Column16002"/>
    <tableColumn id="16008" xr3:uid="{83AE21ED-EB4E-4907-A7EC-D60D7AD06C93}" name="Column16003"/>
    <tableColumn id="16009" xr3:uid="{68EFF0AD-5FD8-4ED4-A260-25C2D8280256}" name="Column16004"/>
    <tableColumn id="16010" xr3:uid="{2E64026F-1119-4A5E-B636-22F6EFD7B08F}" name="Column16005"/>
    <tableColumn id="16011" xr3:uid="{9AEE82AE-B1A7-4205-A6E8-64D238D8EABD}" name="Column16006"/>
    <tableColumn id="16012" xr3:uid="{C57E41A8-7395-4DBC-8D75-EA663EAD45F7}" name="Column16007"/>
    <tableColumn id="16013" xr3:uid="{5D099DCF-4D93-43B1-A3A2-DB47E3F38136}" name="Column16008"/>
    <tableColumn id="16014" xr3:uid="{6151C6AA-685C-450C-AE96-2D16CA53A1C7}" name="Column16009"/>
    <tableColumn id="16015" xr3:uid="{93ACB499-167F-4CE2-BFE2-48D53D0384BC}" name="Column16010"/>
    <tableColumn id="16016" xr3:uid="{86614A63-5942-4C27-812A-B8E77A422CDD}" name="Column16011"/>
    <tableColumn id="16017" xr3:uid="{69366476-B91C-4F5C-9B36-6AF03C3BE386}" name="Column16012"/>
    <tableColumn id="16018" xr3:uid="{C4B4A4B4-4C2F-4444-8D19-571C3C568131}" name="Column16013"/>
    <tableColumn id="16019" xr3:uid="{69FC96C7-F33A-4BDD-B3F8-86BEDC1F2191}" name="Column16014"/>
    <tableColumn id="16020" xr3:uid="{DC0E29E1-47C2-4D9A-8B90-EB021FECBAF4}" name="Column16015"/>
    <tableColumn id="16021" xr3:uid="{485B49F0-546B-4524-836D-C50AEE2CD896}" name="Column16016"/>
    <tableColumn id="16022" xr3:uid="{00D5E6EB-AB29-4C16-BC57-EDCE248E5737}" name="Column16017"/>
    <tableColumn id="16023" xr3:uid="{07FD9DC8-2D30-4EF4-8C6A-D832EBB4D136}" name="Column16018"/>
    <tableColumn id="16024" xr3:uid="{675FD99A-4BA9-4ED7-88A2-395480574E41}" name="Column16019"/>
    <tableColumn id="16025" xr3:uid="{80FD4700-6194-4AD2-A5D4-C67AFE3B2080}" name="Column16020"/>
    <tableColumn id="16026" xr3:uid="{454FDE51-EC18-469D-8D09-C2971DD64B99}" name="Column16021"/>
    <tableColumn id="16027" xr3:uid="{725B7458-7789-455B-AAED-02DD24B0CE90}" name="Column16022"/>
    <tableColumn id="16028" xr3:uid="{CF90F6B0-D7C6-46CA-83D4-8F76DD7D2CDB}" name="Column16023"/>
    <tableColumn id="16029" xr3:uid="{50EBE382-7564-4F88-8C35-2FF6D2996D71}" name="Column16024"/>
    <tableColumn id="16030" xr3:uid="{EB199C01-189E-43E5-A40B-074F390D6DDD}" name="Column16025"/>
    <tableColumn id="16031" xr3:uid="{D12D5703-3B7B-447D-B445-42014B7A7F17}" name="Column16026"/>
    <tableColumn id="16032" xr3:uid="{DC5FC7FD-61E3-40AF-9FEB-508C11AF3FA9}" name="Column16027"/>
    <tableColumn id="16033" xr3:uid="{8EDD507C-57A2-4FEF-8EBE-1B8BDE0F005F}" name="Column16028"/>
    <tableColumn id="16034" xr3:uid="{F6759A58-7A62-45EA-9BA7-D169C7519727}" name="Column16029"/>
    <tableColumn id="16035" xr3:uid="{74E2DAF9-6CAB-4C20-8489-585FCDF6EAB7}" name="Column16030"/>
    <tableColumn id="16036" xr3:uid="{540DCD6A-7731-49D6-981E-DA3F112D036D}" name="Column16031"/>
    <tableColumn id="16037" xr3:uid="{F2CCEBA7-ABF7-4363-BB31-65A6A915A1D2}" name="Column16032"/>
    <tableColumn id="16038" xr3:uid="{ED1F32B3-AF66-4713-8BB2-E0E2FEDCB174}" name="Column16033"/>
    <tableColumn id="16039" xr3:uid="{0B834D0E-436A-4B7C-999B-072DC08984FC}" name="Column16034"/>
    <tableColumn id="16040" xr3:uid="{2859D746-4E86-42F5-B072-59D919AC57F9}" name="Column16035"/>
    <tableColumn id="16041" xr3:uid="{8A8E582A-7AD3-4B47-8019-D36D0AF0F5D6}" name="Column16036"/>
    <tableColumn id="16042" xr3:uid="{83DE2BF4-68CF-492D-BB9A-D2A96C658437}" name="Column16037"/>
    <tableColumn id="16043" xr3:uid="{93B25719-2E5A-4CAD-B128-E89DF677B372}" name="Column16038"/>
    <tableColumn id="16044" xr3:uid="{EBBF8E7F-E84E-4938-B721-3925DBA51E14}" name="Column16039"/>
    <tableColumn id="16045" xr3:uid="{51EC806C-9F77-499E-B4E0-AF34424F7FA1}" name="Column16040"/>
    <tableColumn id="16046" xr3:uid="{A9E44A64-2D1A-446F-A87B-4DC1B33B449D}" name="Column16041"/>
    <tableColumn id="16047" xr3:uid="{89FF8414-082E-4F8B-8F81-556707CEB923}" name="Column16042"/>
    <tableColumn id="16048" xr3:uid="{7DE86DAE-3135-4277-AE63-8880260D03A3}" name="Column16043"/>
    <tableColumn id="16049" xr3:uid="{C977CB48-781B-48B4-BD1F-71E239C2825E}" name="Column16044"/>
    <tableColumn id="16050" xr3:uid="{BF303F34-BB94-4856-942E-37DB34FCF024}" name="Column16045"/>
    <tableColumn id="16051" xr3:uid="{B28E0523-E3DF-4871-8DCF-D7E71152F444}" name="Column16046"/>
    <tableColumn id="16052" xr3:uid="{67B9FFDD-0285-456D-AAC7-2E95D5A9EFD6}" name="Column16047"/>
    <tableColumn id="16053" xr3:uid="{C0720693-524A-4782-8D44-E533A07430B1}" name="Column16048"/>
    <tableColumn id="16054" xr3:uid="{1F9C3AF4-D568-4778-B423-CDEB4D46B450}" name="Column16049"/>
    <tableColumn id="16055" xr3:uid="{1857D817-3EAF-4C25-BF7B-F8629C7AC126}" name="Column16050"/>
    <tableColumn id="16056" xr3:uid="{635C7557-6011-4D57-A60B-02C5E864572D}" name="Column16051"/>
    <tableColumn id="16057" xr3:uid="{6F0DED10-6844-4C08-A135-8183AFC78CA5}" name="Column16052"/>
    <tableColumn id="16058" xr3:uid="{C87952A4-EA38-4416-AD0A-29BA3A868739}" name="Column16053"/>
    <tableColumn id="16059" xr3:uid="{DA71BE56-8388-4DF0-A3AD-C128037E3A06}" name="Column16054"/>
    <tableColumn id="16060" xr3:uid="{E7C890A3-B938-4F70-BD53-4AD069A274B8}" name="Column16055"/>
    <tableColumn id="16061" xr3:uid="{DCF3DBF7-2E6B-4A5F-B516-053C96DD43AE}" name="Column16056"/>
    <tableColumn id="16062" xr3:uid="{12E0ED9A-1A1C-4770-9882-94DB1DBF9715}" name="Column16057"/>
    <tableColumn id="16063" xr3:uid="{89B88E96-26DF-499A-ACEB-D9577EDAC28E}" name="Column16058"/>
    <tableColumn id="16064" xr3:uid="{ED2968CB-5E7A-41FC-9900-E95300F71908}" name="Column16059"/>
    <tableColumn id="16065" xr3:uid="{20913457-1949-40B9-9236-BCD9BBC06045}" name="Column16060"/>
    <tableColumn id="16066" xr3:uid="{913F8309-E784-45A5-81EF-F7DAAE5EEFB5}" name="Column16061"/>
    <tableColumn id="16067" xr3:uid="{2129F336-B296-4728-BE92-125AC5C8C4C7}" name="Column16062"/>
    <tableColumn id="16068" xr3:uid="{07D6E3B5-41BC-4A55-B784-54005FC00F78}" name="Column16063"/>
    <tableColumn id="16069" xr3:uid="{F1C11A9E-A83B-4AC6-BC7F-8D6D679B3564}" name="Column16064"/>
    <tableColumn id="16070" xr3:uid="{281616D7-75F4-4F26-BB3C-E5A8135CF741}" name="Column16065"/>
    <tableColumn id="16071" xr3:uid="{7E9728D3-D40E-42F7-952F-3A674483383C}" name="Column16066"/>
    <tableColumn id="16072" xr3:uid="{188E0F40-1790-42CC-A380-A5681C705BC5}" name="Column16067"/>
    <tableColumn id="16073" xr3:uid="{2D29DCAC-3125-4151-8034-ABC6105BCD6A}" name="Column16068"/>
    <tableColumn id="16074" xr3:uid="{55A566B6-9033-475B-BCD6-13E5CABBFF7C}" name="Column16069"/>
    <tableColumn id="16075" xr3:uid="{E9CEFAF4-5275-48FD-867A-4EE569D8D476}" name="Column16070"/>
    <tableColumn id="16076" xr3:uid="{AA0B5C5D-BCF4-4D0C-A04D-D717E4AA916F}" name="Column16071"/>
    <tableColumn id="16077" xr3:uid="{5188CD17-3C43-4494-A3FE-70E4109BC2B3}" name="Column16072"/>
    <tableColumn id="16078" xr3:uid="{45F2B2F2-2CCA-401D-A7AC-AA913268FADA}" name="Column16073"/>
    <tableColumn id="16079" xr3:uid="{D6B66E01-A1BE-4882-9246-28647E8D9C8B}" name="Column16074"/>
    <tableColumn id="16080" xr3:uid="{B86A4252-DF6B-4858-9437-76E018018A81}" name="Column16075"/>
    <tableColumn id="16081" xr3:uid="{F7CB96F9-1B54-4C72-AB89-DDE68CB85643}" name="Column16076"/>
    <tableColumn id="16082" xr3:uid="{31B85580-A79D-4C5D-B7D9-045091DBB4E0}" name="Column16077"/>
    <tableColumn id="16083" xr3:uid="{B8BAA110-E4E1-4E11-BE28-E92E200A3ABD}" name="Column16078"/>
    <tableColumn id="16084" xr3:uid="{B9C81412-8C82-4D10-AF64-D836822AD23B}" name="Column16079"/>
    <tableColumn id="16085" xr3:uid="{41AFDB72-9DD9-4689-9741-590773FEF795}" name="Column16080"/>
    <tableColumn id="16086" xr3:uid="{BFD696A1-1108-4A50-A864-08C220EE0E7F}" name="Column16081"/>
    <tableColumn id="16087" xr3:uid="{E9549768-B895-45EA-ABCE-93AC31E4C26C}" name="Column16082"/>
    <tableColumn id="16088" xr3:uid="{E54459CD-CBBB-4E02-93ED-31ED48A116D5}" name="Column16083"/>
    <tableColumn id="16089" xr3:uid="{73DCF244-C542-47D6-8CEA-2826303B380A}" name="Column16084"/>
    <tableColumn id="16090" xr3:uid="{7A859F38-C658-425C-8B61-5B2DEB2074DD}" name="Column16085"/>
    <tableColumn id="16091" xr3:uid="{FD645AE2-2632-4A16-93FD-E8E96DADFEAD}" name="Column16086"/>
    <tableColumn id="16092" xr3:uid="{03C01302-A87C-4387-9DB9-4545BD48BAFA}" name="Column16087"/>
    <tableColumn id="16093" xr3:uid="{C2D0648C-D1C1-4130-975A-41A7FCED2153}" name="Column16088"/>
    <tableColumn id="16094" xr3:uid="{021134D3-7BBB-4979-BF27-03C404FDCB3C}" name="Column16089"/>
    <tableColumn id="16095" xr3:uid="{51DC5582-16A6-4908-9E60-78989EC89277}" name="Column16090"/>
    <tableColumn id="16096" xr3:uid="{8E65999F-70D7-4BFE-96FA-B05407F7F1F2}" name="Column16091"/>
    <tableColumn id="16097" xr3:uid="{209FBF27-FAFE-4BA4-9F2E-2CD6D9F69F7D}" name="Column16092"/>
    <tableColumn id="16098" xr3:uid="{AA0BB5EE-218E-4293-8421-1E9F06EA148E}" name="Column16093"/>
    <tableColumn id="16099" xr3:uid="{711187C0-7755-49A5-9188-722F641282AF}" name="Column16094"/>
    <tableColumn id="16100" xr3:uid="{9C3EDB37-80BC-4886-8162-F187875C9C48}" name="Column16095"/>
    <tableColumn id="16101" xr3:uid="{DB150724-8A35-4571-A84F-B2B1A025221F}" name="Column16096"/>
    <tableColumn id="16102" xr3:uid="{C382906D-3CEA-4161-A236-078BC85966FC}" name="Column16097"/>
    <tableColumn id="16103" xr3:uid="{6A08B3A2-B12E-4EE1-849E-C1E95854634A}" name="Column16098"/>
    <tableColumn id="16104" xr3:uid="{61DD0A98-F511-4660-913B-8409B2561E37}" name="Column16099"/>
    <tableColumn id="16105" xr3:uid="{62420425-73F0-48C6-AB1E-F05DCE15C3E7}" name="Column16100"/>
    <tableColumn id="16106" xr3:uid="{04DB2C1E-A833-46F0-8252-52558DE40CF7}" name="Column16101"/>
    <tableColumn id="16107" xr3:uid="{1CFCDCB3-A327-4F3B-9E1A-A398B70980F7}" name="Column16102"/>
    <tableColumn id="16108" xr3:uid="{A06E3168-81AC-47D4-B799-E21A4B957BBC}" name="Column16103"/>
    <tableColumn id="16109" xr3:uid="{1B85ACFF-76F7-434B-8A7F-5FCED75A7004}" name="Column16104"/>
    <tableColumn id="16110" xr3:uid="{3FF4A606-DB4E-4BF8-B458-1707C62A892B}" name="Column16105"/>
    <tableColumn id="16111" xr3:uid="{12775EF0-3D4A-47E0-9734-680C64EA7904}" name="Column16106"/>
    <tableColumn id="16112" xr3:uid="{3F66F246-044A-416F-8739-E1EDE7E3775E}" name="Column16107"/>
    <tableColumn id="16113" xr3:uid="{188D74AE-9FD8-407B-9EA8-97FB04DDCB01}" name="Column16108"/>
    <tableColumn id="16114" xr3:uid="{DEF65FDD-B056-4677-BBCB-3C337D0AD6A0}" name="Column16109"/>
    <tableColumn id="16115" xr3:uid="{65497C9E-3CF8-443C-8983-51F03ADFB0AA}" name="Column16110"/>
    <tableColumn id="16116" xr3:uid="{AAF9131C-F206-4F56-93E0-0DBE0DE18EE0}" name="Column16111"/>
    <tableColumn id="16117" xr3:uid="{A898C1DE-C20C-4B23-9075-BD0774FF5BC9}" name="Column16112"/>
    <tableColumn id="16118" xr3:uid="{76763443-450F-449E-B136-3C56F74826F2}" name="Column16113"/>
    <tableColumn id="16119" xr3:uid="{C334F096-E7A6-48F4-91F7-27DA90F74CA0}" name="Column16114"/>
    <tableColumn id="16120" xr3:uid="{5406A17E-3828-4CB6-B2C0-97F8DBD8F1EC}" name="Column16115"/>
    <tableColumn id="16121" xr3:uid="{5B85DFDB-9F02-4B9F-8A43-8377BD0219C9}" name="Column16116"/>
    <tableColumn id="16122" xr3:uid="{638EB72B-6518-46FF-A397-E5284F2C1598}" name="Column16117"/>
    <tableColumn id="16123" xr3:uid="{3ACC357D-2E5E-4FB6-BCE6-3A67C26C5A4B}" name="Column16118"/>
    <tableColumn id="16124" xr3:uid="{836EC26D-C720-4CD9-89EC-C868844DD37D}" name="Column16119"/>
    <tableColumn id="16125" xr3:uid="{A84988CF-D319-485F-90E2-F16347FDDE12}" name="Column16120"/>
    <tableColumn id="16126" xr3:uid="{60810EE8-603F-44D1-8728-C02E9411339D}" name="Column16121"/>
    <tableColumn id="16127" xr3:uid="{2EA6917E-70DD-4D00-8D44-3D5D303CC889}" name="Column16122"/>
    <tableColumn id="16128" xr3:uid="{270B760F-276F-4828-BDD6-1FF049BF2BE9}" name="Column16123"/>
    <tableColumn id="16129" xr3:uid="{8382A6C5-C79A-4F88-BC26-A847DD435849}" name="Column16124"/>
    <tableColumn id="16130" xr3:uid="{C290AA5C-403F-4026-8F6A-2362002FB5F6}" name="Column16125"/>
    <tableColumn id="16131" xr3:uid="{D32C97E2-FE2D-492C-8228-2BE87DBAFBDC}" name="Column16126"/>
    <tableColumn id="16132" xr3:uid="{A60ACDB1-B790-4B83-8A9A-C190434F9943}" name="Column16127"/>
    <tableColumn id="16133" xr3:uid="{F64D5992-02D2-415C-8A6C-6A061CC07136}" name="Column16128"/>
    <tableColumn id="16134" xr3:uid="{0F37BD78-1D97-43ED-8188-F16B53AC11A5}" name="Column16129"/>
    <tableColumn id="16135" xr3:uid="{70114951-78FF-4EE4-8B8B-48EEACBD6E43}" name="Column16130"/>
    <tableColumn id="16136" xr3:uid="{6EA3ADF5-8680-4D62-96E8-3DFA36A36609}" name="Column16131"/>
    <tableColumn id="16137" xr3:uid="{E36C1F84-87D2-4AD1-ACB6-D85D6E774CE3}" name="Column16132"/>
    <tableColumn id="16138" xr3:uid="{8FF724AA-AD0B-481D-B65F-5B4E69CA9EC5}" name="Column16133"/>
    <tableColumn id="16139" xr3:uid="{50176A3F-41CD-4210-989F-F791DDC626FA}" name="Column16134"/>
    <tableColumn id="16140" xr3:uid="{6A5EF9D6-BC64-400E-BCFE-0BCB85C82E4A}" name="Column16135"/>
    <tableColumn id="16141" xr3:uid="{EEF1D03C-F2E2-424E-B2E3-B5715CBA5AB5}" name="Column16136"/>
    <tableColumn id="16142" xr3:uid="{C3C856AE-78CD-41A4-93ED-49D647D13500}" name="Column16137"/>
    <tableColumn id="16143" xr3:uid="{5CB0B11D-F9A2-49F0-9ADB-7C83D2C0AF0F}" name="Column16138"/>
    <tableColumn id="16144" xr3:uid="{B235D013-D1D9-4E74-819A-4A16F16F12A9}" name="Column16139"/>
    <tableColumn id="16145" xr3:uid="{DF8CF033-5D31-419C-AF35-25F236B870B6}" name="Column16140"/>
    <tableColumn id="16146" xr3:uid="{4DC4EE1F-A1C5-4C6C-853A-3AA950AFD9C1}" name="Column16141"/>
    <tableColumn id="16147" xr3:uid="{58F78EA8-3196-4E8F-B10A-704BA6FDF2C3}" name="Column16142"/>
    <tableColumn id="16148" xr3:uid="{93F723CC-7DF5-4DC2-BF58-924C0FBC09AB}" name="Column16143"/>
    <tableColumn id="16149" xr3:uid="{71597DAE-AD50-4FDC-BE68-735AE3EF613E}" name="Column16144"/>
    <tableColumn id="16150" xr3:uid="{3B476781-5AF1-4327-8047-19CF43446062}" name="Column16145"/>
    <tableColumn id="16151" xr3:uid="{EE23E0F8-D3CF-4BDA-83BA-F00C2CEA426F}" name="Column16146"/>
    <tableColumn id="16152" xr3:uid="{3C4FFCF2-2480-474D-889D-454734AFA6B0}" name="Column16147"/>
    <tableColumn id="16153" xr3:uid="{4BA49B6F-F7B6-4E5E-AEDB-0601A077E1A7}" name="Column16148"/>
    <tableColumn id="16154" xr3:uid="{485D4332-1BFE-41FE-B3FF-E83B8D1F036A}" name="Column16149"/>
    <tableColumn id="16155" xr3:uid="{8649B6D5-0831-4C45-9D5D-26923F73B0D8}" name="Column16150"/>
    <tableColumn id="16156" xr3:uid="{AE51F893-1E2B-43C7-9EB4-49C35C3091E1}" name="Column16151"/>
    <tableColumn id="16157" xr3:uid="{D7FE9C6A-6FE7-41BD-93D2-11815780CA88}" name="Column16152"/>
    <tableColumn id="16158" xr3:uid="{98C38A5A-EE55-4B15-8142-007CDB7DFC14}" name="Column16153"/>
    <tableColumn id="16159" xr3:uid="{D25E8100-E8F0-498F-BB14-F22AE9A70AB6}" name="Column16154"/>
    <tableColumn id="16160" xr3:uid="{6FBCFE8F-1A45-4094-A82E-C37E52251998}" name="Column16155"/>
    <tableColumn id="16161" xr3:uid="{93AFC6AA-D298-430B-8FAC-13553FA7F796}" name="Column16156"/>
    <tableColumn id="16162" xr3:uid="{56575A96-DDE4-47C3-9FBA-205E17E92CC7}" name="Column16157"/>
    <tableColumn id="16163" xr3:uid="{F0714477-09ED-4A8D-8B37-75D8EF099AC5}" name="Column16158"/>
    <tableColumn id="16164" xr3:uid="{A60F9DD7-3B52-4FAC-A2B1-04888CE01089}" name="Column16159"/>
    <tableColumn id="16165" xr3:uid="{26061448-052B-4E2A-9EF5-7C18A6FF8492}" name="Column16160"/>
    <tableColumn id="16166" xr3:uid="{429AEA8F-8D10-4E21-8E90-0370EBD82BCE}" name="Column16161"/>
    <tableColumn id="16167" xr3:uid="{93C6BFA1-7023-434E-8258-3BDEE41B9F3C}" name="Column16162"/>
    <tableColumn id="16168" xr3:uid="{0691733E-F35A-4161-8925-C3810041CD19}" name="Column16163"/>
    <tableColumn id="16169" xr3:uid="{974B74C3-D9D2-4482-A24A-736796359DC5}" name="Column16164"/>
    <tableColumn id="16170" xr3:uid="{D4E65288-838C-4772-911A-591CFFBB608C}" name="Column16165"/>
    <tableColumn id="16171" xr3:uid="{FAE2F766-C1D2-4887-BB46-D01479C0C9AC}" name="Column16166"/>
    <tableColumn id="16172" xr3:uid="{8888EAEC-C90A-4D74-BA1D-4CF67AC51FFE}" name="Column16167"/>
    <tableColumn id="16173" xr3:uid="{56FB7538-FF9C-44E7-9E86-4809C1BC312E}" name="Column16168"/>
    <tableColumn id="16174" xr3:uid="{6CC6C4AD-3A50-4436-89C6-7CF039F31500}" name="Column16169"/>
    <tableColumn id="16175" xr3:uid="{EFC18585-4221-454E-BB83-8E2D3157E719}" name="Column16170"/>
    <tableColumn id="16176" xr3:uid="{F5BE084D-3246-4F0D-A50D-CB7D471B47CA}" name="Column16171"/>
    <tableColumn id="16177" xr3:uid="{354AA5AD-898C-455E-AEA2-AE0CC43EEDDE}" name="Column16172"/>
    <tableColumn id="16178" xr3:uid="{E3832439-DD5F-40E7-8B0D-BAB7065C8513}" name="Column16173"/>
    <tableColumn id="16179" xr3:uid="{DF1BF9DB-48DF-4D03-B155-C17D6D25E24A}" name="Column16174"/>
    <tableColumn id="16180" xr3:uid="{3896C908-939D-4A18-966C-89EF6A07F9DC}" name="Column16175"/>
    <tableColumn id="16181" xr3:uid="{F7AC272E-190C-4195-85E9-5D484F0CB081}" name="Column16176"/>
    <tableColumn id="16182" xr3:uid="{DBC93456-3A77-4F60-9531-CE481E41F26F}" name="Column16177"/>
    <tableColumn id="16183" xr3:uid="{712E87ED-2839-4115-ABA9-E6E11284858D}" name="Column16178"/>
    <tableColumn id="16184" xr3:uid="{A83FB64F-2623-4ED3-B117-FE211510AE93}" name="Column16179"/>
    <tableColumn id="16185" xr3:uid="{9D2AD803-BB2C-4782-AA39-ED6EE3D65B4A}" name="Column16180"/>
    <tableColumn id="16186" xr3:uid="{EC39BA49-E865-44E6-9D7B-CF426D6B5B59}" name="Column16181"/>
    <tableColumn id="16187" xr3:uid="{53460508-F987-430B-8DDB-FA9374C5949C}" name="Column16182"/>
    <tableColumn id="16188" xr3:uid="{B4131B28-3F05-42C4-9CC3-E2A2EBA5EE6C}" name="Column16183"/>
    <tableColumn id="16189" xr3:uid="{4C9F9EFE-CDC4-42C1-8B81-326265272D8E}" name="Column16184"/>
    <tableColumn id="16190" xr3:uid="{C4228A27-69C9-4C98-BACF-38B401C2CF0B}" name="Column16185"/>
    <tableColumn id="16191" xr3:uid="{2B6E0616-2865-4660-AFBD-D630E1332547}" name="Column16186"/>
    <tableColumn id="16192" xr3:uid="{9844A69E-79CF-4442-9B89-A0B72AF67E71}" name="Column16187"/>
    <tableColumn id="16193" xr3:uid="{5A894C93-6A1F-4C75-8C20-264E08A38CB4}" name="Column16188"/>
    <tableColumn id="16194" xr3:uid="{9809EBBD-D318-40B2-8596-07353B464ED5}" name="Column16189"/>
    <tableColumn id="16195" xr3:uid="{B437CDD9-77A4-4F01-B7EE-55865477EE72}" name="Column16190"/>
    <tableColumn id="16196" xr3:uid="{7D56BBDA-48D9-4BDC-817B-926FF2219072}" name="Column16191"/>
    <tableColumn id="16197" xr3:uid="{EFAA3390-F39A-40C9-8715-3E058B593564}" name="Column16192"/>
    <tableColumn id="16198" xr3:uid="{5A86BC36-9776-4695-9034-B722F3CCB4EF}" name="Column16193"/>
    <tableColumn id="16199" xr3:uid="{5A649448-BE28-4708-87BC-9B863CC04ACF}" name="Column16194"/>
    <tableColumn id="16200" xr3:uid="{9031FE75-AE6C-45A5-9571-0CF9EC074DBE}" name="Column16195"/>
    <tableColumn id="16201" xr3:uid="{A6EF67D5-106D-45A0-87D6-A3547904C45A}" name="Column16196"/>
    <tableColumn id="16202" xr3:uid="{3B3ED295-5359-40AD-B1E8-47C8185A8645}" name="Column16197"/>
    <tableColumn id="16203" xr3:uid="{6CA2FC55-90EE-4AC8-84D8-7294239EB8CA}" name="Column16198"/>
    <tableColumn id="16204" xr3:uid="{4700C5A6-4A22-4019-963D-8620A17AB654}" name="Column16199"/>
    <tableColumn id="16205" xr3:uid="{096E2294-55ED-4E50-952F-E4119FCA2FE5}" name="Column16200"/>
    <tableColumn id="16206" xr3:uid="{5E47978E-095D-42B2-8684-FD826D89DDE0}" name="Column16201"/>
    <tableColumn id="16207" xr3:uid="{D06E3B3F-0C74-4754-B47A-2F9A12B5E0E0}" name="Column16202"/>
    <tableColumn id="16208" xr3:uid="{5EBC885C-9510-4D3F-84F6-600D1F6CF04B}" name="Column16203"/>
    <tableColumn id="16209" xr3:uid="{C492BA1A-7366-473B-A6DD-DB5DA88F45F3}" name="Column16204"/>
    <tableColumn id="16210" xr3:uid="{1DDFBA49-673F-4B43-9046-E962BC429732}" name="Column16205"/>
    <tableColumn id="16211" xr3:uid="{DAD0EBD3-8BE1-484E-99F3-EDB45359897F}" name="Column16206"/>
    <tableColumn id="16212" xr3:uid="{F32302FE-F8DE-48D4-AC71-865A902EF25C}" name="Column16207"/>
    <tableColumn id="16213" xr3:uid="{9342CA80-0F49-4B54-B89C-E366D5E6383E}" name="Column16208"/>
    <tableColumn id="16214" xr3:uid="{6418D8D7-62C3-4C7A-A683-721A8846054D}" name="Column16209"/>
    <tableColumn id="16215" xr3:uid="{20236280-FB55-4E43-B651-FDCDAF5722FC}" name="Column16210"/>
    <tableColumn id="16216" xr3:uid="{E9B355CF-C6CE-4784-B955-8F7EFE99F01A}" name="Column16211"/>
    <tableColumn id="16217" xr3:uid="{E4D6B23C-9E73-422E-B0F9-EB22A25A1D65}" name="Column16212"/>
    <tableColumn id="16218" xr3:uid="{15B4A3BE-D9DB-4124-924B-B2B9E0D159F3}" name="Column16213"/>
    <tableColumn id="16219" xr3:uid="{A9FC11A5-5BB1-407D-B1E7-0DEF8BFB8475}" name="Column16214"/>
    <tableColumn id="16220" xr3:uid="{F0E799D2-D61B-40A8-A47B-A39BD58432A6}" name="Column16215"/>
    <tableColumn id="16221" xr3:uid="{D4DE03FA-5F78-4485-85A5-D001D3E1BBB0}" name="Column16216"/>
    <tableColumn id="16222" xr3:uid="{8487FB7C-A67A-4BFF-9443-ACA1F1F9B0A4}" name="Column16217"/>
    <tableColumn id="16223" xr3:uid="{1F10F054-DE8C-464F-ACA6-F59DE7B96293}" name="Column16218"/>
    <tableColumn id="16224" xr3:uid="{6348C95A-BFA3-437D-8FDB-2D9346D47B60}" name="Column16219"/>
    <tableColumn id="16225" xr3:uid="{5E91F43C-D7B2-4ED6-A014-B87C87A267BF}" name="Column16220"/>
    <tableColumn id="16226" xr3:uid="{2E0D9646-FBAA-4AA9-9324-7B8832C1224E}" name="Column16221"/>
    <tableColumn id="16227" xr3:uid="{EF6D8A3B-4C92-454B-A182-B0495BB46A7F}" name="Column16222"/>
    <tableColumn id="16228" xr3:uid="{EAB4CB0A-689D-4007-96CB-9044D834CAE0}" name="Column16223"/>
    <tableColumn id="16229" xr3:uid="{291420EE-A2AE-4D5E-85A4-4C47846EF527}" name="Column16224"/>
    <tableColumn id="16230" xr3:uid="{C5CA2614-D080-4394-A45C-4DB94A328337}" name="Column16225"/>
    <tableColumn id="16231" xr3:uid="{78EBC61D-ECD7-4F15-80B9-D2A99CA63556}" name="Column16226"/>
    <tableColumn id="16232" xr3:uid="{B84FB86A-C745-498B-B25D-A280570137A1}" name="Column16227"/>
    <tableColumn id="16233" xr3:uid="{F5EA857A-766E-4649-8D68-C3F3BC31C4EE}" name="Column16228"/>
    <tableColumn id="16234" xr3:uid="{61B2D015-85FE-4284-99FB-21E579DF8EA4}" name="Column16229"/>
    <tableColumn id="16235" xr3:uid="{B46A1242-70D8-4BEC-949A-355DE72F35D7}" name="Column16230"/>
    <tableColumn id="16236" xr3:uid="{4809F215-BF82-4465-8A0F-867AA326C299}" name="Column16231"/>
    <tableColumn id="16237" xr3:uid="{80B5C92B-2BA8-41C4-9352-DB6C843D1B1B}" name="Column16232"/>
    <tableColumn id="16238" xr3:uid="{531CDE40-4544-44B7-BF5F-CC429428406D}" name="Column16233"/>
    <tableColumn id="16239" xr3:uid="{8FAC02A6-DE2B-4006-8BA4-E85630452684}" name="Column16234"/>
    <tableColumn id="16240" xr3:uid="{DD6C76DE-6958-45C1-A228-C2D708DB7A06}" name="Column16235"/>
    <tableColumn id="16241" xr3:uid="{19F3A4DD-A3BF-4AF3-AE50-4537FA73EFBA}" name="Column16236"/>
    <tableColumn id="16242" xr3:uid="{8607D5C3-1D58-4717-85A9-49C5343D3833}" name="Column16237"/>
    <tableColumn id="16243" xr3:uid="{BD21E4FA-8965-47E8-B6F2-86DC144A36D9}" name="Column16238"/>
    <tableColumn id="16244" xr3:uid="{9AE76606-1523-44D3-B683-78213537B1F3}" name="Column16239"/>
    <tableColumn id="16245" xr3:uid="{AE3E4857-40E9-4DCD-BACB-DAE34099632E}" name="Column16240"/>
    <tableColumn id="16246" xr3:uid="{1EAB3D5A-8246-48DB-8681-4126B424CDC8}" name="Column16241"/>
    <tableColumn id="16247" xr3:uid="{6AEB3119-9E9F-4B6D-8679-A231447662F6}" name="Column16242"/>
    <tableColumn id="16248" xr3:uid="{B056F9AA-9C4F-4002-A7ED-A2D5C9E9410E}" name="Column16243"/>
    <tableColumn id="16249" xr3:uid="{E9AB9491-512D-4A4A-801A-6B97E5E42AB5}" name="Column16244"/>
    <tableColumn id="16250" xr3:uid="{8387C16F-63AF-4E8A-B1DB-AF6DFDF7F372}" name="Column16245"/>
    <tableColumn id="16251" xr3:uid="{493189FE-D4B2-440B-8A55-E86B83B64113}" name="Column16246"/>
    <tableColumn id="16252" xr3:uid="{7D8A86F6-74B0-46CE-AFDC-FECB69281380}" name="Column16247"/>
    <tableColumn id="16253" xr3:uid="{CCB5A675-34AE-4616-974B-46DA4BE3659E}" name="Column16248"/>
    <tableColumn id="16254" xr3:uid="{41E0C37B-0830-4706-85CF-73ED599542C0}" name="Column16249"/>
    <tableColumn id="16255" xr3:uid="{6387C6B4-A874-4B89-962F-12DA5C532186}" name="Column16250"/>
    <tableColumn id="16256" xr3:uid="{CF2F5BCB-8F10-4F67-93A8-6B038D36E627}" name="Column16251"/>
    <tableColumn id="16257" xr3:uid="{AFAA5749-A281-4455-9237-D37A3BC4C3C7}" name="Column16252"/>
    <tableColumn id="16258" xr3:uid="{AFE9D666-6AEF-4D35-9FEA-B8A1BF1C3B58}" name="Column16253"/>
    <tableColumn id="16259" xr3:uid="{299A7F84-4639-4C61-B80F-6B4784D9A330}" name="Column16254"/>
    <tableColumn id="16260" xr3:uid="{0C94CE74-FC7F-418F-B5EB-7FCCFE112A7C}" name="Column16255"/>
    <tableColumn id="16261" xr3:uid="{DDA2B254-E353-4087-BD5B-D54029AB9D57}" name="Column16256"/>
    <tableColumn id="16262" xr3:uid="{040FD890-890C-4DA5-9795-3D4992EA2F04}" name="Column16257"/>
    <tableColumn id="16263" xr3:uid="{944C5786-8E49-45C0-B4BB-C3C426664D66}" name="Column16258"/>
    <tableColumn id="16264" xr3:uid="{8F438B38-EA3C-4AC9-8AED-01AAD6080284}" name="Column16259"/>
    <tableColumn id="16265" xr3:uid="{795D3180-8A0F-4D0E-9119-9EB8E2DF4974}" name="Column16260"/>
    <tableColumn id="16266" xr3:uid="{A0DBBE78-73CF-4D1D-8979-D30EBCDEFB67}" name="Column16261"/>
    <tableColumn id="16267" xr3:uid="{6AFD755E-651E-4971-9E84-18EE02A54F9F}" name="Column16262"/>
    <tableColumn id="16268" xr3:uid="{2515327B-E98E-4690-8FD0-4CFB7214A7CC}" name="Column16263"/>
    <tableColumn id="16269" xr3:uid="{C4283748-AE85-4058-8AB1-981F12A53943}" name="Column16264"/>
    <tableColumn id="16270" xr3:uid="{657272AA-D7C0-4258-B167-A9DF1AAFA4DB}" name="Column16265"/>
    <tableColumn id="16271" xr3:uid="{44F3185D-C364-4176-96EF-9D58D64D31E4}" name="Column16266"/>
    <tableColumn id="16272" xr3:uid="{C2FEF5F9-1CEE-42DB-9FB0-3CF593F42296}" name="Column16267"/>
    <tableColumn id="16273" xr3:uid="{5F55F21F-82AB-4C54-B380-FF0956EE55FF}" name="Column16268"/>
    <tableColumn id="16274" xr3:uid="{2CA38CED-9F8D-4497-892D-D1C5541F50CE}" name="Column16269"/>
    <tableColumn id="16275" xr3:uid="{9D34B6B4-6A75-45EC-BEDA-D0CDB057EAFE}" name="Column16270"/>
    <tableColumn id="16276" xr3:uid="{BA02C5D9-EF88-490A-A420-6EE09C7B3464}" name="Column16271"/>
    <tableColumn id="16277" xr3:uid="{F51EAFC6-8771-4B69-BDF3-165A6EC09C08}" name="Column16272"/>
    <tableColumn id="16278" xr3:uid="{3C7E5D70-84AB-48BD-884C-FED1B62B4C0E}" name="Column16273"/>
    <tableColumn id="16279" xr3:uid="{AF515216-E344-4B87-B1BD-89CBEC199DCA}" name="Column16274"/>
    <tableColumn id="16280" xr3:uid="{6EFD07E5-EE66-46BC-ABF8-120B9DBB035D}" name="Column16275"/>
    <tableColumn id="16281" xr3:uid="{67ED07EA-FE59-4728-8E24-494FCDFDF32F}" name="Column16276"/>
    <tableColumn id="16282" xr3:uid="{692D87B8-A224-4354-A49B-AA68596646B2}" name="Column16277"/>
    <tableColumn id="16283" xr3:uid="{A36139AA-6D02-4D80-B673-E067B73AAA9D}" name="Column16278"/>
    <tableColumn id="16284" xr3:uid="{527974DA-1439-477B-AB7B-38F701FD7AB9}" name="Column16279"/>
    <tableColumn id="16285" xr3:uid="{2AB92ADF-5DC5-4184-8A92-C28A23871D32}" name="Column16280"/>
    <tableColumn id="16286" xr3:uid="{619F03B0-8E09-4803-B217-7FFA75B22EC1}" name="Column16281"/>
    <tableColumn id="16287" xr3:uid="{124F77CA-4878-4495-A5C0-367DC3FE8DA2}" name="Column16282"/>
    <tableColumn id="16288" xr3:uid="{A36631A2-9E54-4640-813F-47F92BDC78C6}" name="Column16283"/>
    <tableColumn id="16289" xr3:uid="{9FEAA511-FEBB-4E7D-BC8D-59DD811CEEBA}" name="Column16284"/>
    <tableColumn id="16290" xr3:uid="{2280D99A-9C65-41B0-BBFA-FCD0FE44A3AB}" name="Column16285"/>
    <tableColumn id="16291" xr3:uid="{D3BABF8B-051F-43D7-A99C-B260864C74E7}" name="Column16286"/>
    <tableColumn id="16292" xr3:uid="{73FB5292-9F3C-481F-A981-7D069AFCC8FC}" name="Column16287"/>
    <tableColumn id="16293" xr3:uid="{BA5C29C8-1BB6-47FB-AFF8-6304DD862EF5}" name="Column16288"/>
    <tableColumn id="16294" xr3:uid="{5995F748-75BA-444F-8789-97255A7AE6B0}" name="Column16289"/>
    <tableColumn id="16295" xr3:uid="{07FD1BFD-15A8-4452-8848-3B9991CACFE3}" name="Column16290"/>
    <tableColumn id="16296" xr3:uid="{E29ECE0F-9D00-47D7-BC70-414C329D1F8A}" name="Column16291"/>
    <tableColumn id="16297" xr3:uid="{E5C4BE09-A42E-4F96-B559-0BDA8ABFFEDB}" name="Column16292"/>
    <tableColumn id="16298" xr3:uid="{50C6F475-E0BD-47A6-91D1-547068EB210F}" name="Column16293"/>
    <tableColumn id="16299" xr3:uid="{025FD3B7-56B6-4AF9-9703-3DD5B17F6FC4}" name="Column16294"/>
    <tableColumn id="16300" xr3:uid="{11AD1C6D-EF5C-4172-8697-80AF32EE9369}" name="Column16295"/>
    <tableColumn id="16301" xr3:uid="{77608739-29E3-48A8-9499-709D95319E3C}" name="Column16296"/>
    <tableColumn id="16302" xr3:uid="{7E0F13E9-94B8-48A2-926E-2175EF117B1D}" name="Column16297"/>
    <tableColumn id="16303" xr3:uid="{53401CB8-BBD1-4F37-997A-1A06D161324F}" name="Column16298"/>
    <tableColumn id="16304" xr3:uid="{9DA72DB7-E360-4385-8A4B-F1751443E73C}" name="Column16299"/>
    <tableColumn id="16305" xr3:uid="{2190BA98-35D9-448E-9766-10C63C535467}" name="Column16300"/>
    <tableColumn id="16306" xr3:uid="{39A75EA4-C420-4A69-80E5-A90CE81C799A}" name="Column16301"/>
    <tableColumn id="16307" xr3:uid="{BD88F516-021D-48C3-90FE-2FF55B42F488}" name="Column16302"/>
    <tableColumn id="16308" xr3:uid="{384E7D9F-89F5-4863-93F0-1BFDDABAAFF9}" name="Column16303"/>
    <tableColumn id="16309" xr3:uid="{84C83E78-1ADF-43FE-A299-B73FCB0425DD}" name="Column16304"/>
    <tableColumn id="16310" xr3:uid="{9DE9F402-D8CF-40E2-BE5A-5272C2ADFE53}" name="Column16305"/>
    <tableColumn id="16311" xr3:uid="{01E0CFB0-5E1F-4C05-A9CB-0EE6C180B4B6}" name="Column16306"/>
    <tableColumn id="16312" xr3:uid="{E5D13906-E416-4F15-97FD-264B5C66290E}" name="Column16307"/>
    <tableColumn id="16313" xr3:uid="{15FBAA97-C87E-4C11-8786-6EE9E0CDEAD5}" name="Column16308"/>
    <tableColumn id="16314" xr3:uid="{3A653684-E848-469E-B6B0-8C2023F98876}" name="Column16309"/>
    <tableColumn id="16315" xr3:uid="{0C5AC0E5-5770-4AA5-8E76-FDD5E4C2EE44}" name="Column16310"/>
    <tableColumn id="16316" xr3:uid="{0D51D911-FE6F-4F9C-B3B9-51F2C54B0D11}" name="Column16311"/>
    <tableColumn id="16317" xr3:uid="{DB3309F1-0EB7-4FCD-9E92-8C8A56A0B6A3}" name="Column16312"/>
    <tableColumn id="16318" xr3:uid="{DDD0CC0E-B278-467D-853F-C158D1B64404}" name="Column16313"/>
    <tableColumn id="16319" xr3:uid="{3D685367-0A9B-4FFE-B2F0-119D4D205157}" name="Column16314"/>
    <tableColumn id="16320" xr3:uid="{0F4CAE9F-B162-4111-B1B6-26CBB43E5231}" name="Column16315"/>
    <tableColumn id="16321" xr3:uid="{09A0766A-B1D3-494E-8D97-E53AC20FDEA3}" name="Column16316"/>
    <tableColumn id="16322" xr3:uid="{A2CD1A5A-B4CA-4D20-B084-D8C7326A3160}" name="Column16317"/>
    <tableColumn id="16323" xr3:uid="{6A3DC356-A85B-449E-8954-480F9529BCD9}" name="Column16318"/>
    <tableColumn id="16324" xr3:uid="{C28FBCBA-F4D0-4A0A-9AEB-8750EB738000}" name="Column16319"/>
    <tableColumn id="16325" xr3:uid="{0008A94F-791F-49A7-9F5A-18915F8F4CCE}" name="Column16320"/>
    <tableColumn id="16326" xr3:uid="{77713CA5-2997-4052-9548-4615E36A1C2F}" name="Column16321"/>
    <tableColumn id="16327" xr3:uid="{A01DF262-20CF-4409-9B32-992054677AF7}" name="Column16322"/>
    <tableColumn id="16328" xr3:uid="{BA239F34-6DE0-4A4E-BBBD-D4567CD8D287}" name="Column16323"/>
    <tableColumn id="16329" xr3:uid="{0E99DBD6-38E2-47D7-A639-D94E7F7CF798}" name="Column16324"/>
    <tableColumn id="16330" xr3:uid="{CB45A16E-34E9-488F-8699-E906A441A6B9}" name="Column16325"/>
    <tableColumn id="16331" xr3:uid="{06507E8A-9CDA-408B-BDAA-7B609F6AD469}" name="Column16326"/>
    <tableColumn id="16332" xr3:uid="{AA32C1D9-0F43-4FEB-AB64-F2A6ACEFC2D6}" name="Column16327"/>
    <tableColumn id="16333" xr3:uid="{70EDDCDC-CF25-423B-BC01-9FADBF133EF6}" name="Column16328"/>
    <tableColumn id="16334" xr3:uid="{3995C56E-51A3-4E3C-AF54-CF3CDF02594B}" name="Column16329"/>
    <tableColumn id="16335" xr3:uid="{C4A37571-7E21-498D-B08C-8E07250DE7FF}" name="Column16330"/>
    <tableColumn id="16336" xr3:uid="{A05B1B8C-5195-476D-893F-D82033B1C126}" name="Column16331"/>
    <tableColumn id="16337" xr3:uid="{D1A92649-5338-4F8D-B70D-8F51143A2725}" name="Column16332"/>
    <tableColumn id="16338" xr3:uid="{499C2BDC-0A1E-477B-8B5F-A22A0F6FF74F}" name="Column16333"/>
    <tableColumn id="16339" xr3:uid="{52AE21B4-02EA-4628-A2AB-5492DC92B759}" name="Column16334"/>
    <tableColumn id="16340" xr3:uid="{0113366C-0ED3-4E2F-BC86-0499AE874450}" name="Column16335"/>
    <tableColumn id="16341" xr3:uid="{695EEA1F-DA24-4CE1-BE28-D3A02415DD17}" name="Column16336"/>
    <tableColumn id="16342" xr3:uid="{8C1A87E4-02BD-4AB7-9C19-E5C9ABF89ACE}" name="Column16337"/>
    <tableColumn id="16343" xr3:uid="{BFCB58E1-2239-417E-A841-BEAB9D8CBF0E}" name="Column16338"/>
    <tableColumn id="16344" xr3:uid="{F762A8AC-4A92-4FA7-9201-5F2193BF4132}" name="Column16339"/>
    <tableColumn id="16345" xr3:uid="{8183EC08-4505-4561-92B4-C9D454650087}" name="Column16340"/>
    <tableColumn id="16346" xr3:uid="{C29C1723-344F-4530-BA78-B93DCB7DE78E}" name="Column16341"/>
    <tableColumn id="16347" xr3:uid="{0F1B0CBD-6E87-4408-920B-EED3C8BC4851}" name="Column16342"/>
    <tableColumn id="16348" xr3:uid="{C6CDBDB9-ED69-49F9-A4A6-6AF720EC0675}" name="Column16343"/>
    <tableColumn id="16349" xr3:uid="{A112CDC8-46AD-41C4-8D31-357CD188D749}" name="Column16344"/>
    <tableColumn id="16350" xr3:uid="{C0AFE863-4C71-43B5-ACE9-B0FBA362B57D}" name="Column16345"/>
    <tableColumn id="16351" xr3:uid="{A9E68588-F5FB-4AD2-A3D8-6FB70D605130}" name="Column16346"/>
    <tableColumn id="16352" xr3:uid="{2D70CF3A-13B3-49DC-9211-1B36595D4FDD}" name="Column16347"/>
    <tableColumn id="16353" xr3:uid="{DC719866-BF98-4EF0-9082-9FE88B042683}" name="Column16348"/>
    <tableColumn id="16354" xr3:uid="{E36F06AB-D186-4B6E-93F3-DE154263068F}" name="Column16349"/>
    <tableColumn id="16355" xr3:uid="{C38DA630-8B09-4362-8997-AB945977B4DE}" name="Column16350"/>
    <tableColumn id="16356" xr3:uid="{1B742045-0DC3-45A0-BC37-E0BDB4AF1113}" name="Column16351"/>
    <tableColumn id="16357" xr3:uid="{71B6936C-A860-4B85-AFA9-324F1AA93D72}" name="Column16352"/>
    <tableColumn id="16358" xr3:uid="{4AEC2B1A-5E5B-4AC2-A7DF-43931FA27B95}" name="Column16353"/>
    <tableColumn id="16359" xr3:uid="{4B89714F-21C0-4027-AAA8-0357AA7EB9CE}" name="Column16354"/>
    <tableColumn id="16360" xr3:uid="{F1D3E7F3-3179-49D0-8247-65F0D53ABB06}" name="Column16355"/>
    <tableColumn id="16361" xr3:uid="{8C495B2B-F9B8-45A5-B08F-721AFC18D806}" name="Column16356"/>
    <tableColumn id="16362" xr3:uid="{09D782A1-7575-4B3C-9D59-02E6621115CA}" name="Column16357"/>
    <tableColumn id="16363" xr3:uid="{99D13880-7E4C-450A-A931-921E2DA20F97}" name="Column16358"/>
    <tableColumn id="16364" xr3:uid="{E3BE694B-76D3-4420-A5CD-43BC3BCF7A51}" name="Column16359"/>
    <tableColumn id="16365" xr3:uid="{FC0ACCF6-A458-42F0-8C9E-332BA081FB2F}" name="Column16360"/>
    <tableColumn id="16366" xr3:uid="{9CE77D46-B4AB-47F6-B670-DC41CA6ABF5D}" name="Column16361"/>
    <tableColumn id="16367" xr3:uid="{B360B9AF-07F0-4990-B58B-1897CB615368}" name="Column16362"/>
    <tableColumn id="16368" xr3:uid="{E859BCCC-5AD4-47D1-91B5-FBBD01BF4F81}" name="Column16363"/>
    <tableColumn id="16369" xr3:uid="{2423F7EF-A518-40D3-BED8-BA7A5959F082}" name="Column16364"/>
    <tableColumn id="16370" xr3:uid="{3BE8DE5B-3E49-4A26-872D-FDF4D78639DF}" name="Column16365"/>
    <tableColumn id="16371" xr3:uid="{B7351FEE-056E-4FCE-821D-E451ED2FF478}" name="Column16366"/>
    <tableColumn id="16372" xr3:uid="{B6BD256F-3CDF-44BF-BC17-D7B0E7DB850D}" name="Column16367"/>
    <tableColumn id="16373" xr3:uid="{DB399505-F670-4652-85D8-3F9A9BB43FE6}" name="Column16368"/>
    <tableColumn id="16374" xr3:uid="{AE0EB418-EA41-4DD4-8E3D-A180FA73DEB3}" name="Column16369"/>
    <tableColumn id="16375" xr3:uid="{4F58EEF2-CEB2-4DA6-88C3-099A5BC19722}" name="Column16370"/>
    <tableColumn id="16376" xr3:uid="{97481029-3D91-4BFA-9AE0-1897F7E9722B}" name="Column16371"/>
    <tableColumn id="16377" xr3:uid="{080B626C-64AE-4026-88EA-CC81C33C5238}" name="Column16372"/>
    <tableColumn id="16378" xr3:uid="{BD9EE9AE-385F-4D49-88DF-C52BA451347A}" name="Column16373"/>
    <tableColumn id="16379" xr3:uid="{80264E07-AB08-41EB-A294-D419A627E941}" name="Column16374"/>
    <tableColumn id="16380" xr3:uid="{437BC6AE-023E-46A9-A9DC-55A7D8566DF7}" name="Column16375"/>
    <tableColumn id="16381" xr3:uid="{F700ECE4-D1AB-49F6-BEFC-E5B9D87F3636}" name="Column16376"/>
    <tableColumn id="16382" xr3:uid="{33B8D66B-AE6E-4645-991C-FB62F1908039}" name="Column16377"/>
    <tableColumn id="16383" xr3:uid="{09A42874-F06D-4698-B1B1-C3A8716A51D7}" name="Column16378"/>
    <tableColumn id="16384" xr3:uid="{3E898529-D742-417A-8D4A-1B465B6EF424}" name="Column1637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FCD306-8A1D-46C3-992D-17EBCB6D608A}" name="OrdersTable" displayName="OrdersTable" ref="A1:D10" totalsRowShown="0">
  <autoFilter ref="A1:D10" xr:uid="{2DFCD306-8A1D-46C3-992D-17EBCB6D608A}"/>
  <tableColumns count="4">
    <tableColumn id="1" xr3:uid="{AF13A57D-30CC-4049-8CB3-2DABF065024F}" name="order_id">
      <calculatedColumnFormula>"O"&amp;TEXT(ROW()-1,"00000")</calculatedColumnFormula>
    </tableColumn>
    <tableColumn id="2" xr3:uid="{FC69B080-1752-4E81-A0D5-49FFA6574C16}" name="customer_id">
      <calculatedColumnFormula>"C"&amp;TEXT(RANDBETWEEN(1,10),"0000")</calculatedColumnFormula>
    </tableColumn>
    <tableColumn id="3" xr3:uid="{08083154-BC7C-48EC-807F-743AC4CD0C60}" name="order_date" dataDxfId="8" dataCellStyle="Currency">
      <calculatedColumnFormula>RANDBETWEEN(DATE(2025,1,1),DATE(2025,12,31))</calculatedColumnFormula>
    </tableColumn>
    <tableColumn id="4" xr3:uid="{D0A0579E-9373-42EF-86F7-8257992AA79F}"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8D4D6F-8B77-43C0-8DEC-FFA6029BD006}" name="OrderItemsTable" displayName="OrderItemsTable" ref="A1:J12" totalsRowShown="0" headerRowDxfId="5">
  <autoFilter ref="A1:J12" xr:uid="{0C8D4D6F-8B77-43C0-8DEC-FFA6029BD006}"/>
  <tableColumns count="10">
    <tableColumn id="1" xr3:uid="{3DF7B2F3-B736-4722-A020-5CC1936A87CB}" name="order_id">
      <calculatedColumnFormula>"O"&amp;TEXT(RANDBETWEEN(1,20),"00000")</calculatedColumnFormula>
    </tableColumn>
    <tableColumn id="2" xr3:uid="{F13F57AB-5EFE-4413-B0A3-21C604F087E9}" name="product_id">
      <calculatedColumnFormula>"P"&amp;TEXT(RANDBETWEEN(1,10),"0000")</calculatedColumnFormula>
    </tableColumn>
    <tableColumn id="7" xr3:uid="{B2057049-8AA0-4758-9E01-09C56298D25E}" name="product_name" dataDxfId="4">
      <calculatedColumnFormula>_xlfn.XLOOKUP(B2,Products!A:A,Products!B:B,"Not Found")</calculatedColumnFormula>
    </tableColumn>
    <tableColumn id="3" xr3:uid="{F49A8CA7-1D31-428C-A22F-4BF477720ED1}" name="quantity">
      <calculatedColumnFormula>RANDBETWEEN(1,5)</calculatedColumnFormula>
    </tableColumn>
    <tableColumn id="4" xr3:uid="{C14D401C-7F48-42FF-8F6D-4B91BF497F8A}" name="unit_price">
      <calculatedColumnFormula>_xlfn.XLOOKUP(B2,ProductsTable[product_id],ProductsTable[price])</calculatedColumnFormula>
    </tableColumn>
    <tableColumn id="5" xr3:uid="{C9CF1428-5864-4245-AFB4-E0DBA4A83EE3}" name="discount" dataDxfId="3" dataCellStyle="Percent">
      <calculatedColumnFormula>RANDBETWEEN(0,20)/100</calculatedColumnFormula>
    </tableColumn>
    <tableColumn id="6" xr3:uid="{F3130500-B462-418A-A3BE-B178A6628902}" name="revenue">
      <calculatedColumnFormula>D2*E2*(1-F2)</calculatedColumnFormula>
    </tableColumn>
    <tableColumn id="8" xr3:uid="{CC1B6255-2F5F-411A-8664-DC7DC490866A}" name="category" dataDxfId="2">
      <calculatedColumnFormula>_xlfn.XLOOKUP(B2,Products!A:A,Products!C:C,"Not Found")</calculatedColumnFormula>
    </tableColumn>
    <tableColumn id="9" xr3:uid="{CE610709-3726-4DD5-9BC9-C60D5E2A6BD3}" name="unit_cost" dataDxfId="1">
      <calculatedColumnFormula>_xlfn.XLOOKUP(B2,Products!A:A,Products!E:E,"Not Found")</calculatedColumnFormula>
    </tableColumn>
    <tableColumn id="10" xr3:uid="{1EC840A9-674B-4710-A7C6-6954BE9FF44F}" name="profit" dataDxfId="0">
      <calculatedColumnFormula>G2-(D2*I2)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5326-9F67-4EC6-980F-07CA53B10804}">
  <dimension ref="A1:H1001"/>
  <sheetViews>
    <sheetView topLeftCell="C1" zoomScale="91" workbookViewId="0">
      <selection sqref="A1:G11"/>
    </sheetView>
  </sheetViews>
  <sheetFormatPr defaultRowHeight="14.4"/>
  <cols>
    <col min="1" max="1" width="16.77734375" customWidth="1"/>
    <col min="2" max="2" width="23.6640625" customWidth="1"/>
    <col min="3" max="3" width="14.109375" customWidth="1"/>
    <col min="4" max="4" width="11.44140625" customWidth="1"/>
    <col min="5" max="5" width="15.5546875" customWidth="1"/>
    <col min="6" max="6" width="18.88671875" customWidth="1"/>
    <col min="7" max="7" width="15.5546875" customWidth="1"/>
  </cols>
  <sheetData>
    <row r="1" spans="1:8">
      <c r="A1" s="1" t="s">
        <v>0</v>
      </c>
      <c r="B1" s="1" t="s">
        <v>1</v>
      </c>
      <c r="C1" s="1" t="s">
        <v>2</v>
      </c>
      <c r="D1" s="1" t="s">
        <v>3</v>
      </c>
      <c r="E1" s="1" t="s">
        <v>4</v>
      </c>
      <c r="F1" s="1" t="s">
        <v>5</v>
      </c>
      <c r="G1" s="1" t="s">
        <v>10</v>
      </c>
      <c r="H1" s="1" t="s">
        <v>46</v>
      </c>
    </row>
    <row r="2" spans="1:8">
      <c r="A2" s="2" t="str">
        <f t="shared" ref="A2:A65" si="0">"C"&amp;TEXT(ROW()-1,"0000")</f>
        <v>C0001</v>
      </c>
      <c r="B2" t="s">
        <v>16</v>
      </c>
      <c r="C2">
        <f t="shared" ref="C2:C11" ca="1" si="1">RANDBETWEEN(18,65)</f>
        <v>26</v>
      </c>
      <c r="D2" t="s">
        <v>20</v>
      </c>
      <c r="E2" t="s">
        <v>22</v>
      </c>
      <c r="F2" t="s">
        <v>25</v>
      </c>
      <c r="G2" s="3">
        <v>45673</v>
      </c>
    </row>
    <row r="3" spans="1:8">
      <c r="A3" s="2" t="str">
        <f t="shared" si="0"/>
        <v>C0002</v>
      </c>
      <c r="B3" t="s">
        <v>18</v>
      </c>
      <c r="C3">
        <f t="shared" ca="1" si="1"/>
        <v>23</v>
      </c>
      <c r="D3" t="s">
        <v>19</v>
      </c>
      <c r="E3" t="s">
        <v>23</v>
      </c>
      <c r="F3" t="s">
        <v>26</v>
      </c>
      <c r="G3" s="3">
        <v>45675</v>
      </c>
    </row>
    <row r="4" spans="1:8">
      <c r="A4" s="2" t="str">
        <f t="shared" si="0"/>
        <v>C0003</v>
      </c>
      <c r="B4" t="s">
        <v>15</v>
      </c>
      <c r="C4">
        <f t="shared" ca="1" si="1"/>
        <v>18</v>
      </c>
      <c r="D4" t="s">
        <v>19</v>
      </c>
      <c r="E4" t="s">
        <v>23</v>
      </c>
      <c r="F4" t="s">
        <v>26</v>
      </c>
      <c r="G4" s="3">
        <v>45672</v>
      </c>
    </row>
    <row r="5" spans="1:8">
      <c r="A5" s="2" t="str">
        <f t="shared" si="0"/>
        <v>C0004</v>
      </c>
      <c r="B5" t="s">
        <v>13</v>
      </c>
      <c r="C5">
        <f t="shared" ca="1" si="1"/>
        <v>46</v>
      </c>
      <c r="D5" t="s">
        <v>19</v>
      </c>
      <c r="E5" t="s">
        <v>22</v>
      </c>
      <c r="F5" t="s">
        <v>9</v>
      </c>
      <c r="G5" s="3">
        <v>45670</v>
      </c>
    </row>
    <row r="6" spans="1:8">
      <c r="A6" s="2" t="str">
        <f t="shared" si="0"/>
        <v>C0005</v>
      </c>
      <c r="B6" t="s">
        <v>11</v>
      </c>
      <c r="C6">
        <f t="shared" ca="1" si="1"/>
        <v>21</v>
      </c>
      <c r="D6" t="s">
        <v>19</v>
      </c>
      <c r="E6" t="s">
        <v>21</v>
      </c>
      <c r="F6" t="s">
        <v>24</v>
      </c>
      <c r="G6" s="3">
        <v>45668</v>
      </c>
    </row>
    <row r="7" spans="1:8">
      <c r="A7" s="2" t="str">
        <f t="shared" si="0"/>
        <v>C0006</v>
      </c>
      <c r="B7" t="s">
        <v>6</v>
      </c>
      <c r="C7">
        <f t="shared" ca="1" si="1"/>
        <v>44</v>
      </c>
      <c r="D7" t="s">
        <v>7</v>
      </c>
      <c r="E7" t="s">
        <v>8</v>
      </c>
      <c r="F7" t="s">
        <v>9</v>
      </c>
      <c r="G7" s="3">
        <v>45667</v>
      </c>
    </row>
    <row r="8" spans="1:8">
      <c r="A8" s="2" t="str">
        <f t="shared" si="0"/>
        <v>C0007</v>
      </c>
      <c r="B8" t="s">
        <v>12</v>
      </c>
      <c r="C8">
        <f t="shared" ca="1" si="1"/>
        <v>19</v>
      </c>
      <c r="D8" t="s">
        <v>20</v>
      </c>
      <c r="E8" t="s">
        <v>21</v>
      </c>
      <c r="F8" t="s">
        <v>25</v>
      </c>
      <c r="G8" s="3">
        <v>45669</v>
      </c>
    </row>
    <row r="9" spans="1:8">
      <c r="A9" s="2" t="str">
        <f t="shared" si="0"/>
        <v>C0008</v>
      </c>
      <c r="B9" t="s">
        <v>17</v>
      </c>
      <c r="C9">
        <f t="shared" ca="1" si="1"/>
        <v>56</v>
      </c>
      <c r="D9" t="s">
        <v>19</v>
      </c>
      <c r="E9" t="s">
        <v>23</v>
      </c>
      <c r="F9" t="s">
        <v>9</v>
      </c>
      <c r="G9" s="3">
        <v>45674</v>
      </c>
    </row>
    <row r="10" spans="1:8">
      <c r="A10" s="2" t="str">
        <f t="shared" si="0"/>
        <v>C0009</v>
      </c>
      <c r="B10" t="s">
        <v>14</v>
      </c>
      <c r="C10">
        <f t="shared" ca="1" si="1"/>
        <v>50</v>
      </c>
      <c r="D10" t="s">
        <v>7</v>
      </c>
      <c r="E10" t="s">
        <v>8</v>
      </c>
      <c r="F10" t="s">
        <v>9</v>
      </c>
      <c r="G10" s="3">
        <v>45671</v>
      </c>
    </row>
    <row r="11" spans="1:8">
      <c r="A11" s="2" t="str">
        <f t="shared" si="0"/>
        <v>C0010</v>
      </c>
      <c r="B11" t="s">
        <v>14</v>
      </c>
      <c r="C11">
        <f t="shared" ca="1" si="1"/>
        <v>29</v>
      </c>
      <c r="D11" t="s">
        <v>7</v>
      </c>
      <c r="E11" t="s">
        <v>8</v>
      </c>
      <c r="F11" t="s">
        <v>9</v>
      </c>
      <c r="G11" s="3">
        <v>45671</v>
      </c>
    </row>
    <row r="12" spans="1:8">
      <c r="A12" s="2" t="str">
        <f t="shared" si="0"/>
        <v>C0011</v>
      </c>
      <c r="E12">
        <f>COUNTIF(E2:E11,"Kolkata")</f>
        <v>3</v>
      </c>
      <c r="H12" t="str">
        <f t="shared" ref="H12:H65" si="2">IF(C12&lt;30,"Young Adult","Older")</f>
        <v>Young Adult</v>
      </c>
    </row>
    <row r="13" spans="1:8">
      <c r="A13" s="2" t="str">
        <f t="shared" si="0"/>
        <v>C0012</v>
      </c>
      <c r="B13">
        <f>COUNTA(B2:B11)</f>
        <v>10</v>
      </c>
      <c r="C13">
        <f ca="1">COUNT(C2:C11)</f>
        <v>10</v>
      </c>
      <c r="G13">
        <f>YEAR(G2)</f>
        <v>2025</v>
      </c>
      <c r="H13" t="str">
        <f t="shared" ca="1" si="2"/>
        <v>Young Adult</v>
      </c>
    </row>
    <row r="14" spans="1:8">
      <c r="A14" s="2" t="str">
        <f t="shared" si="0"/>
        <v>C0013</v>
      </c>
      <c r="E14" t="s">
        <v>16436</v>
      </c>
      <c r="H14" t="str">
        <f t="shared" si="2"/>
        <v>Young Adult</v>
      </c>
    </row>
    <row r="15" spans="1:8">
      <c r="A15" s="2" t="str">
        <f t="shared" si="0"/>
        <v>C0014</v>
      </c>
      <c r="B15">
        <f>LEN(B2)</f>
        <v>12</v>
      </c>
      <c r="E15" t="s">
        <v>16437</v>
      </c>
      <c r="G15">
        <f>MONTH(G2)</f>
        <v>1</v>
      </c>
      <c r="H15" t="str">
        <f t="shared" si="2"/>
        <v>Young Adult</v>
      </c>
    </row>
    <row r="16" spans="1:8">
      <c r="A16" s="2" t="str">
        <f t="shared" si="0"/>
        <v>C0015</v>
      </c>
      <c r="B16" t="str">
        <f>LEFT(A2,1)</f>
        <v>C</v>
      </c>
      <c r="E16" t="str">
        <f>TRIM("  Kolkata  ")</f>
        <v>Kolkata</v>
      </c>
      <c r="G16">
        <f>DAY(G2)</f>
        <v>16</v>
      </c>
      <c r="H16" t="str">
        <f t="shared" si="2"/>
        <v>Young Adult</v>
      </c>
    </row>
    <row r="17" spans="1:8">
      <c r="A17" s="2" t="str">
        <f t="shared" si="0"/>
        <v>C0016</v>
      </c>
      <c r="E17" t="str">
        <f>TRIM(E2)</f>
        <v>Bangalore</v>
      </c>
      <c r="G17" s="3">
        <f ca="1">TODAY()</f>
        <v>46306</v>
      </c>
      <c r="H17" t="str">
        <f t="shared" si="2"/>
        <v>Young Adult</v>
      </c>
    </row>
    <row r="18" spans="1:8">
      <c r="A18" s="2" t="str">
        <f t="shared" si="0"/>
        <v>C0017</v>
      </c>
      <c r="B18" t="str">
        <f>RIGHT(A2,4)</f>
        <v>0001</v>
      </c>
      <c r="G18">
        <f>EOMONTH(G2,0)</f>
        <v>45688</v>
      </c>
      <c r="H18" t="str">
        <f t="shared" si="2"/>
        <v>Young Adult</v>
      </c>
    </row>
    <row r="19" spans="1:8">
      <c r="A19" s="2" t="str">
        <f t="shared" si="0"/>
        <v>C0018</v>
      </c>
      <c r="B19" t="str">
        <f>MID(A2,2,4)</f>
        <v>0001</v>
      </c>
      <c r="E19" t="str">
        <f>SUBSTITUTE(E2,"Bangalore","Calcutta")</f>
        <v>Calcutta</v>
      </c>
      <c r="G19" s="3">
        <f>EOMONTH(G2,1)</f>
        <v>45716</v>
      </c>
      <c r="H19" t="str">
        <f t="shared" si="2"/>
        <v>Young Adult</v>
      </c>
    </row>
    <row r="20" spans="1:8">
      <c r="A20" s="2" t="str">
        <f t="shared" si="0"/>
        <v>C0019</v>
      </c>
      <c r="E20" t="str">
        <f>_xlfn.CONCAT(B2," - ",E2)</f>
        <v>Sonali Singh - Bangalore</v>
      </c>
      <c r="H20" t="str">
        <f t="shared" si="2"/>
        <v>Young Adult</v>
      </c>
    </row>
    <row r="21" spans="1:8">
      <c r="A21" s="2" t="str">
        <f t="shared" si="0"/>
        <v>C0020</v>
      </c>
      <c r="H21" t="str">
        <f t="shared" si="2"/>
        <v>Young Adult</v>
      </c>
    </row>
    <row r="22" spans="1:8">
      <c r="A22" s="2" t="str">
        <f t="shared" si="0"/>
        <v>C0021</v>
      </c>
      <c r="H22" t="str">
        <f t="shared" si="2"/>
        <v>Young Adult</v>
      </c>
    </row>
    <row r="23" spans="1:8">
      <c r="A23" s="2" t="str">
        <f t="shared" si="0"/>
        <v>C0022</v>
      </c>
      <c r="H23" t="str">
        <f t="shared" si="2"/>
        <v>Young Adult</v>
      </c>
    </row>
    <row r="24" spans="1:8">
      <c r="A24" s="2" t="str">
        <f t="shared" si="0"/>
        <v>C0023</v>
      </c>
      <c r="H24" t="str">
        <f t="shared" si="2"/>
        <v>Young Adult</v>
      </c>
    </row>
    <row r="25" spans="1:8">
      <c r="A25" s="2" t="str">
        <f t="shared" si="0"/>
        <v>C0024</v>
      </c>
      <c r="H25" t="str">
        <f t="shared" si="2"/>
        <v>Young Adult</v>
      </c>
    </row>
    <row r="26" spans="1:8">
      <c r="A26" t="str">
        <f t="shared" si="0"/>
        <v>C0025</v>
      </c>
      <c r="H26" t="str">
        <f t="shared" si="2"/>
        <v>Young Adult</v>
      </c>
    </row>
    <row r="27" spans="1:8">
      <c r="A27" t="str">
        <f t="shared" si="0"/>
        <v>C0026</v>
      </c>
      <c r="H27" t="str">
        <f t="shared" si="2"/>
        <v>Young Adult</v>
      </c>
    </row>
    <row r="28" spans="1:8">
      <c r="A28" t="str">
        <f t="shared" si="0"/>
        <v>C0027</v>
      </c>
      <c r="H28" t="str">
        <f t="shared" si="2"/>
        <v>Young Adult</v>
      </c>
    </row>
    <row r="29" spans="1:8">
      <c r="A29" t="str">
        <f t="shared" si="0"/>
        <v>C0028</v>
      </c>
      <c r="H29" t="str">
        <f t="shared" si="2"/>
        <v>Young Adult</v>
      </c>
    </row>
    <row r="30" spans="1:8">
      <c r="A30" t="str">
        <f t="shared" si="0"/>
        <v>C0029</v>
      </c>
      <c r="H30" t="str">
        <f t="shared" si="2"/>
        <v>Young Adult</v>
      </c>
    </row>
    <row r="31" spans="1:8">
      <c r="A31" t="str">
        <f t="shared" si="0"/>
        <v>C0030</v>
      </c>
      <c r="H31" t="str">
        <f t="shared" si="2"/>
        <v>Young Adult</v>
      </c>
    </row>
    <row r="32" spans="1:8">
      <c r="A32" t="str">
        <f t="shared" si="0"/>
        <v>C0031</v>
      </c>
      <c r="H32" t="str">
        <f t="shared" si="2"/>
        <v>Young Adult</v>
      </c>
    </row>
    <row r="33" spans="1:8">
      <c r="A33" t="str">
        <f t="shared" si="0"/>
        <v>C0032</v>
      </c>
      <c r="H33" t="str">
        <f t="shared" si="2"/>
        <v>Young Adult</v>
      </c>
    </row>
    <row r="34" spans="1:8">
      <c r="A34" t="str">
        <f t="shared" si="0"/>
        <v>C0033</v>
      </c>
      <c r="H34" t="str">
        <f t="shared" si="2"/>
        <v>Young Adult</v>
      </c>
    </row>
    <row r="35" spans="1:8">
      <c r="A35" t="str">
        <f t="shared" si="0"/>
        <v>C0034</v>
      </c>
      <c r="H35" t="str">
        <f t="shared" si="2"/>
        <v>Young Adult</v>
      </c>
    </row>
    <row r="36" spans="1:8">
      <c r="A36" t="str">
        <f t="shared" si="0"/>
        <v>C0035</v>
      </c>
      <c r="H36" t="str">
        <f t="shared" si="2"/>
        <v>Young Adult</v>
      </c>
    </row>
    <row r="37" spans="1:8">
      <c r="A37" t="str">
        <f t="shared" si="0"/>
        <v>C0036</v>
      </c>
      <c r="H37" t="str">
        <f t="shared" si="2"/>
        <v>Young Adult</v>
      </c>
    </row>
    <row r="38" spans="1:8">
      <c r="A38" t="str">
        <f t="shared" si="0"/>
        <v>C0037</v>
      </c>
      <c r="H38" t="str">
        <f t="shared" si="2"/>
        <v>Young Adult</v>
      </c>
    </row>
    <row r="39" spans="1:8">
      <c r="A39" t="str">
        <f t="shared" si="0"/>
        <v>C0038</v>
      </c>
      <c r="H39" t="str">
        <f t="shared" si="2"/>
        <v>Young Adult</v>
      </c>
    </row>
    <row r="40" spans="1:8">
      <c r="A40" t="str">
        <f t="shared" si="0"/>
        <v>C0039</v>
      </c>
      <c r="H40" t="str">
        <f t="shared" si="2"/>
        <v>Young Adult</v>
      </c>
    </row>
    <row r="41" spans="1:8">
      <c r="A41" t="str">
        <f t="shared" si="0"/>
        <v>C0040</v>
      </c>
      <c r="H41" t="str">
        <f t="shared" si="2"/>
        <v>Young Adult</v>
      </c>
    </row>
    <row r="42" spans="1:8">
      <c r="A42" t="str">
        <f t="shared" si="0"/>
        <v>C0041</v>
      </c>
      <c r="H42" t="str">
        <f t="shared" si="2"/>
        <v>Young Adult</v>
      </c>
    </row>
    <row r="43" spans="1:8">
      <c r="A43" t="str">
        <f t="shared" si="0"/>
        <v>C0042</v>
      </c>
      <c r="H43" t="str">
        <f t="shared" si="2"/>
        <v>Young Adult</v>
      </c>
    </row>
    <row r="44" spans="1:8">
      <c r="A44" t="str">
        <f t="shared" si="0"/>
        <v>C0043</v>
      </c>
      <c r="H44" t="str">
        <f t="shared" si="2"/>
        <v>Young Adult</v>
      </c>
    </row>
    <row r="45" spans="1:8">
      <c r="A45" t="str">
        <f t="shared" si="0"/>
        <v>C0044</v>
      </c>
      <c r="H45" t="str">
        <f t="shared" si="2"/>
        <v>Young Adult</v>
      </c>
    </row>
    <row r="46" spans="1:8">
      <c r="A46" t="str">
        <f t="shared" si="0"/>
        <v>C0045</v>
      </c>
      <c r="H46" t="str">
        <f t="shared" si="2"/>
        <v>Young Adult</v>
      </c>
    </row>
    <row r="47" spans="1:8">
      <c r="A47" t="str">
        <f t="shared" si="0"/>
        <v>C0046</v>
      </c>
      <c r="H47" t="str">
        <f t="shared" si="2"/>
        <v>Young Adult</v>
      </c>
    </row>
    <row r="48" spans="1:8">
      <c r="A48" t="str">
        <f t="shared" si="0"/>
        <v>C0047</v>
      </c>
      <c r="H48" t="str">
        <f t="shared" si="2"/>
        <v>Young Adult</v>
      </c>
    </row>
    <row r="49" spans="1:8">
      <c r="A49" t="str">
        <f t="shared" si="0"/>
        <v>C0048</v>
      </c>
      <c r="H49" t="str">
        <f t="shared" si="2"/>
        <v>Young Adult</v>
      </c>
    </row>
    <row r="50" spans="1:8">
      <c r="A50" t="str">
        <f t="shared" si="0"/>
        <v>C0049</v>
      </c>
      <c r="H50" t="str">
        <f t="shared" si="2"/>
        <v>Young Adult</v>
      </c>
    </row>
    <row r="51" spans="1:8">
      <c r="A51" t="str">
        <f t="shared" si="0"/>
        <v>C0050</v>
      </c>
      <c r="H51" t="str">
        <f t="shared" si="2"/>
        <v>Young Adult</v>
      </c>
    </row>
    <row r="52" spans="1:8">
      <c r="A52" t="str">
        <f t="shared" si="0"/>
        <v>C0051</v>
      </c>
      <c r="H52" t="str">
        <f t="shared" si="2"/>
        <v>Young Adult</v>
      </c>
    </row>
    <row r="53" spans="1:8">
      <c r="A53" t="str">
        <f t="shared" si="0"/>
        <v>C0052</v>
      </c>
      <c r="H53" t="str">
        <f t="shared" si="2"/>
        <v>Young Adult</v>
      </c>
    </row>
    <row r="54" spans="1:8">
      <c r="A54" t="str">
        <f t="shared" si="0"/>
        <v>C0053</v>
      </c>
      <c r="H54" t="str">
        <f t="shared" si="2"/>
        <v>Young Adult</v>
      </c>
    </row>
    <row r="55" spans="1:8">
      <c r="A55" t="str">
        <f t="shared" si="0"/>
        <v>C0054</v>
      </c>
      <c r="H55" t="str">
        <f t="shared" si="2"/>
        <v>Young Adult</v>
      </c>
    </row>
    <row r="56" spans="1:8">
      <c r="A56" t="str">
        <f t="shared" si="0"/>
        <v>C0055</v>
      </c>
      <c r="H56" t="str">
        <f t="shared" si="2"/>
        <v>Young Adult</v>
      </c>
    </row>
    <row r="57" spans="1:8">
      <c r="A57" t="str">
        <f t="shared" si="0"/>
        <v>C0056</v>
      </c>
      <c r="H57" t="str">
        <f t="shared" si="2"/>
        <v>Young Adult</v>
      </c>
    </row>
    <row r="58" spans="1:8">
      <c r="A58" t="str">
        <f t="shared" si="0"/>
        <v>C0057</v>
      </c>
      <c r="H58" t="str">
        <f t="shared" si="2"/>
        <v>Young Adult</v>
      </c>
    </row>
    <row r="59" spans="1:8">
      <c r="A59" t="str">
        <f t="shared" si="0"/>
        <v>C0058</v>
      </c>
      <c r="H59" t="str">
        <f t="shared" si="2"/>
        <v>Young Adult</v>
      </c>
    </row>
    <row r="60" spans="1:8">
      <c r="A60" t="str">
        <f t="shared" si="0"/>
        <v>C0059</v>
      </c>
      <c r="H60" t="str">
        <f t="shared" si="2"/>
        <v>Young Adult</v>
      </c>
    </row>
    <row r="61" spans="1:8">
      <c r="A61" t="str">
        <f t="shared" si="0"/>
        <v>C0060</v>
      </c>
      <c r="H61" t="str">
        <f t="shared" si="2"/>
        <v>Young Adult</v>
      </c>
    </row>
    <row r="62" spans="1:8">
      <c r="A62" t="str">
        <f t="shared" si="0"/>
        <v>C0061</v>
      </c>
      <c r="H62" t="str">
        <f t="shared" si="2"/>
        <v>Young Adult</v>
      </c>
    </row>
    <row r="63" spans="1:8">
      <c r="A63" t="str">
        <f t="shared" si="0"/>
        <v>C0062</v>
      </c>
      <c r="H63" t="str">
        <f t="shared" si="2"/>
        <v>Young Adult</v>
      </c>
    </row>
    <row r="64" spans="1:8">
      <c r="A64" t="str">
        <f t="shared" si="0"/>
        <v>C0063</v>
      </c>
      <c r="H64" t="str">
        <f t="shared" si="2"/>
        <v>Young Adult</v>
      </c>
    </row>
    <row r="65" spans="1:8">
      <c r="A65" t="str">
        <f t="shared" si="0"/>
        <v>C0064</v>
      </c>
      <c r="H65" t="str">
        <f t="shared" si="2"/>
        <v>Young Adult</v>
      </c>
    </row>
    <row r="66" spans="1:8">
      <c r="A66" t="str">
        <f t="shared" ref="A66:A129" si="3">"C"&amp;TEXT(ROW()-1,"0000")</f>
        <v>C0065</v>
      </c>
      <c r="H66" t="str">
        <f t="shared" ref="H66:H129" si="4">IF(C66&lt;30,"Young Adult","Older")</f>
        <v>Young Adult</v>
      </c>
    </row>
    <row r="67" spans="1:8">
      <c r="A67" t="str">
        <f t="shared" si="3"/>
        <v>C0066</v>
      </c>
      <c r="H67" t="str">
        <f t="shared" si="4"/>
        <v>Young Adult</v>
      </c>
    </row>
    <row r="68" spans="1:8">
      <c r="A68" t="str">
        <f t="shared" si="3"/>
        <v>C0067</v>
      </c>
      <c r="H68" t="str">
        <f t="shared" si="4"/>
        <v>Young Adult</v>
      </c>
    </row>
    <row r="69" spans="1:8">
      <c r="A69" t="str">
        <f t="shared" si="3"/>
        <v>C0068</v>
      </c>
      <c r="H69" t="str">
        <f t="shared" si="4"/>
        <v>Young Adult</v>
      </c>
    </row>
    <row r="70" spans="1:8">
      <c r="A70" t="str">
        <f t="shared" si="3"/>
        <v>C0069</v>
      </c>
      <c r="H70" t="str">
        <f t="shared" si="4"/>
        <v>Young Adult</v>
      </c>
    </row>
    <row r="71" spans="1:8">
      <c r="A71" t="str">
        <f t="shared" si="3"/>
        <v>C0070</v>
      </c>
      <c r="H71" t="str">
        <f t="shared" si="4"/>
        <v>Young Adult</v>
      </c>
    </row>
    <row r="72" spans="1:8">
      <c r="A72" t="str">
        <f t="shared" si="3"/>
        <v>C0071</v>
      </c>
      <c r="H72" t="str">
        <f t="shared" si="4"/>
        <v>Young Adult</v>
      </c>
    </row>
    <row r="73" spans="1:8">
      <c r="A73" t="str">
        <f t="shared" si="3"/>
        <v>C0072</v>
      </c>
      <c r="H73" t="str">
        <f t="shared" si="4"/>
        <v>Young Adult</v>
      </c>
    </row>
    <row r="74" spans="1:8">
      <c r="A74" t="str">
        <f t="shared" si="3"/>
        <v>C0073</v>
      </c>
      <c r="H74" t="str">
        <f t="shared" si="4"/>
        <v>Young Adult</v>
      </c>
    </row>
    <row r="75" spans="1:8">
      <c r="A75" t="str">
        <f t="shared" si="3"/>
        <v>C0074</v>
      </c>
      <c r="H75" t="str">
        <f t="shared" si="4"/>
        <v>Young Adult</v>
      </c>
    </row>
    <row r="76" spans="1:8">
      <c r="A76" t="str">
        <f t="shared" si="3"/>
        <v>C0075</v>
      </c>
      <c r="H76" t="str">
        <f t="shared" si="4"/>
        <v>Young Adult</v>
      </c>
    </row>
    <row r="77" spans="1:8">
      <c r="A77" t="str">
        <f t="shared" si="3"/>
        <v>C0076</v>
      </c>
      <c r="H77" t="str">
        <f t="shared" si="4"/>
        <v>Young Adult</v>
      </c>
    </row>
    <row r="78" spans="1:8">
      <c r="A78" t="str">
        <f t="shared" si="3"/>
        <v>C0077</v>
      </c>
      <c r="H78" t="str">
        <f t="shared" si="4"/>
        <v>Young Adult</v>
      </c>
    </row>
    <row r="79" spans="1:8">
      <c r="A79" t="str">
        <f t="shared" si="3"/>
        <v>C0078</v>
      </c>
      <c r="H79" t="str">
        <f t="shared" si="4"/>
        <v>Young Adult</v>
      </c>
    </row>
    <row r="80" spans="1:8">
      <c r="A80" t="str">
        <f t="shared" si="3"/>
        <v>C0079</v>
      </c>
      <c r="H80" t="str">
        <f t="shared" si="4"/>
        <v>Young Adult</v>
      </c>
    </row>
    <row r="81" spans="1:8">
      <c r="A81" t="str">
        <f t="shared" si="3"/>
        <v>C0080</v>
      </c>
      <c r="H81" t="str">
        <f t="shared" si="4"/>
        <v>Young Adult</v>
      </c>
    </row>
    <row r="82" spans="1:8">
      <c r="A82" t="str">
        <f t="shared" si="3"/>
        <v>C0081</v>
      </c>
      <c r="H82" t="str">
        <f t="shared" si="4"/>
        <v>Young Adult</v>
      </c>
    </row>
    <row r="83" spans="1:8">
      <c r="A83" t="str">
        <f t="shared" si="3"/>
        <v>C0082</v>
      </c>
      <c r="H83" t="str">
        <f t="shared" si="4"/>
        <v>Young Adult</v>
      </c>
    </row>
    <row r="84" spans="1:8">
      <c r="A84" t="str">
        <f t="shared" si="3"/>
        <v>C0083</v>
      </c>
      <c r="H84" t="str">
        <f t="shared" si="4"/>
        <v>Young Adult</v>
      </c>
    </row>
    <row r="85" spans="1:8">
      <c r="A85" t="str">
        <f t="shared" si="3"/>
        <v>C0084</v>
      </c>
      <c r="H85" t="str">
        <f t="shared" si="4"/>
        <v>Young Adult</v>
      </c>
    </row>
    <row r="86" spans="1:8">
      <c r="A86" t="str">
        <f t="shared" si="3"/>
        <v>C0085</v>
      </c>
      <c r="H86" t="str">
        <f t="shared" si="4"/>
        <v>Young Adult</v>
      </c>
    </row>
    <row r="87" spans="1:8">
      <c r="A87" t="str">
        <f t="shared" si="3"/>
        <v>C0086</v>
      </c>
      <c r="H87" t="str">
        <f t="shared" si="4"/>
        <v>Young Adult</v>
      </c>
    </row>
    <row r="88" spans="1:8">
      <c r="A88" t="str">
        <f t="shared" si="3"/>
        <v>C0087</v>
      </c>
      <c r="H88" t="str">
        <f t="shared" si="4"/>
        <v>Young Adult</v>
      </c>
    </row>
    <row r="89" spans="1:8">
      <c r="A89" t="str">
        <f t="shared" si="3"/>
        <v>C0088</v>
      </c>
      <c r="H89" t="str">
        <f t="shared" si="4"/>
        <v>Young Adult</v>
      </c>
    </row>
    <row r="90" spans="1:8">
      <c r="A90" t="str">
        <f t="shared" si="3"/>
        <v>C0089</v>
      </c>
      <c r="H90" t="str">
        <f t="shared" si="4"/>
        <v>Young Adult</v>
      </c>
    </row>
    <row r="91" spans="1:8">
      <c r="A91" t="str">
        <f t="shared" si="3"/>
        <v>C0090</v>
      </c>
      <c r="H91" t="str">
        <f t="shared" si="4"/>
        <v>Young Adult</v>
      </c>
    </row>
    <row r="92" spans="1:8">
      <c r="A92" t="str">
        <f t="shared" si="3"/>
        <v>C0091</v>
      </c>
      <c r="H92" t="str">
        <f t="shared" si="4"/>
        <v>Young Adult</v>
      </c>
    </row>
    <row r="93" spans="1:8">
      <c r="A93" t="str">
        <f t="shared" si="3"/>
        <v>C0092</v>
      </c>
      <c r="H93" t="str">
        <f t="shared" si="4"/>
        <v>Young Adult</v>
      </c>
    </row>
    <row r="94" spans="1:8">
      <c r="A94" t="str">
        <f t="shared" si="3"/>
        <v>C0093</v>
      </c>
      <c r="H94" t="str">
        <f t="shared" si="4"/>
        <v>Young Adult</v>
      </c>
    </row>
    <row r="95" spans="1:8">
      <c r="A95" t="str">
        <f t="shared" si="3"/>
        <v>C0094</v>
      </c>
      <c r="H95" t="str">
        <f t="shared" si="4"/>
        <v>Young Adult</v>
      </c>
    </row>
    <row r="96" spans="1:8">
      <c r="A96" t="str">
        <f t="shared" si="3"/>
        <v>C0095</v>
      </c>
      <c r="H96" t="str">
        <f t="shared" si="4"/>
        <v>Young Adult</v>
      </c>
    </row>
    <row r="97" spans="1:8">
      <c r="A97" t="str">
        <f t="shared" si="3"/>
        <v>C0096</v>
      </c>
      <c r="H97" t="str">
        <f t="shared" si="4"/>
        <v>Young Adult</v>
      </c>
    </row>
    <row r="98" spans="1:8">
      <c r="A98" t="str">
        <f t="shared" si="3"/>
        <v>C0097</v>
      </c>
      <c r="H98" t="str">
        <f t="shared" si="4"/>
        <v>Young Adult</v>
      </c>
    </row>
    <row r="99" spans="1:8">
      <c r="A99" t="str">
        <f t="shared" si="3"/>
        <v>C0098</v>
      </c>
      <c r="H99" t="str">
        <f t="shared" si="4"/>
        <v>Young Adult</v>
      </c>
    </row>
    <row r="100" spans="1:8">
      <c r="A100" t="str">
        <f t="shared" si="3"/>
        <v>C0099</v>
      </c>
      <c r="H100" t="str">
        <f t="shared" si="4"/>
        <v>Young Adult</v>
      </c>
    </row>
    <row r="101" spans="1:8">
      <c r="A101" t="str">
        <f t="shared" si="3"/>
        <v>C0100</v>
      </c>
      <c r="H101" t="str">
        <f t="shared" si="4"/>
        <v>Young Adult</v>
      </c>
    </row>
    <row r="102" spans="1:8">
      <c r="A102" t="str">
        <f t="shared" si="3"/>
        <v>C0101</v>
      </c>
      <c r="H102" t="str">
        <f t="shared" si="4"/>
        <v>Young Adult</v>
      </c>
    </row>
    <row r="103" spans="1:8">
      <c r="A103" t="str">
        <f t="shared" si="3"/>
        <v>C0102</v>
      </c>
      <c r="H103" t="str">
        <f t="shared" si="4"/>
        <v>Young Adult</v>
      </c>
    </row>
    <row r="104" spans="1:8">
      <c r="A104" t="str">
        <f t="shared" si="3"/>
        <v>C0103</v>
      </c>
      <c r="H104" t="str">
        <f t="shared" si="4"/>
        <v>Young Adult</v>
      </c>
    </row>
    <row r="105" spans="1:8">
      <c r="A105" t="str">
        <f t="shared" si="3"/>
        <v>C0104</v>
      </c>
      <c r="H105" t="str">
        <f t="shared" si="4"/>
        <v>Young Adult</v>
      </c>
    </row>
    <row r="106" spans="1:8">
      <c r="A106" t="str">
        <f t="shared" si="3"/>
        <v>C0105</v>
      </c>
      <c r="H106" t="str">
        <f t="shared" si="4"/>
        <v>Young Adult</v>
      </c>
    </row>
    <row r="107" spans="1:8">
      <c r="A107" t="str">
        <f t="shared" si="3"/>
        <v>C0106</v>
      </c>
      <c r="H107" t="str">
        <f t="shared" si="4"/>
        <v>Young Adult</v>
      </c>
    </row>
    <row r="108" spans="1:8">
      <c r="A108" t="str">
        <f t="shared" si="3"/>
        <v>C0107</v>
      </c>
      <c r="H108" t="str">
        <f t="shared" si="4"/>
        <v>Young Adult</v>
      </c>
    </row>
    <row r="109" spans="1:8">
      <c r="A109" t="str">
        <f t="shared" si="3"/>
        <v>C0108</v>
      </c>
      <c r="H109" t="str">
        <f t="shared" si="4"/>
        <v>Young Adult</v>
      </c>
    </row>
    <row r="110" spans="1:8">
      <c r="A110" t="str">
        <f t="shared" si="3"/>
        <v>C0109</v>
      </c>
      <c r="H110" t="str">
        <f t="shared" si="4"/>
        <v>Young Adult</v>
      </c>
    </row>
    <row r="111" spans="1:8">
      <c r="A111" t="str">
        <f t="shared" si="3"/>
        <v>C0110</v>
      </c>
      <c r="H111" t="str">
        <f t="shared" si="4"/>
        <v>Young Adult</v>
      </c>
    </row>
    <row r="112" spans="1:8">
      <c r="A112" t="str">
        <f t="shared" si="3"/>
        <v>C0111</v>
      </c>
      <c r="H112" t="str">
        <f t="shared" si="4"/>
        <v>Young Adult</v>
      </c>
    </row>
    <row r="113" spans="1:8">
      <c r="A113" t="str">
        <f t="shared" si="3"/>
        <v>C0112</v>
      </c>
      <c r="H113" t="str">
        <f t="shared" si="4"/>
        <v>Young Adult</v>
      </c>
    </row>
    <row r="114" spans="1:8">
      <c r="A114" t="str">
        <f t="shared" si="3"/>
        <v>C0113</v>
      </c>
      <c r="H114" t="str">
        <f t="shared" si="4"/>
        <v>Young Adult</v>
      </c>
    </row>
    <row r="115" spans="1:8">
      <c r="A115" t="str">
        <f t="shared" si="3"/>
        <v>C0114</v>
      </c>
      <c r="H115" t="str">
        <f t="shared" si="4"/>
        <v>Young Adult</v>
      </c>
    </row>
    <row r="116" spans="1:8">
      <c r="A116" t="str">
        <f t="shared" si="3"/>
        <v>C0115</v>
      </c>
      <c r="H116" t="str">
        <f t="shared" si="4"/>
        <v>Young Adult</v>
      </c>
    </row>
    <row r="117" spans="1:8">
      <c r="A117" t="str">
        <f t="shared" si="3"/>
        <v>C0116</v>
      </c>
      <c r="H117" t="str">
        <f t="shared" si="4"/>
        <v>Young Adult</v>
      </c>
    </row>
    <row r="118" spans="1:8">
      <c r="A118" t="str">
        <f t="shared" si="3"/>
        <v>C0117</v>
      </c>
      <c r="H118" t="str">
        <f t="shared" si="4"/>
        <v>Young Adult</v>
      </c>
    </row>
    <row r="119" spans="1:8">
      <c r="A119" t="str">
        <f t="shared" si="3"/>
        <v>C0118</v>
      </c>
      <c r="H119" t="str">
        <f t="shared" si="4"/>
        <v>Young Adult</v>
      </c>
    </row>
    <row r="120" spans="1:8">
      <c r="A120" t="str">
        <f t="shared" si="3"/>
        <v>C0119</v>
      </c>
      <c r="H120" t="str">
        <f t="shared" si="4"/>
        <v>Young Adult</v>
      </c>
    </row>
    <row r="121" spans="1:8">
      <c r="A121" t="str">
        <f t="shared" si="3"/>
        <v>C0120</v>
      </c>
      <c r="H121" t="str">
        <f t="shared" si="4"/>
        <v>Young Adult</v>
      </c>
    </row>
    <row r="122" spans="1:8">
      <c r="A122" t="str">
        <f t="shared" si="3"/>
        <v>C0121</v>
      </c>
      <c r="H122" t="str">
        <f t="shared" si="4"/>
        <v>Young Adult</v>
      </c>
    </row>
    <row r="123" spans="1:8">
      <c r="A123" t="str">
        <f t="shared" si="3"/>
        <v>C0122</v>
      </c>
      <c r="H123" t="str">
        <f t="shared" si="4"/>
        <v>Young Adult</v>
      </c>
    </row>
    <row r="124" spans="1:8">
      <c r="A124" t="str">
        <f t="shared" si="3"/>
        <v>C0123</v>
      </c>
      <c r="H124" t="str">
        <f t="shared" si="4"/>
        <v>Young Adult</v>
      </c>
    </row>
    <row r="125" spans="1:8">
      <c r="A125" t="str">
        <f t="shared" si="3"/>
        <v>C0124</v>
      </c>
      <c r="H125" t="str">
        <f t="shared" si="4"/>
        <v>Young Adult</v>
      </c>
    </row>
    <row r="126" spans="1:8">
      <c r="A126" t="str">
        <f t="shared" si="3"/>
        <v>C0125</v>
      </c>
      <c r="H126" t="str">
        <f t="shared" si="4"/>
        <v>Young Adult</v>
      </c>
    </row>
    <row r="127" spans="1:8">
      <c r="A127" t="str">
        <f t="shared" si="3"/>
        <v>C0126</v>
      </c>
      <c r="H127" t="str">
        <f t="shared" si="4"/>
        <v>Young Adult</v>
      </c>
    </row>
    <row r="128" spans="1:8">
      <c r="A128" t="str">
        <f t="shared" si="3"/>
        <v>C0127</v>
      </c>
      <c r="H128" t="str">
        <f t="shared" si="4"/>
        <v>Young Adult</v>
      </c>
    </row>
    <row r="129" spans="1:8">
      <c r="A129" t="str">
        <f t="shared" si="3"/>
        <v>C0128</v>
      </c>
      <c r="H129" t="str">
        <f t="shared" si="4"/>
        <v>Young Adult</v>
      </c>
    </row>
    <row r="130" spans="1:8">
      <c r="A130" t="str">
        <f t="shared" ref="A130:A193" si="5">"C"&amp;TEXT(ROW()-1,"0000")</f>
        <v>C0129</v>
      </c>
      <c r="H130" t="str">
        <f t="shared" ref="H130:H193" si="6">IF(C130&lt;30,"Young Adult","Older")</f>
        <v>Young Adult</v>
      </c>
    </row>
    <row r="131" spans="1:8">
      <c r="A131" t="str">
        <f t="shared" si="5"/>
        <v>C0130</v>
      </c>
      <c r="H131" t="str">
        <f t="shared" si="6"/>
        <v>Young Adult</v>
      </c>
    </row>
    <row r="132" spans="1:8">
      <c r="A132" t="str">
        <f t="shared" si="5"/>
        <v>C0131</v>
      </c>
      <c r="H132" t="str">
        <f t="shared" si="6"/>
        <v>Young Adult</v>
      </c>
    </row>
    <row r="133" spans="1:8">
      <c r="A133" t="str">
        <f t="shared" si="5"/>
        <v>C0132</v>
      </c>
      <c r="H133" t="str">
        <f t="shared" si="6"/>
        <v>Young Adult</v>
      </c>
    </row>
    <row r="134" spans="1:8">
      <c r="A134" t="str">
        <f t="shared" si="5"/>
        <v>C0133</v>
      </c>
      <c r="H134" t="str">
        <f t="shared" si="6"/>
        <v>Young Adult</v>
      </c>
    </row>
    <row r="135" spans="1:8">
      <c r="A135" t="str">
        <f t="shared" si="5"/>
        <v>C0134</v>
      </c>
      <c r="H135" t="str">
        <f t="shared" si="6"/>
        <v>Young Adult</v>
      </c>
    </row>
    <row r="136" spans="1:8">
      <c r="A136" t="str">
        <f t="shared" si="5"/>
        <v>C0135</v>
      </c>
      <c r="H136" t="str">
        <f t="shared" si="6"/>
        <v>Young Adult</v>
      </c>
    </row>
    <row r="137" spans="1:8">
      <c r="A137" t="str">
        <f t="shared" si="5"/>
        <v>C0136</v>
      </c>
      <c r="H137" t="str">
        <f t="shared" si="6"/>
        <v>Young Adult</v>
      </c>
    </row>
    <row r="138" spans="1:8">
      <c r="A138" t="str">
        <f t="shared" si="5"/>
        <v>C0137</v>
      </c>
      <c r="H138" t="str">
        <f t="shared" si="6"/>
        <v>Young Adult</v>
      </c>
    </row>
    <row r="139" spans="1:8">
      <c r="A139" t="str">
        <f t="shared" si="5"/>
        <v>C0138</v>
      </c>
      <c r="H139" t="str">
        <f t="shared" si="6"/>
        <v>Young Adult</v>
      </c>
    </row>
    <row r="140" spans="1:8">
      <c r="A140" t="str">
        <f t="shared" si="5"/>
        <v>C0139</v>
      </c>
      <c r="H140" t="str">
        <f t="shared" si="6"/>
        <v>Young Adult</v>
      </c>
    </row>
    <row r="141" spans="1:8">
      <c r="A141" t="str">
        <f t="shared" si="5"/>
        <v>C0140</v>
      </c>
      <c r="H141" t="str">
        <f t="shared" si="6"/>
        <v>Young Adult</v>
      </c>
    </row>
    <row r="142" spans="1:8">
      <c r="A142" t="str">
        <f t="shared" si="5"/>
        <v>C0141</v>
      </c>
      <c r="H142" t="str">
        <f t="shared" si="6"/>
        <v>Young Adult</v>
      </c>
    </row>
    <row r="143" spans="1:8">
      <c r="A143" t="str">
        <f t="shared" si="5"/>
        <v>C0142</v>
      </c>
      <c r="H143" t="str">
        <f t="shared" si="6"/>
        <v>Young Adult</v>
      </c>
    </row>
    <row r="144" spans="1:8">
      <c r="A144" t="str">
        <f t="shared" si="5"/>
        <v>C0143</v>
      </c>
      <c r="H144" t="str">
        <f t="shared" si="6"/>
        <v>Young Adult</v>
      </c>
    </row>
    <row r="145" spans="1:8">
      <c r="A145" t="str">
        <f t="shared" si="5"/>
        <v>C0144</v>
      </c>
      <c r="H145" t="str">
        <f t="shared" si="6"/>
        <v>Young Adult</v>
      </c>
    </row>
    <row r="146" spans="1:8">
      <c r="A146" t="str">
        <f t="shared" si="5"/>
        <v>C0145</v>
      </c>
      <c r="H146" t="str">
        <f t="shared" si="6"/>
        <v>Young Adult</v>
      </c>
    </row>
    <row r="147" spans="1:8">
      <c r="A147" t="str">
        <f t="shared" si="5"/>
        <v>C0146</v>
      </c>
      <c r="H147" t="str">
        <f t="shared" si="6"/>
        <v>Young Adult</v>
      </c>
    </row>
    <row r="148" spans="1:8">
      <c r="A148" t="str">
        <f t="shared" si="5"/>
        <v>C0147</v>
      </c>
      <c r="H148" t="str">
        <f t="shared" si="6"/>
        <v>Young Adult</v>
      </c>
    </row>
    <row r="149" spans="1:8">
      <c r="A149" t="str">
        <f t="shared" si="5"/>
        <v>C0148</v>
      </c>
      <c r="H149" t="str">
        <f t="shared" si="6"/>
        <v>Young Adult</v>
      </c>
    </row>
    <row r="150" spans="1:8">
      <c r="A150" t="str">
        <f t="shared" si="5"/>
        <v>C0149</v>
      </c>
      <c r="H150" t="str">
        <f t="shared" si="6"/>
        <v>Young Adult</v>
      </c>
    </row>
    <row r="151" spans="1:8">
      <c r="A151" t="str">
        <f t="shared" si="5"/>
        <v>C0150</v>
      </c>
      <c r="H151" t="str">
        <f t="shared" si="6"/>
        <v>Young Adult</v>
      </c>
    </row>
    <row r="152" spans="1:8">
      <c r="A152" t="str">
        <f t="shared" si="5"/>
        <v>C0151</v>
      </c>
      <c r="H152" t="str">
        <f t="shared" si="6"/>
        <v>Young Adult</v>
      </c>
    </row>
    <row r="153" spans="1:8">
      <c r="A153" t="str">
        <f t="shared" si="5"/>
        <v>C0152</v>
      </c>
      <c r="H153" t="str">
        <f t="shared" si="6"/>
        <v>Young Adult</v>
      </c>
    </row>
    <row r="154" spans="1:8">
      <c r="A154" t="str">
        <f t="shared" si="5"/>
        <v>C0153</v>
      </c>
      <c r="H154" t="str">
        <f t="shared" si="6"/>
        <v>Young Adult</v>
      </c>
    </row>
    <row r="155" spans="1:8">
      <c r="A155" t="str">
        <f t="shared" si="5"/>
        <v>C0154</v>
      </c>
      <c r="H155" t="str">
        <f t="shared" si="6"/>
        <v>Young Adult</v>
      </c>
    </row>
    <row r="156" spans="1:8">
      <c r="A156" t="str">
        <f t="shared" si="5"/>
        <v>C0155</v>
      </c>
      <c r="H156" t="str">
        <f t="shared" si="6"/>
        <v>Young Adult</v>
      </c>
    </row>
    <row r="157" spans="1:8">
      <c r="A157" t="str">
        <f t="shared" si="5"/>
        <v>C0156</v>
      </c>
      <c r="H157" t="str">
        <f t="shared" si="6"/>
        <v>Young Adult</v>
      </c>
    </row>
    <row r="158" spans="1:8">
      <c r="A158" t="str">
        <f t="shared" si="5"/>
        <v>C0157</v>
      </c>
      <c r="H158" t="str">
        <f t="shared" si="6"/>
        <v>Young Adult</v>
      </c>
    </row>
    <row r="159" spans="1:8">
      <c r="A159" t="str">
        <f t="shared" si="5"/>
        <v>C0158</v>
      </c>
      <c r="H159" t="str">
        <f t="shared" si="6"/>
        <v>Young Adult</v>
      </c>
    </row>
    <row r="160" spans="1:8">
      <c r="A160" t="str">
        <f t="shared" si="5"/>
        <v>C0159</v>
      </c>
      <c r="H160" t="str">
        <f t="shared" si="6"/>
        <v>Young Adult</v>
      </c>
    </row>
    <row r="161" spans="1:8">
      <c r="A161" t="str">
        <f t="shared" si="5"/>
        <v>C0160</v>
      </c>
      <c r="H161" t="str">
        <f t="shared" si="6"/>
        <v>Young Adult</v>
      </c>
    </row>
    <row r="162" spans="1:8">
      <c r="A162" t="str">
        <f t="shared" si="5"/>
        <v>C0161</v>
      </c>
      <c r="H162" t="str">
        <f t="shared" si="6"/>
        <v>Young Adult</v>
      </c>
    </row>
    <row r="163" spans="1:8">
      <c r="A163" t="str">
        <f t="shared" si="5"/>
        <v>C0162</v>
      </c>
      <c r="H163" t="str">
        <f t="shared" si="6"/>
        <v>Young Adult</v>
      </c>
    </row>
    <row r="164" spans="1:8">
      <c r="A164" t="str">
        <f t="shared" si="5"/>
        <v>C0163</v>
      </c>
      <c r="H164" t="str">
        <f t="shared" si="6"/>
        <v>Young Adult</v>
      </c>
    </row>
    <row r="165" spans="1:8">
      <c r="A165" t="str">
        <f t="shared" si="5"/>
        <v>C0164</v>
      </c>
      <c r="H165" t="str">
        <f t="shared" si="6"/>
        <v>Young Adult</v>
      </c>
    </row>
    <row r="166" spans="1:8">
      <c r="A166" t="str">
        <f t="shared" si="5"/>
        <v>C0165</v>
      </c>
      <c r="H166" t="str">
        <f t="shared" si="6"/>
        <v>Young Adult</v>
      </c>
    </row>
    <row r="167" spans="1:8">
      <c r="A167" t="str">
        <f t="shared" si="5"/>
        <v>C0166</v>
      </c>
      <c r="H167" t="str">
        <f t="shared" si="6"/>
        <v>Young Adult</v>
      </c>
    </row>
    <row r="168" spans="1:8">
      <c r="A168" t="str">
        <f t="shared" si="5"/>
        <v>C0167</v>
      </c>
      <c r="H168" t="str">
        <f t="shared" si="6"/>
        <v>Young Adult</v>
      </c>
    </row>
    <row r="169" spans="1:8">
      <c r="A169" t="str">
        <f t="shared" si="5"/>
        <v>C0168</v>
      </c>
      <c r="H169" t="str">
        <f t="shared" si="6"/>
        <v>Young Adult</v>
      </c>
    </row>
    <row r="170" spans="1:8">
      <c r="A170" t="str">
        <f t="shared" si="5"/>
        <v>C0169</v>
      </c>
      <c r="H170" t="str">
        <f t="shared" si="6"/>
        <v>Young Adult</v>
      </c>
    </row>
    <row r="171" spans="1:8">
      <c r="A171" t="str">
        <f t="shared" si="5"/>
        <v>C0170</v>
      </c>
      <c r="H171" t="str">
        <f t="shared" si="6"/>
        <v>Young Adult</v>
      </c>
    </row>
    <row r="172" spans="1:8">
      <c r="A172" t="str">
        <f t="shared" si="5"/>
        <v>C0171</v>
      </c>
      <c r="H172" t="str">
        <f t="shared" si="6"/>
        <v>Young Adult</v>
      </c>
    </row>
    <row r="173" spans="1:8">
      <c r="A173" t="str">
        <f t="shared" si="5"/>
        <v>C0172</v>
      </c>
      <c r="H173" t="str">
        <f t="shared" si="6"/>
        <v>Young Adult</v>
      </c>
    </row>
    <row r="174" spans="1:8">
      <c r="A174" t="str">
        <f t="shared" si="5"/>
        <v>C0173</v>
      </c>
      <c r="H174" t="str">
        <f t="shared" si="6"/>
        <v>Young Adult</v>
      </c>
    </row>
    <row r="175" spans="1:8">
      <c r="A175" t="str">
        <f t="shared" si="5"/>
        <v>C0174</v>
      </c>
      <c r="H175" t="str">
        <f t="shared" si="6"/>
        <v>Young Adult</v>
      </c>
    </row>
    <row r="176" spans="1:8">
      <c r="A176" t="str">
        <f t="shared" si="5"/>
        <v>C0175</v>
      </c>
      <c r="H176" t="str">
        <f t="shared" si="6"/>
        <v>Young Adult</v>
      </c>
    </row>
    <row r="177" spans="1:8">
      <c r="A177" t="str">
        <f t="shared" si="5"/>
        <v>C0176</v>
      </c>
      <c r="H177" t="str">
        <f t="shared" si="6"/>
        <v>Young Adult</v>
      </c>
    </row>
    <row r="178" spans="1:8">
      <c r="A178" t="str">
        <f t="shared" si="5"/>
        <v>C0177</v>
      </c>
      <c r="H178" t="str">
        <f t="shared" si="6"/>
        <v>Young Adult</v>
      </c>
    </row>
    <row r="179" spans="1:8">
      <c r="A179" t="str">
        <f t="shared" si="5"/>
        <v>C0178</v>
      </c>
      <c r="H179" t="str">
        <f t="shared" si="6"/>
        <v>Young Adult</v>
      </c>
    </row>
    <row r="180" spans="1:8">
      <c r="A180" t="str">
        <f t="shared" si="5"/>
        <v>C0179</v>
      </c>
      <c r="H180" t="str">
        <f t="shared" si="6"/>
        <v>Young Adult</v>
      </c>
    </row>
    <row r="181" spans="1:8">
      <c r="A181" t="str">
        <f t="shared" si="5"/>
        <v>C0180</v>
      </c>
      <c r="H181" t="str">
        <f t="shared" si="6"/>
        <v>Young Adult</v>
      </c>
    </row>
    <row r="182" spans="1:8">
      <c r="A182" t="str">
        <f t="shared" si="5"/>
        <v>C0181</v>
      </c>
      <c r="H182" t="str">
        <f t="shared" si="6"/>
        <v>Young Adult</v>
      </c>
    </row>
    <row r="183" spans="1:8">
      <c r="A183" t="str">
        <f t="shared" si="5"/>
        <v>C0182</v>
      </c>
      <c r="H183" t="str">
        <f t="shared" si="6"/>
        <v>Young Adult</v>
      </c>
    </row>
    <row r="184" spans="1:8">
      <c r="A184" t="str">
        <f t="shared" si="5"/>
        <v>C0183</v>
      </c>
      <c r="H184" t="str">
        <f t="shared" si="6"/>
        <v>Young Adult</v>
      </c>
    </row>
    <row r="185" spans="1:8">
      <c r="A185" t="str">
        <f t="shared" si="5"/>
        <v>C0184</v>
      </c>
      <c r="H185" t="str">
        <f t="shared" si="6"/>
        <v>Young Adult</v>
      </c>
    </row>
    <row r="186" spans="1:8">
      <c r="A186" t="str">
        <f t="shared" si="5"/>
        <v>C0185</v>
      </c>
      <c r="H186" t="str">
        <f t="shared" si="6"/>
        <v>Young Adult</v>
      </c>
    </row>
    <row r="187" spans="1:8">
      <c r="A187" t="str">
        <f t="shared" si="5"/>
        <v>C0186</v>
      </c>
      <c r="H187" t="str">
        <f t="shared" si="6"/>
        <v>Young Adult</v>
      </c>
    </row>
    <row r="188" spans="1:8">
      <c r="A188" t="str">
        <f t="shared" si="5"/>
        <v>C0187</v>
      </c>
      <c r="H188" t="str">
        <f t="shared" si="6"/>
        <v>Young Adult</v>
      </c>
    </row>
    <row r="189" spans="1:8">
      <c r="A189" t="str">
        <f t="shared" si="5"/>
        <v>C0188</v>
      </c>
      <c r="H189" t="str">
        <f t="shared" si="6"/>
        <v>Young Adult</v>
      </c>
    </row>
    <row r="190" spans="1:8">
      <c r="A190" t="str">
        <f t="shared" si="5"/>
        <v>C0189</v>
      </c>
      <c r="H190" t="str">
        <f t="shared" si="6"/>
        <v>Young Adult</v>
      </c>
    </row>
    <row r="191" spans="1:8">
      <c r="A191" t="str">
        <f t="shared" si="5"/>
        <v>C0190</v>
      </c>
      <c r="H191" t="str">
        <f t="shared" si="6"/>
        <v>Young Adult</v>
      </c>
    </row>
    <row r="192" spans="1:8">
      <c r="A192" t="str">
        <f t="shared" si="5"/>
        <v>C0191</v>
      </c>
      <c r="H192" t="str">
        <f t="shared" si="6"/>
        <v>Young Adult</v>
      </c>
    </row>
    <row r="193" spans="1:8">
      <c r="A193" t="str">
        <f t="shared" si="5"/>
        <v>C0192</v>
      </c>
      <c r="H193" t="str">
        <f t="shared" si="6"/>
        <v>Young Adult</v>
      </c>
    </row>
    <row r="194" spans="1:8">
      <c r="A194" t="str">
        <f t="shared" ref="A194:A257" si="7">"C"&amp;TEXT(ROW()-1,"0000")</f>
        <v>C0193</v>
      </c>
      <c r="H194" t="str">
        <f t="shared" ref="H194:H257" si="8">IF(C194&lt;30,"Young Adult","Older")</f>
        <v>Young Adult</v>
      </c>
    </row>
    <row r="195" spans="1:8">
      <c r="A195" t="str">
        <f t="shared" si="7"/>
        <v>C0194</v>
      </c>
      <c r="H195" t="str">
        <f t="shared" si="8"/>
        <v>Young Adult</v>
      </c>
    </row>
    <row r="196" spans="1:8">
      <c r="A196" t="str">
        <f t="shared" si="7"/>
        <v>C0195</v>
      </c>
      <c r="H196" t="str">
        <f t="shared" si="8"/>
        <v>Young Adult</v>
      </c>
    </row>
    <row r="197" spans="1:8">
      <c r="A197" t="str">
        <f t="shared" si="7"/>
        <v>C0196</v>
      </c>
      <c r="H197" t="str">
        <f t="shared" si="8"/>
        <v>Young Adult</v>
      </c>
    </row>
    <row r="198" spans="1:8">
      <c r="A198" t="str">
        <f t="shared" si="7"/>
        <v>C0197</v>
      </c>
      <c r="H198" t="str">
        <f t="shared" si="8"/>
        <v>Young Adult</v>
      </c>
    </row>
    <row r="199" spans="1:8">
      <c r="A199" t="str">
        <f t="shared" si="7"/>
        <v>C0198</v>
      </c>
      <c r="H199" t="str">
        <f t="shared" si="8"/>
        <v>Young Adult</v>
      </c>
    </row>
    <row r="200" spans="1:8">
      <c r="A200" t="str">
        <f t="shared" si="7"/>
        <v>C0199</v>
      </c>
      <c r="H200" t="str">
        <f t="shared" si="8"/>
        <v>Young Adult</v>
      </c>
    </row>
    <row r="201" spans="1:8">
      <c r="A201" t="str">
        <f t="shared" si="7"/>
        <v>C0200</v>
      </c>
      <c r="H201" t="str">
        <f t="shared" si="8"/>
        <v>Young Adult</v>
      </c>
    </row>
    <row r="202" spans="1:8">
      <c r="A202" t="str">
        <f t="shared" si="7"/>
        <v>C0201</v>
      </c>
      <c r="H202" t="str">
        <f t="shared" si="8"/>
        <v>Young Adult</v>
      </c>
    </row>
    <row r="203" spans="1:8">
      <c r="A203" t="str">
        <f t="shared" si="7"/>
        <v>C0202</v>
      </c>
      <c r="H203" t="str">
        <f t="shared" si="8"/>
        <v>Young Adult</v>
      </c>
    </row>
    <row r="204" spans="1:8">
      <c r="A204" t="str">
        <f t="shared" si="7"/>
        <v>C0203</v>
      </c>
      <c r="H204" t="str">
        <f t="shared" si="8"/>
        <v>Young Adult</v>
      </c>
    </row>
    <row r="205" spans="1:8">
      <c r="A205" t="str">
        <f t="shared" si="7"/>
        <v>C0204</v>
      </c>
      <c r="H205" t="str">
        <f t="shared" si="8"/>
        <v>Young Adult</v>
      </c>
    </row>
    <row r="206" spans="1:8">
      <c r="A206" t="str">
        <f t="shared" si="7"/>
        <v>C0205</v>
      </c>
      <c r="H206" t="str">
        <f t="shared" si="8"/>
        <v>Young Adult</v>
      </c>
    </row>
    <row r="207" spans="1:8">
      <c r="A207" t="str">
        <f t="shared" si="7"/>
        <v>C0206</v>
      </c>
      <c r="H207" t="str">
        <f t="shared" si="8"/>
        <v>Young Adult</v>
      </c>
    </row>
    <row r="208" spans="1:8">
      <c r="A208" t="str">
        <f t="shared" si="7"/>
        <v>C0207</v>
      </c>
      <c r="H208" t="str">
        <f t="shared" si="8"/>
        <v>Young Adult</v>
      </c>
    </row>
    <row r="209" spans="1:8">
      <c r="A209" t="str">
        <f t="shared" si="7"/>
        <v>C0208</v>
      </c>
      <c r="H209" t="str">
        <f t="shared" si="8"/>
        <v>Young Adult</v>
      </c>
    </row>
    <row r="210" spans="1:8">
      <c r="A210" t="str">
        <f t="shared" si="7"/>
        <v>C0209</v>
      </c>
      <c r="H210" t="str">
        <f t="shared" si="8"/>
        <v>Young Adult</v>
      </c>
    </row>
    <row r="211" spans="1:8">
      <c r="A211" t="str">
        <f t="shared" si="7"/>
        <v>C0210</v>
      </c>
      <c r="H211" t="str">
        <f t="shared" si="8"/>
        <v>Young Adult</v>
      </c>
    </row>
    <row r="212" spans="1:8">
      <c r="A212" t="str">
        <f t="shared" si="7"/>
        <v>C0211</v>
      </c>
      <c r="H212" t="str">
        <f t="shared" si="8"/>
        <v>Young Adult</v>
      </c>
    </row>
    <row r="213" spans="1:8">
      <c r="A213" t="str">
        <f t="shared" si="7"/>
        <v>C0212</v>
      </c>
      <c r="H213" t="str">
        <f t="shared" si="8"/>
        <v>Young Adult</v>
      </c>
    </row>
    <row r="214" spans="1:8">
      <c r="A214" t="str">
        <f t="shared" si="7"/>
        <v>C0213</v>
      </c>
      <c r="H214" t="str">
        <f t="shared" si="8"/>
        <v>Young Adult</v>
      </c>
    </row>
    <row r="215" spans="1:8">
      <c r="A215" t="str">
        <f t="shared" si="7"/>
        <v>C0214</v>
      </c>
      <c r="H215" t="str">
        <f t="shared" si="8"/>
        <v>Young Adult</v>
      </c>
    </row>
    <row r="216" spans="1:8">
      <c r="A216" t="str">
        <f t="shared" si="7"/>
        <v>C0215</v>
      </c>
      <c r="H216" t="str">
        <f t="shared" si="8"/>
        <v>Young Adult</v>
      </c>
    </row>
    <row r="217" spans="1:8">
      <c r="A217" t="str">
        <f t="shared" si="7"/>
        <v>C0216</v>
      </c>
      <c r="H217" t="str">
        <f t="shared" si="8"/>
        <v>Young Adult</v>
      </c>
    </row>
    <row r="218" spans="1:8">
      <c r="A218" t="str">
        <f t="shared" si="7"/>
        <v>C0217</v>
      </c>
      <c r="H218" t="str">
        <f t="shared" si="8"/>
        <v>Young Adult</v>
      </c>
    </row>
    <row r="219" spans="1:8">
      <c r="A219" t="str">
        <f t="shared" si="7"/>
        <v>C0218</v>
      </c>
      <c r="H219" t="str">
        <f t="shared" si="8"/>
        <v>Young Adult</v>
      </c>
    </row>
    <row r="220" spans="1:8">
      <c r="A220" t="str">
        <f t="shared" si="7"/>
        <v>C0219</v>
      </c>
      <c r="H220" t="str">
        <f t="shared" si="8"/>
        <v>Young Adult</v>
      </c>
    </row>
    <row r="221" spans="1:8">
      <c r="A221" t="str">
        <f t="shared" si="7"/>
        <v>C0220</v>
      </c>
      <c r="H221" t="str">
        <f t="shared" si="8"/>
        <v>Young Adult</v>
      </c>
    </row>
    <row r="222" spans="1:8">
      <c r="A222" t="str">
        <f t="shared" si="7"/>
        <v>C0221</v>
      </c>
      <c r="H222" t="str">
        <f t="shared" si="8"/>
        <v>Young Adult</v>
      </c>
    </row>
    <row r="223" spans="1:8">
      <c r="A223" t="str">
        <f t="shared" si="7"/>
        <v>C0222</v>
      </c>
      <c r="H223" t="str">
        <f t="shared" si="8"/>
        <v>Young Adult</v>
      </c>
    </row>
    <row r="224" spans="1:8">
      <c r="A224" t="str">
        <f t="shared" si="7"/>
        <v>C0223</v>
      </c>
      <c r="H224" t="str">
        <f t="shared" si="8"/>
        <v>Young Adult</v>
      </c>
    </row>
    <row r="225" spans="1:8">
      <c r="A225" t="str">
        <f t="shared" si="7"/>
        <v>C0224</v>
      </c>
      <c r="H225" t="str">
        <f t="shared" si="8"/>
        <v>Young Adult</v>
      </c>
    </row>
    <row r="226" spans="1:8">
      <c r="A226" t="str">
        <f t="shared" si="7"/>
        <v>C0225</v>
      </c>
      <c r="H226" t="str">
        <f t="shared" si="8"/>
        <v>Young Adult</v>
      </c>
    </row>
    <row r="227" spans="1:8">
      <c r="A227" t="str">
        <f t="shared" si="7"/>
        <v>C0226</v>
      </c>
      <c r="H227" t="str">
        <f t="shared" si="8"/>
        <v>Young Adult</v>
      </c>
    </row>
    <row r="228" spans="1:8">
      <c r="A228" t="str">
        <f t="shared" si="7"/>
        <v>C0227</v>
      </c>
      <c r="H228" t="str">
        <f t="shared" si="8"/>
        <v>Young Adult</v>
      </c>
    </row>
    <row r="229" spans="1:8">
      <c r="A229" t="str">
        <f t="shared" si="7"/>
        <v>C0228</v>
      </c>
      <c r="H229" t="str">
        <f t="shared" si="8"/>
        <v>Young Adult</v>
      </c>
    </row>
    <row r="230" spans="1:8">
      <c r="A230" t="str">
        <f t="shared" si="7"/>
        <v>C0229</v>
      </c>
      <c r="H230" t="str">
        <f t="shared" si="8"/>
        <v>Young Adult</v>
      </c>
    </row>
    <row r="231" spans="1:8">
      <c r="A231" t="str">
        <f t="shared" si="7"/>
        <v>C0230</v>
      </c>
      <c r="H231" t="str">
        <f t="shared" si="8"/>
        <v>Young Adult</v>
      </c>
    </row>
    <row r="232" spans="1:8">
      <c r="A232" t="str">
        <f t="shared" si="7"/>
        <v>C0231</v>
      </c>
      <c r="H232" t="str">
        <f t="shared" si="8"/>
        <v>Young Adult</v>
      </c>
    </row>
    <row r="233" spans="1:8">
      <c r="A233" t="str">
        <f t="shared" si="7"/>
        <v>C0232</v>
      </c>
      <c r="H233" t="str">
        <f t="shared" si="8"/>
        <v>Young Adult</v>
      </c>
    </row>
    <row r="234" spans="1:8">
      <c r="A234" t="str">
        <f t="shared" si="7"/>
        <v>C0233</v>
      </c>
      <c r="H234" t="str">
        <f t="shared" si="8"/>
        <v>Young Adult</v>
      </c>
    </row>
    <row r="235" spans="1:8">
      <c r="A235" t="str">
        <f t="shared" si="7"/>
        <v>C0234</v>
      </c>
      <c r="H235" t="str">
        <f t="shared" si="8"/>
        <v>Young Adult</v>
      </c>
    </row>
    <row r="236" spans="1:8">
      <c r="A236" t="str">
        <f t="shared" si="7"/>
        <v>C0235</v>
      </c>
      <c r="H236" t="str">
        <f t="shared" si="8"/>
        <v>Young Adult</v>
      </c>
    </row>
    <row r="237" spans="1:8">
      <c r="A237" t="str">
        <f t="shared" si="7"/>
        <v>C0236</v>
      </c>
      <c r="H237" t="str">
        <f t="shared" si="8"/>
        <v>Young Adult</v>
      </c>
    </row>
    <row r="238" spans="1:8">
      <c r="A238" t="str">
        <f t="shared" si="7"/>
        <v>C0237</v>
      </c>
      <c r="H238" t="str">
        <f t="shared" si="8"/>
        <v>Young Adult</v>
      </c>
    </row>
    <row r="239" spans="1:8">
      <c r="A239" t="str">
        <f t="shared" si="7"/>
        <v>C0238</v>
      </c>
      <c r="H239" t="str">
        <f t="shared" si="8"/>
        <v>Young Adult</v>
      </c>
    </row>
    <row r="240" spans="1:8">
      <c r="A240" t="str">
        <f t="shared" si="7"/>
        <v>C0239</v>
      </c>
      <c r="H240" t="str">
        <f t="shared" si="8"/>
        <v>Young Adult</v>
      </c>
    </row>
    <row r="241" spans="1:8">
      <c r="A241" t="str">
        <f t="shared" si="7"/>
        <v>C0240</v>
      </c>
      <c r="H241" t="str">
        <f t="shared" si="8"/>
        <v>Young Adult</v>
      </c>
    </row>
    <row r="242" spans="1:8">
      <c r="A242" t="str">
        <f t="shared" si="7"/>
        <v>C0241</v>
      </c>
      <c r="H242" t="str">
        <f t="shared" si="8"/>
        <v>Young Adult</v>
      </c>
    </row>
    <row r="243" spans="1:8">
      <c r="A243" t="str">
        <f t="shared" si="7"/>
        <v>C0242</v>
      </c>
      <c r="H243" t="str">
        <f t="shared" si="8"/>
        <v>Young Adult</v>
      </c>
    </row>
    <row r="244" spans="1:8">
      <c r="A244" t="str">
        <f t="shared" si="7"/>
        <v>C0243</v>
      </c>
      <c r="H244" t="str">
        <f t="shared" si="8"/>
        <v>Young Adult</v>
      </c>
    </row>
    <row r="245" spans="1:8">
      <c r="A245" t="str">
        <f t="shared" si="7"/>
        <v>C0244</v>
      </c>
      <c r="H245" t="str">
        <f t="shared" si="8"/>
        <v>Young Adult</v>
      </c>
    </row>
    <row r="246" spans="1:8">
      <c r="A246" t="str">
        <f t="shared" si="7"/>
        <v>C0245</v>
      </c>
      <c r="H246" t="str">
        <f t="shared" si="8"/>
        <v>Young Adult</v>
      </c>
    </row>
    <row r="247" spans="1:8">
      <c r="A247" t="str">
        <f t="shared" si="7"/>
        <v>C0246</v>
      </c>
      <c r="H247" t="str">
        <f t="shared" si="8"/>
        <v>Young Adult</v>
      </c>
    </row>
    <row r="248" spans="1:8">
      <c r="A248" t="str">
        <f t="shared" si="7"/>
        <v>C0247</v>
      </c>
      <c r="H248" t="str">
        <f t="shared" si="8"/>
        <v>Young Adult</v>
      </c>
    </row>
    <row r="249" spans="1:8">
      <c r="A249" t="str">
        <f t="shared" si="7"/>
        <v>C0248</v>
      </c>
      <c r="H249" t="str">
        <f t="shared" si="8"/>
        <v>Young Adult</v>
      </c>
    </row>
    <row r="250" spans="1:8">
      <c r="A250" t="str">
        <f t="shared" si="7"/>
        <v>C0249</v>
      </c>
      <c r="H250" t="str">
        <f t="shared" si="8"/>
        <v>Young Adult</v>
      </c>
    </row>
    <row r="251" spans="1:8">
      <c r="A251" t="str">
        <f t="shared" si="7"/>
        <v>C0250</v>
      </c>
      <c r="H251" t="str">
        <f t="shared" si="8"/>
        <v>Young Adult</v>
      </c>
    </row>
    <row r="252" spans="1:8">
      <c r="A252" t="str">
        <f t="shared" si="7"/>
        <v>C0251</v>
      </c>
      <c r="H252" t="str">
        <f t="shared" si="8"/>
        <v>Young Adult</v>
      </c>
    </row>
    <row r="253" spans="1:8">
      <c r="A253" t="str">
        <f t="shared" si="7"/>
        <v>C0252</v>
      </c>
      <c r="H253" t="str">
        <f t="shared" si="8"/>
        <v>Young Adult</v>
      </c>
    </row>
    <row r="254" spans="1:8">
      <c r="A254" t="str">
        <f t="shared" si="7"/>
        <v>C0253</v>
      </c>
      <c r="H254" t="str">
        <f t="shared" si="8"/>
        <v>Young Adult</v>
      </c>
    </row>
    <row r="255" spans="1:8">
      <c r="A255" t="str">
        <f t="shared" si="7"/>
        <v>C0254</v>
      </c>
      <c r="H255" t="str">
        <f t="shared" si="8"/>
        <v>Young Adult</v>
      </c>
    </row>
    <row r="256" spans="1:8">
      <c r="A256" t="str">
        <f t="shared" si="7"/>
        <v>C0255</v>
      </c>
      <c r="H256" t="str">
        <f t="shared" si="8"/>
        <v>Young Adult</v>
      </c>
    </row>
    <row r="257" spans="1:8">
      <c r="A257" t="str">
        <f t="shared" si="7"/>
        <v>C0256</v>
      </c>
      <c r="H257" t="str">
        <f t="shared" si="8"/>
        <v>Young Adult</v>
      </c>
    </row>
    <row r="258" spans="1:8">
      <c r="A258" t="str">
        <f t="shared" ref="A258:A321" si="9">"C"&amp;TEXT(ROW()-1,"0000")</f>
        <v>C0257</v>
      </c>
      <c r="H258" t="str">
        <f t="shared" ref="H258:H321" si="10">IF(C258&lt;30,"Young Adult","Older")</f>
        <v>Young Adult</v>
      </c>
    </row>
    <row r="259" spans="1:8">
      <c r="A259" t="str">
        <f t="shared" si="9"/>
        <v>C0258</v>
      </c>
      <c r="H259" t="str">
        <f t="shared" si="10"/>
        <v>Young Adult</v>
      </c>
    </row>
    <row r="260" spans="1:8">
      <c r="A260" t="str">
        <f t="shared" si="9"/>
        <v>C0259</v>
      </c>
      <c r="H260" t="str">
        <f t="shared" si="10"/>
        <v>Young Adult</v>
      </c>
    </row>
    <row r="261" spans="1:8">
      <c r="A261" t="str">
        <f t="shared" si="9"/>
        <v>C0260</v>
      </c>
      <c r="H261" t="str">
        <f t="shared" si="10"/>
        <v>Young Adult</v>
      </c>
    </row>
    <row r="262" spans="1:8">
      <c r="A262" t="str">
        <f t="shared" si="9"/>
        <v>C0261</v>
      </c>
      <c r="H262" t="str">
        <f t="shared" si="10"/>
        <v>Young Adult</v>
      </c>
    </row>
    <row r="263" spans="1:8">
      <c r="A263" t="str">
        <f t="shared" si="9"/>
        <v>C0262</v>
      </c>
      <c r="H263" t="str">
        <f t="shared" si="10"/>
        <v>Young Adult</v>
      </c>
    </row>
    <row r="264" spans="1:8">
      <c r="A264" t="str">
        <f t="shared" si="9"/>
        <v>C0263</v>
      </c>
      <c r="H264" t="str">
        <f t="shared" si="10"/>
        <v>Young Adult</v>
      </c>
    </row>
    <row r="265" spans="1:8">
      <c r="A265" t="str">
        <f t="shared" si="9"/>
        <v>C0264</v>
      </c>
      <c r="H265" t="str">
        <f t="shared" si="10"/>
        <v>Young Adult</v>
      </c>
    </row>
    <row r="266" spans="1:8">
      <c r="A266" t="str">
        <f t="shared" si="9"/>
        <v>C0265</v>
      </c>
      <c r="H266" t="str">
        <f t="shared" si="10"/>
        <v>Young Adult</v>
      </c>
    </row>
    <row r="267" spans="1:8">
      <c r="A267" t="str">
        <f t="shared" si="9"/>
        <v>C0266</v>
      </c>
      <c r="H267" t="str">
        <f t="shared" si="10"/>
        <v>Young Adult</v>
      </c>
    </row>
    <row r="268" spans="1:8">
      <c r="A268" t="str">
        <f t="shared" si="9"/>
        <v>C0267</v>
      </c>
      <c r="H268" t="str">
        <f t="shared" si="10"/>
        <v>Young Adult</v>
      </c>
    </row>
    <row r="269" spans="1:8">
      <c r="A269" t="str">
        <f t="shared" si="9"/>
        <v>C0268</v>
      </c>
      <c r="H269" t="str">
        <f t="shared" si="10"/>
        <v>Young Adult</v>
      </c>
    </row>
    <row r="270" spans="1:8">
      <c r="A270" t="str">
        <f t="shared" si="9"/>
        <v>C0269</v>
      </c>
      <c r="H270" t="str">
        <f t="shared" si="10"/>
        <v>Young Adult</v>
      </c>
    </row>
    <row r="271" spans="1:8">
      <c r="A271" t="str">
        <f t="shared" si="9"/>
        <v>C0270</v>
      </c>
      <c r="H271" t="str">
        <f t="shared" si="10"/>
        <v>Young Adult</v>
      </c>
    </row>
    <row r="272" spans="1:8">
      <c r="A272" t="str">
        <f t="shared" si="9"/>
        <v>C0271</v>
      </c>
      <c r="H272" t="str">
        <f t="shared" si="10"/>
        <v>Young Adult</v>
      </c>
    </row>
    <row r="273" spans="1:8">
      <c r="A273" t="str">
        <f t="shared" si="9"/>
        <v>C0272</v>
      </c>
      <c r="H273" t="str">
        <f t="shared" si="10"/>
        <v>Young Adult</v>
      </c>
    </row>
    <row r="274" spans="1:8">
      <c r="A274" t="str">
        <f t="shared" si="9"/>
        <v>C0273</v>
      </c>
      <c r="H274" t="str">
        <f t="shared" si="10"/>
        <v>Young Adult</v>
      </c>
    </row>
    <row r="275" spans="1:8">
      <c r="A275" t="str">
        <f t="shared" si="9"/>
        <v>C0274</v>
      </c>
      <c r="H275" t="str">
        <f t="shared" si="10"/>
        <v>Young Adult</v>
      </c>
    </row>
    <row r="276" spans="1:8">
      <c r="A276" t="str">
        <f t="shared" si="9"/>
        <v>C0275</v>
      </c>
      <c r="H276" t="str">
        <f t="shared" si="10"/>
        <v>Young Adult</v>
      </c>
    </row>
    <row r="277" spans="1:8">
      <c r="A277" t="str">
        <f t="shared" si="9"/>
        <v>C0276</v>
      </c>
      <c r="H277" t="str">
        <f t="shared" si="10"/>
        <v>Young Adult</v>
      </c>
    </row>
    <row r="278" spans="1:8">
      <c r="A278" t="str">
        <f t="shared" si="9"/>
        <v>C0277</v>
      </c>
      <c r="H278" t="str">
        <f t="shared" si="10"/>
        <v>Young Adult</v>
      </c>
    </row>
    <row r="279" spans="1:8">
      <c r="A279" t="str">
        <f t="shared" si="9"/>
        <v>C0278</v>
      </c>
      <c r="H279" t="str">
        <f t="shared" si="10"/>
        <v>Young Adult</v>
      </c>
    </row>
    <row r="280" spans="1:8">
      <c r="A280" t="str">
        <f t="shared" si="9"/>
        <v>C0279</v>
      </c>
      <c r="H280" t="str">
        <f t="shared" si="10"/>
        <v>Young Adult</v>
      </c>
    </row>
    <row r="281" spans="1:8">
      <c r="A281" t="str">
        <f t="shared" si="9"/>
        <v>C0280</v>
      </c>
      <c r="H281" t="str">
        <f t="shared" si="10"/>
        <v>Young Adult</v>
      </c>
    </row>
    <row r="282" spans="1:8">
      <c r="A282" t="str">
        <f t="shared" si="9"/>
        <v>C0281</v>
      </c>
      <c r="H282" t="str">
        <f t="shared" si="10"/>
        <v>Young Adult</v>
      </c>
    </row>
    <row r="283" spans="1:8">
      <c r="A283" t="str">
        <f t="shared" si="9"/>
        <v>C0282</v>
      </c>
      <c r="H283" t="str">
        <f t="shared" si="10"/>
        <v>Young Adult</v>
      </c>
    </row>
    <row r="284" spans="1:8">
      <c r="A284" t="str">
        <f t="shared" si="9"/>
        <v>C0283</v>
      </c>
      <c r="H284" t="str">
        <f t="shared" si="10"/>
        <v>Young Adult</v>
      </c>
    </row>
    <row r="285" spans="1:8">
      <c r="A285" t="str">
        <f t="shared" si="9"/>
        <v>C0284</v>
      </c>
      <c r="H285" t="str">
        <f t="shared" si="10"/>
        <v>Young Adult</v>
      </c>
    </row>
    <row r="286" spans="1:8">
      <c r="A286" t="str">
        <f t="shared" si="9"/>
        <v>C0285</v>
      </c>
      <c r="H286" t="str">
        <f t="shared" si="10"/>
        <v>Young Adult</v>
      </c>
    </row>
    <row r="287" spans="1:8">
      <c r="A287" t="str">
        <f t="shared" si="9"/>
        <v>C0286</v>
      </c>
      <c r="H287" t="str">
        <f t="shared" si="10"/>
        <v>Young Adult</v>
      </c>
    </row>
    <row r="288" spans="1:8">
      <c r="A288" t="str">
        <f t="shared" si="9"/>
        <v>C0287</v>
      </c>
      <c r="H288" t="str">
        <f t="shared" si="10"/>
        <v>Young Adult</v>
      </c>
    </row>
    <row r="289" spans="1:8">
      <c r="A289" t="str">
        <f t="shared" si="9"/>
        <v>C0288</v>
      </c>
      <c r="H289" t="str">
        <f t="shared" si="10"/>
        <v>Young Adult</v>
      </c>
    </row>
    <row r="290" spans="1:8">
      <c r="A290" t="str">
        <f t="shared" si="9"/>
        <v>C0289</v>
      </c>
      <c r="H290" t="str">
        <f t="shared" si="10"/>
        <v>Young Adult</v>
      </c>
    </row>
    <row r="291" spans="1:8">
      <c r="A291" t="str">
        <f t="shared" si="9"/>
        <v>C0290</v>
      </c>
      <c r="H291" t="str">
        <f t="shared" si="10"/>
        <v>Young Adult</v>
      </c>
    </row>
    <row r="292" spans="1:8">
      <c r="A292" t="str">
        <f t="shared" si="9"/>
        <v>C0291</v>
      </c>
      <c r="H292" t="str">
        <f t="shared" si="10"/>
        <v>Young Adult</v>
      </c>
    </row>
    <row r="293" spans="1:8">
      <c r="A293" t="str">
        <f t="shared" si="9"/>
        <v>C0292</v>
      </c>
      <c r="H293" t="str">
        <f t="shared" si="10"/>
        <v>Young Adult</v>
      </c>
    </row>
    <row r="294" spans="1:8">
      <c r="A294" t="str">
        <f t="shared" si="9"/>
        <v>C0293</v>
      </c>
      <c r="H294" t="str">
        <f t="shared" si="10"/>
        <v>Young Adult</v>
      </c>
    </row>
    <row r="295" spans="1:8">
      <c r="A295" t="str">
        <f t="shared" si="9"/>
        <v>C0294</v>
      </c>
      <c r="H295" t="str">
        <f t="shared" si="10"/>
        <v>Young Adult</v>
      </c>
    </row>
    <row r="296" spans="1:8">
      <c r="A296" t="str">
        <f t="shared" si="9"/>
        <v>C0295</v>
      </c>
      <c r="H296" t="str">
        <f t="shared" si="10"/>
        <v>Young Adult</v>
      </c>
    </row>
    <row r="297" spans="1:8">
      <c r="A297" t="str">
        <f t="shared" si="9"/>
        <v>C0296</v>
      </c>
      <c r="H297" t="str">
        <f t="shared" si="10"/>
        <v>Young Adult</v>
      </c>
    </row>
    <row r="298" spans="1:8">
      <c r="A298" t="str">
        <f t="shared" si="9"/>
        <v>C0297</v>
      </c>
      <c r="H298" t="str">
        <f t="shared" si="10"/>
        <v>Young Adult</v>
      </c>
    </row>
    <row r="299" spans="1:8">
      <c r="A299" t="str">
        <f t="shared" si="9"/>
        <v>C0298</v>
      </c>
      <c r="H299" t="str">
        <f t="shared" si="10"/>
        <v>Young Adult</v>
      </c>
    </row>
    <row r="300" spans="1:8">
      <c r="A300" t="str">
        <f t="shared" si="9"/>
        <v>C0299</v>
      </c>
      <c r="H300" t="str">
        <f t="shared" si="10"/>
        <v>Young Adult</v>
      </c>
    </row>
    <row r="301" spans="1:8">
      <c r="A301" t="str">
        <f t="shared" si="9"/>
        <v>C0300</v>
      </c>
      <c r="H301" t="str">
        <f t="shared" si="10"/>
        <v>Young Adult</v>
      </c>
    </row>
    <row r="302" spans="1:8">
      <c r="A302" t="str">
        <f t="shared" si="9"/>
        <v>C0301</v>
      </c>
      <c r="H302" t="str">
        <f t="shared" si="10"/>
        <v>Young Adult</v>
      </c>
    </row>
    <row r="303" spans="1:8">
      <c r="A303" t="str">
        <f t="shared" si="9"/>
        <v>C0302</v>
      </c>
      <c r="H303" t="str">
        <f t="shared" si="10"/>
        <v>Young Adult</v>
      </c>
    </row>
    <row r="304" spans="1:8">
      <c r="A304" t="str">
        <f t="shared" si="9"/>
        <v>C0303</v>
      </c>
      <c r="H304" t="str">
        <f t="shared" si="10"/>
        <v>Young Adult</v>
      </c>
    </row>
    <row r="305" spans="1:8">
      <c r="A305" t="str">
        <f t="shared" si="9"/>
        <v>C0304</v>
      </c>
      <c r="H305" t="str">
        <f t="shared" si="10"/>
        <v>Young Adult</v>
      </c>
    </row>
    <row r="306" spans="1:8">
      <c r="A306" t="str">
        <f t="shared" si="9"/>
        <v>C0305</v>
      </c>
      <c r="H306" t="str">
        <f t="shared" si="10"/>
        <v>Young Adult</v>
      </c>
    </row>
    <row r="307" spans="1:8">
      <c r="A307" t="str">
        <f t="shared" si="9"/>
        <v>C0306</v>
      </c>
      <c r="H307" t="str">
        <f t="shared" si="10"/>
        <v>Young Adult</v>
      </c>
    </row>
    <row r="308" spans="1:8">
      <c r="A308" t="str">
        <f t="shared" si="9"/>
        <v>C0307</v>
      </c>
      <c r="H308" t="str">
        <f t="shared" si="10"/>
        <v>Young Adult</v>
      </c>
    </row>
    <row r="309" spans="1:8">
      <c r="A309" t="str">
        <f t="shared" si="9"/>
        <v>C0308</v>
      </c>
      <c r="H309" t="str">
        <f t="shared" si="10"/>
        <v>Young Adult</v>
      </c>
    </row>
    <row r="310" spans="1:8">
      <c r="A310" t="str">
        <f t="shared" si="9"/>
        <v>C0309</v>
      </c>
      <c r="H310" t="str">
        <f t="shared" si="10"/>
        <v>Young Adult</v>
      </c>
    </row>
    <row r="311" spans="1:8">
      <c r="A311" t="str">
        <f t="shared" si="9"/>
        <v>C0310</v>
      </c>
      <c r="H311" t="str">
        <f t="shared" si="10"/>
        <v>Young Adult</v>
      </c>
    </row>
    <row r="312" spans="1:8">
      <c r="A312" t="str">
        <f t="shared" si="9"/>
        <v>C0311</v>
      </c>
      <c r="H312" t="str">
        <f t="shared" si="10"/>
        <v>Young Adult</v>
      </c>
    </row>
    <row r="313" spans="1:8">
      <c r="A313" t="str">
        <f t="shared" si="9"/>
        <v>C0312</v>
      </c>
      <c r="H313" t="str">
        <f t="shared" si="10"/>
        <v>Young Adult</v>
      </c>
    </row>
    <row r="314" spans="1:8">
      <c r="A314" t="str">
        <f t="shared" si="9"/>
        <v>C0313</v>
      </c>
      <c r="H314" t="str">
        <f t="shared" si="10"/>
        <v>Young Adult</v>
      </c>
    </row>
    <row r="315" spans="1:8">
      <c r="A315" t="str">
        <f t="shared" si="9"/>
        <v>C0314</v>
      </c>
      <c r="H315" t="str">
        <f t="shared" si="10"/>
        <v>Young Adult</v>
      </c>
    </row>
    <row r="316" spans="1:8">
      <c r="A316" t="str">
        <f t="shared" si="9"/>
        <v>C0315</v>
      </c>
      <c r="H316" t="str">
        <f t="shared" si="10"/>
        <v>Young Adult</v>
      </c>
    </row>
    <row r="317" spans="1:8">
      <c r="A317" t="str">
        <f t="shared" si="9"/>
        <v>C0316</v>
      </c>
      <c r="H317" t="str">
        <f t="shared" si="10"/>
        <v>Young Adult</v>
      </c>
    </row>
    <row r="318" spans="1:8">
      <c r="A318" t="str">
        <f t="shared" si="9"/>
        <v>C0317</v>
      </c>
      <c r="H318" t="str">
        <f t="shared" si="10"/>
        <v>Young Adult</v>
      </c>
    </row>
    <row r="319" spans="1:8">
      <c r="A319" t="str">
        <f t="shared" si="9"/>
        <v>C0318</v>
      </c>
      <c r="H319" t="str">
        <f t="shared" si="10"/>
        <v>Young Adult</v>
      </c>
    </row>
    <row r="320" spans="1:8">
      <c r="A320" t="str">
        <f t="shared" si="9"/>
        <v>C0319</v>
      </c>
      <c r="H320" t="str">
        <f t="shared" si="10"/>
        <v>Young Adult</v>
      </c>
    </row>
    <row r="321" spans="1:8">
      <c r="A321" t="str">
        <f t="shared" si="9"/>
        <v>C0320</v>
      </c>
      <c r="H321" t="str">
        <f t="shared" si="10"/>
        <v>Young Adult</v>
      </c>
    </row>
    <row r="322" spans="1:8">
      <c r="A322" t="str">
        <f t="shared" ref="A322:A385" si="11">"C"&amp;TEXT(ROW()-1,"0000")</f>
        <v>C0321</v>
      </c>
      <c r="H322" t="str">
        <f t="shared" ref="H322:H385" si="12">IF(C322&lt;30,"Young Adult","Older")</f>
        <v>Young Adult</v>
      </c>
    </row>
    <row r="323" spans="1:8">
      <c r="A323" t="str">
        <f t="shared" si="11"/>
        <v>C0322</v>
      </c>
      <c r="H323" t="str">
        <f t="shared" si="12"/>
        <v>Young Adult</v>
      </c>
    </row>
    <row r="324" spans="1:8">
      <c r="A324" t="str">
        <f t="shared" si="11"/>
        <v>C0323</v>
      </c>
      <c r="H324" t="str">
        <f t="shared" si="12"/>
        <v>Young Adult</v>
      </c>
    </row>
    <row r="325" spans="1:8">
      <c r="A325" t="str">
        <f t="shared" si="11"/>
        <v>C0324</v>
      </c>
      <c r="H325" t="str">
        <f t="shared" si="12"/>
        <v>Young Adult</v>
      </c>
    </row>
    <row r="326" spans="1:8">
      <c r="A326" t="str">
        <f t="shared" si="11"/>
        <v>C0325</v>
      </c>
      <c r="H326" t="str">
        <f t="shared" si="12"/>
        <v>Young Adult</v>
      </c>
    </row>
    <row r="327" spans="1:8">
      <c r="A327" t="str">
        <f t="shared" si="11"/>
        <v>C0326</v>
      </c>
      <c r="H327" t="str">
        <f t="shared" si="12"/>
        <v>Young Adult</v>
      </c>
    </row>
    <row r="328" spans="1:8">
      <c r="A328" t="str">
        <f t="shared" si="11"/>
        <v>C0327</v>
      </c>
      <c r="H328" t="str">
        <f t="shared" si="12"/>
        <v>Young Adult</v>
      </c>
    </row>
    <row r="329" spans="1:8">
      <c r="A329" t="str">
        <f t="shared" si="11"/>
        <v>C0328</v>
      </c>
      <c r="H329" t="str">
        <f t="shared" si="12"/>
        <v>Young Adult</v>
      </c>
    </row>
    <row r="330" spans="1:8">
      <c r="A330" t="str">
        <f t="shared" si="11"/>
        <v>C0329</v>
      </c>
      <c r="H330" t="str">
        <f t="shared" si="12"/>
        <v>Young Adult</v>
      </c>
    </row>
    <row r="331" spans="1:8">
      <c r="A331" t="str">
        <f t="shared" si="11"/>
        <v>C0330</v>
      </c>
      <c r="H331" t="str">
        <f t="shared" si="12"/>
        <v>Young Adult</v>
      </c>
    </row>
    <row r="332" spans="1:8">
      <c r="A332" t="str">
        <f t="shared" si="11"/>
        <v>C0331</v>
      </c>
      <c r="H332" t="str">
        <f t="shared" si="12"/>
        <v>Young Adult</v>
      </c>
    </row>
    <row r="333" spans="1:8">
      <c r="A333" t="str">
        <f t="shared" si="11"/>
        <v>C0332</v>
      </c>
      <c r="H333" t="str">
        <f t="shared" si="12"/>
        <v>Young Adult</v>
      </c>
    </row>
    <row r="334" spans="1:8">
      <c r="A334" t="str">
        <f t="shared" si="11"/>
        <v>C0333</v>
      </c>
      <c r="H334" t="str">
        <f t="shared" si="12"/>
        <v>Young Adult</v>
      </c>
    </row>
    <row r="335" spans="1:8">
      <c r="A335" t="str">
        <f t="shared" si="11"/>
        <v>C0334</v>
      </c>
      <c r="H335" t="str">
        <f t="shared" si="12"/>
        <v>Young Adult</v>
      </c>
    </row>
    <row r="336" spans="1:8">
      <c r="A336" t="str">
        <f t="shared" si="11"/>
        <v>C0335</v>
      </c>
      <c r="H336" t="str">
        <f t="shared" si="12"/>
        <v>Young Adult</v>
      </c>
    </row>
    <row r="337" spans="1:8">
      <c r="A337" t="str">
        <f t="shared" si="11"/>
        <v>C0336</v>
      </c>
      <c r="H337" t="str">
        <f t="shared" si="12"/>
        <v>Young Adult</v>
      </c>
    </row>
    <row r="338" spans="1:8">
      <c r="A338" t="str">
        <f t="shared" si="11"/>
        <v>C0337</v>
      </c>
      <c r="H338" t="str">
        <f t="shared" si="12"/>
        <v>Young Adult</v>
      </c>
    </row>
    <row r="339" spans="1:8">
      <c r="A339" t="str">
        <f t="shared" si="11"/>
        <v>C0338</v>
      </c>
      <c r="H339" t="str">
        <f t="shared" si="12"/>
        <v>Young Adult</v>
      </c>
    </row>
    <row r="340" spans="1:8">
      <c r="A340" t="str">
        <f t="shared" si="11"/>
        <v>C0339</v>
      </c>
      <c r="H340" t="str">
        <f t="shared" si="12"/>
        <v>Young Adult</v>
      </c>
    </row>
    <row r="341" spans="1:8">
      <c r="A341" t="str">
        <f t="shared" si="11"/>
        <v>C0340</v>
      </c>
      <c r="H341" t="str">
        <f t="shared" si="12"/>
        <v>Young Adult</v>
      </c>
    </row>
    <row r="342" spans="1:8">
      <c r="A342" t="str">
        <f t="shared" si="11"/>
        <v>C0341</v>
      </c>
      <c r="H342" t="str">
        <f t="shared" si="12"/>
        <v>Young Adult</v>
      </c>
    </row>
    <row r="343" spans="1:8">
      <c r="A343" t="str">
        <f t="shared" si="11"/>
        <v>C0342</v>
      </c>
      <c r="H343" t="str">
        <f t="shared" si="12"/>
        <v>Young Adult</v>
      </c>
    </row>
    <row r="344" spans="1:8">
      <c r="A344" t="str">
        <f t="shared" si="11"/>
        <v>C0343</v>
      </c>
      <c r="H344" t="str">
        <f t="shared" si="12"/>
        <v>Young Adult</v>
      </c>
    </row>
    <row r="345" spans="1:8">
      <c r="A345" t="str">
        <f t="shared" si="11"/>
        <v>C0344</v>
      </c>
      <c r="H345" t="str">
        <f t="shared" si="12"/>
        <v>Young Adult</v>
      </c>
    </row>
    <row r="346" spans="1:8">
      <c r="A346" t="str">
        <f t="shared" si="11"/>
        <v>C0345</v>
      </c>
      <c r="H346" t="str">
        <f t="shared" si="12"/>
        <v>Young Adult</v>
      </c>
    </row>
    <row r="347" spans="1:8">
      <c r="A347" t="str">
        <f t="shared" si="11"/>
        <v>C0346</v>
      </c>
      <c r="H347" t="str">
        <f t="shared" si="12"/>
        <v>Young Adult</v>
      </c>
    </row>
    <row r="348" spans="1:8">
      <c r="A348" t="str">
        <f t="shared" si="11"/>
        <v>C0347</v>
      </c>
      <c r="H348" t="str">
        <f t="shared" si="12"/>
        <v>Young Adult</v>
      </c>
    </row>
    <row r="349" spans="1:8">
      <c r="A349" t="str">
        <f t="shared" si="11"/>
        <v>C0348</v>
      </c>
      <c r="H349" t="str">
        <f t="shared" si="12"/>
        <v>Young Adult</v>
      </c>
    </row>
    <row r="350" spans="1:8">
      <c r="A350" t="str">
        <f t="shared" si="11"/>
        <v>C0349</v>
      </c>
      <c r="H350" t="str">
        <f t="shared" si="12"/>
        <v>Young Adult</v>
      </c>
    </row>
    <row r="351" spans="1:8">
      <c r="A351" t="str">
        <f t="shared" si="11"/>
        <v>C0350</v>
      </c>
      <c r="H351" t="str">
        <f t="shared" si="12"/>
        <v>Young Adult</v>
      </c>
    </row>
    <row r="352" spans="1:8">
      <c r="A352" t="str">
        <f t="shared" si="11"/>
        <v>C0351</v>
      </c>
      <c r="H352" t="str">
        <f t="shared" si="12"/>
        <v>Young Adult</v>
      </c>
    </row>
    <row r="353" spans="1:8">
      <c r="A353" t="str">
        <f t="shared" si="11"/>
        <v>C0352</v>
      </c>
      <c r="H353" t="str">
        <f t="shared" si="12"/>
        <v>Young Adult</v>
      </c>
    </row>
    <row r="354" spans="1:8">
      <c r="A354" t="str">
        <f t="shared" si="11"/>
        <v>C0353</v>
      </c>
      <c r="H354" t="str">
        <f t="shared" si="12"/>
        <v>Young Adult</v>
      </c>
    </row>
    <row r="355" spans="1:8">
      <c r="A355" t="str">
        <f t="shared" si="11"/>
        <v>C0354</v>
      </c>
      <c r="H355" t="str">
        <f t="shared" si="12"/>
        <v>Young Adult</v>
      </c>
    </row>
    <row r="356" spans="1:8">
      <c r="A356" t="str">
        <f t="shared" si="11"/>
        <v>C0355</v>
      </c>
      <c r="H356" t="str">
        <f t="shared" si="12"/>
        <v>Young Adult</v>
      </c>
    </row>
    <row r="357" spans="1:8">
      <c r="A357" t="str">
        <f t="shared" si="11"/>
        <v>C0356</v>
      </c>
      <c r="H357" t="str">
        <f t="shared" si="12"/>
        <v>Young Adult</v>
      </c>
    </row>
    <row r="358" spans="1:8">
      <c r="A358" t="str">
        <f t="shared" si="11"/>
        <v>C0357</v>
      </c>
      <c r="H358" t="str">
        <f t="shared" si="12"/>
        <v>Young Adult</v>
      </c>
    </row>
    <row r="359" spans="1:8">
      <c r="A359" t="str">
        <f t="shared" si="11"/>
        <v>C0358</v>
      </c>
      <c r="H359" t="str">
        <f t="shared" si="12"/>
        <v>Young Adult</v>
      </c>
    </row>
    <row r="360" spans="1:8">
      <c r="A360" t="str">
        <f t="shared" si="11"/>
        <v>C0359</v>
      </c>
      <c r="H360" t="str">
        <f t="shared" si="12"/>
        <v>Young Adult</v>
      </c>
    </row>
    <row r="361" spans="1:8">
      <c r="A361" t="str">
        <f t="shared" si="11"/>
        <v>C0360</v>
      </c>
      <c r="H361" t="str">
        <f t="shared" si="12"/>
        <v>Young Adult</v>
      </c>
    </row>
    <row r="362" spans="1:8">
      <c r="A362" t="str">
        <f t="shared" si="11"/>
        <v>C0361</v>
      </c>
      <c r="H362" t="str">
        <f t="shared" si="12"/>
        <v>Young Adult</v>
      </c>
    </row>
    <row r="363" spans="1:8">
      <c r="A363" t="str">
        <f t="shared" si="11"/>
        <v>C0362</v>
      </c>
      <c r="H363" t="str">
        <f t="shared" si="12"/>
        <v>Young Adult</v>
      </c>
    </row>
    <row r="364" spans="1:8">
      <c r="A364" t="str">
        <f t="shared" si="11"/>
        <v>C0363</v>
      </c>
      <c r="H364" t="str">
        <f t="shared" si="12"/>
        <v>Young Adult</v>
      </c>
    </row>
    <row r="365" spans="1:8">
      <c r="A365" t="str">
        <f t="shared" si="11"/>
        <v>C0364</v>
      </c>
      <c r="H365" t="str">
        <f t="shared" si="12"/>
        <v>Young Adult</v>
      </c>
    </row>
    <row r="366" spans="1:8">
      <c r="A366" t="str">
        <f t="shared" si="11"/>
        <v>C0365</v>
      </c>
      <c r="H366" t="str">
        <f t="shared" si="12"/>
        <v>Young Adult</v>
      </c>
    </row>
    <row r="367" spans="1:8">
      <c r="A367" t="str">
        <f t="shared" si="11"/>
        <v>C0366</v>
      </c>
      <c r="H367" t="str">
        <f t="shared" si="12"/>
        <v>Young Adult</v>
      </c>
    </row>
    <row r="368" spans="1:8">
      <c r="A368" t="str">
        <f t="shared" si="11"/>
        <v>C0367</v>
      </c>
      <c r="H368" t="str">
        <f t="shared" si="12"/>
        <v>Young Adult</v>
      </c>
    </row>
    <row r="369" spans="1:8">
      <c r="A369" t="str">
        <f t="shared" si="11"/>
        <v>C0368</v>
      </c>
      <c r="H369" t="str">
        <f t="shared" si="12"/>
        <v>Young Adult</v>
      </c>
    </row>
    <row r="370" spans="1:8">
      <c r="A370" t="str">
        <f t="shared" si="11"/>
        <v>C0369</v>
      </c>
      <c r="H370" t="str">
        <f t="shared" si="12"/>
        <v>Young Adult</v>
      </c>
    </row>
    <row r="371" spans="1:8">
      <c r="A371" t="str">
        <f t="shared" si="11"/>
        <v>C0370</v>
      </c>
      <c r="H371" t="str">
        <f t="shared" si="12"/>
        <v>Young Adult</v>
      </c>
    </row>
    <row r="372" spans="1:8">
      <c r="A372" t="str">
        <f t="shared" si="11"/>
        <v>C0371</v>
      </c>
      <c r="H372" t="str">
        <f t="shared" si="12"/>
        <v>Young Adult</v>
      </c>
    </row>
    <row r="373" spans="1:8">
      <c r="A373" t="str">
        <f t="shared" si="11"/>
        <v>C0372</v>
      </c>
      <c r="H373" t="str">
        <f t="shared" si="12"/>
        <v>Young Adult</v>
      </c>
    </row>
    <row r="374" spans="1:8">
      <c r="A374" t="str">
        <f t="shared" si="11"/>
        <v>C0373</v>
      </c>
      <c r="H374" t="str">
        <f t="shared" si="12"/>
        <v>Young Adult</v>
      </c>
    </row>
    <row r="375" spans="1:8">
      <c r="A375" t="str">
        <f t="shared" si="11"/>
        <v>C0374</v>
      </c>
      <c r="H375" t="str">
        <f t="shared" si="12"/>
        <v>Young Adult</v>
      </c>
    </row>
    <row r="376" spans="1:8">
      <c r="A376" t="str">
        <f t="shared" si="11"/>
        <v>C0375</v>
      </c>
      <c r="H376" t="str">
        <f t="shared" si="12"/>
        <v>Young Adult</v>
      </c>
    </row>
    <row r="377" spans="1:8">
      <c r="A377" t="str">
        <f t="shared" si="11"/>
        <v>C0376</v>
      </c>
      <c r="H377" t="str">
        <f t="shared" si="12"/>
        <v>Young Adult</v>
      </c>
    </row>
    <row r="378" spans="1:8">
      <c r="A378" t="str">
        <f t="shared" si="11"/>
        <v>C0377</v>
      </c>
      <c r="H378" t="str">
        <f t="shared" si="12"/>
        <v>Young Adult</v>
      </c>
    </row>
    <row r="379" spans="1:8">
      <c r="A379" t="str">
        <f t="shared" si="11"/>
        <v>C0378</v>
      </c>
      <c r="H379" t="str">
        <f t="shared" si="12"/>
        <v>Young Adult</v>
      </c>
    </row>
    <row r="380" spans="1:8">
      <c r="A380" t="str">
        <f t="shared" si="11"/>
        <v>C0379</v>
      </c>
      <c r="H380" t="str">
        <f t="shared" si="12"/>
        <v>Young Adult</v>
      </c>
    </row>
    <row r="381" spans="1:8">
      <c r="A381" t="str">
        <f t="shared" si="11"/>
        <v>C0380</v>
      </c>
      <c r="H381" t="str">
        <f t="shared" si="12"/>
        <v>Young Adult</v>
      </c>
    </row>
    <row r="382" spans="1:8">
      <c r="A382" t="str">
        <f t="shared" si="11"/>
        <v>C0381</v>
      </c>
      <c r="H382" t="str">
        <f t="shared" si="12"/>
        <v>Young Adult</v>
      </c>
    </row>
    <row r="383" spans="1:8">
      <c r="A383" t="str">
        <f t="shared" si="11"/>
        <v>C0382</v>
      </c>
      <c r="H383" t="str">
        <f t="shared" si="12"/>
        <v>Young Adult</v>
      </c>
    </row>
    <row r="384" spans="1:8">
      <c r="A384" t="str">
        <f t="shared" si="11"/>
        <v>C0383</v>
      </c>
      <c r="H384" t="str">
        <f t="shared" si="12"/>
        <v>Young Adult</v>
      </c>
    </row>
    <row r="385" spans="1:8">
      <c r="A385" t="str">
        <f t="shared" si="11"/>
        <v>C0384</v>
      </c>
      <c r="H385" t="str">
        <f t="shared" si="12"/>
        <v>Young Adult</v>
      </c>
    </row>
    <row r="386" spans="1:8">
      <c r="A386" t="str">
        <f t="shared" ref="A386:A449" si="13">"C"&amp;TEXT(ROW()-1,"0000")</f>
        <v>C0385</v>
      </c>
      <c r="H386" t="str">
        <f t="shared" ref="H386:H449" si="14">IF(C386&lt;30,"Young Adult","Older")</f>
        <v>Young Adult</v>
      </c>
    </row>
    <row r="387" spans="1:8">
      <c r="A387" t="str">
        <f t="shared" si="13"/>
        <v>C0386</v>
      </c>
      <c r="H387" t="str">
        <f t="shared" si="14"/>
        <v>Young Adult</v>
      </c>
    </row>
    <row r="388" spans="1:8">
      <c r="A388" t="str">
        <f t="shared" si="13"/>
        <v>C0387</v>
      </c>
      <c r="H388" t="str">
        <f t="shared" si="14"/>
        <v>Young Adult</v>
      </c>
    </row>
    <row r="389" spans="1:8">
      <c r="A389" t="str">
        <f t="shared" si="13"/>
        <v>C0388</v>
      </c>
      <c r="H389" t="str">
        <f t="shared" si="14"/>
        <v>Young Adult</v>
      </c>
    </row>
    <row r="390" spans="1:8">
      <c r="A390" t="str">
        <f t="shared" si="13"/>
        <v>C0389</v>
      </c>
      <c r="H390" t="str">
        <f t="shared" si="14"/>
        <v>Young Adult</v>
      </c>
    </row>
    <row r="391" spans="1:8">
      <c r="A391" t="str">
        <f t="shared" si="13"/>
        <v>C0390</v>
      </c>
      <c r="H391" t="str">
        <f t="shared" si="14"/>
        <v>Young Adult</v>
      </c>
    </row>
    <row r="392" spans="1:8">
      <c r="A392" t="str">
        <f t="shared" si="13"/>
        <v>C0391</v>
      </c>
      <c r="H392" t="str">
        <f t="shared" si="14"/>
        <v>Young Adult</v>
      </c>
    </row>
    <row r="393" spans="1:8">
      <c r="A393" t="str">
        <f t="shared" si="13"/>
        <v>C0392</v>
      </c>
      <c r="H393" t="str">
        <f t="shared" si="14"/>
        <v>Young Adult</v>
      </c>
    </row>
    <row r="394" spans="1:8">
      <c r="A394" t="str">
        <f t="shared" si="13"/>
        <v>C0393</v>
      </c>
      <c r="H394" t="str">
        <f t="shared" si="14"/>
        <v>Young Adult</v>
      </c>
    </row>
    <row r="395" spans="1:8">
      <c r="A395" t="str">
        <f t="shared" si="13"/>
        <v>C0394</v>
      </c>
      <c r="H395" t="str">
        <f t="shared" si="14"/>
        <v>Young Adult</v>
      </c>
    </row>
    <row r="396" spans="1:8">
      <c r="A396" t="str">
        <f t="shared" si="13"/>
        <v>C0395</v>
      </c>
      <c r="H396" t="str">
        <f t="shared" si="14"/>
        <v>Young Adult</v>
      </c>
    </row>
    <row r="397" spans="1:8">
      <c r="A397" t="str">
        <f t="shared" si="13"/>
        <v>C0396</v>
      </c>
      <c r="H397" t="str">
        <f t="shared" si="14"/>
        <v>Young Adult</v>
      </c>
    </row>
    <row r="398" spans="1:8">
      <c r="A398" t="str">
        <f t="shared" si="13"/>
        <v>C0397</v>
      </c>
      <c r="H398" t="str">
        <f t="shared" si="14"/>
        <v>Young Adult</v>
      </c>
    </row>
    <row r="399" spans="1:8">
      <c r="A399" t="str">
        <f t="shared" si="13"/>
        <v>C0398</v>
      </c>
      <c r="H399" t="str">
        <f t="shared" si="14"/>
        <v>Young Adult</v>
      </c>
    </row>
    <row r="400" spans="1:8">
      <c r="A400" t="str">
        <f t="shared" si="13"/>
        <v>C0399</v>
      </c>
      <c r="H400" t="str">
        <f t="shared" si="14"/>
        <v>Young Adult</v>
      </c>
    </row>
    <row r="401" spans="1:8">
      <c r="A401" t="str">
        <f t="shared" si="13"/>
        <v>C0400</v>
      </c>
      <c r="H401" t="str">
        <f t="shared" si="14"/>
        <v>Young Adult</v>
      </c>
    </row>
    <row r="402" spans="1:8">
      <c r="A402" t="str">
        <f t="shared" si="13"/>
        <v>C0401</v>
      </c>
      <c r="H402" t="str">
        <f t="shared" si="14"/>
        <v>Young Adult</v>
      </c>
    </row>
    <row r="403" spans="1:8">
      <c r="A403" t="str">
        <f t="shared" si="13"/>
        <v>C0402</v>
      </c>
      <c r="H403" t="str">
        <f t="shared" si="14"/>
        <v>Young Adult</v>
      </c>
    </row>
    <row r="404" spans="1:8">
      <c r="A404" t="str">
        <f t="shared" si="13"/>
        <v>C0403</v>
      </c>
      <c r="H404" t="str">
        <f t="shared" si="14"/>
        <v>Young Adult</v>
      </c>
    </row>
    <row r="405" spans="1:8">
      <c r="A405" t="str">
        <f t="shared" si="13"/>
        <v>C0404</v>
      </c>
      <c r="H405" t="str">
        <f t="shared" si="14"/>
        <v>Young Adult</v>
      </c>
    </row>
    <row r="406" spans="1:8">
      <c r="A406" t="str">
        <f t="shared" si="13"/>
        <v>C0405</v>
      </c>
      <c r="H406" t="str">
        <f t="shared" si="14"/>
        <v>Young Adult</v>
      </c>
    </row>
    <row r="407" spans="1:8">
      <c r="A407" t="str">
        <f t="shared" si="13"/>
        <v>C0406</v>
      </c>
      <c r="H407" t="str">
        <f t="shared" si="14"/>
        <v>Young Adult</v>
      </c>
    </row>
    <row r="408" spans="1:8">
      <c r="A408" t="str">
        <f t="shared" si="13"/>
        <v>C0407</v>
      </c>
      <c r="H408" t="str">
        <f t="shared" si="14"/>
        <v>Young Adult</v>
      </c>
    </row>
    <row r="409" spans="1:8">
      <c r="A409" t="str">
        <f t="shared" si="13"/>
        <v>C0408</v>
      </c>
      <c r="H409" t="str">
        <f t="shared" si="14"/>
        <v>Young Adult</v>
      </c>
    </row>
    <row r="410" spans="1:8">
      <c r="A410" t="str">
        <f t="shared" si="13"/>
        <v>C0409</v>
      </c>
      <c r="H410" t="str">
        <f t="shared" si="14"/>
        <v>Young Adult</v>
      </c>
    </row>
    <row r="411" spans="1:8">
      <c r="A411" t="str">
        <f t="shared" si="13"/>
        <v>C0410</v>
      </c>
      <c r="H411" t="str">
        <f t="shared" si="14"/>
        <v>Young Adult</v>
      </c>
    </row>
    <row r="412" spans="1:8">
      <c r="A412" t="str">
        <f t="shared" si="13"/>
        <v>C0411</v>
      </c>
      <c r="H412" t="str">
        <f t="shared" si="14"/>
        <v>Young Adult</v>
      </c>
    </row>
    <row r="413" spans="1:8">
      <c r="A413" t="str">
        <f t="shared" si="13"/>
        <v>C0412</v>
      </c>
      <c r="H413" t="str">
        <f t="shared" si="14"/>
        <v>Young Adult</v>
      </c>
    </row>
    <row r="414" spans="1:8">
      <c r="A414" t="str">
        <f t="shared" si="13"/>
        <v>C0413</v>
      </c>
      <c r="H414" t="str">
        <f t="shared" si="14"/>
        <v>Young Adult</v>
      </c>
    </row>
    <row r="415" spans="1:8">
      <c r="A415" t="str">
        <f t="shared" si="13"/>
        <v>C0414</v>
      </c>
      <c r="H415" t="str">
        <f t="shared" si="14"/>
        <v>Young Adult</v>
      </c>
    </row>
    <row r="416" spans="1:8">
      <c r="A416" t="str">
        <f t="shared" si="13"/>
        <v>C0415</v>
      </c>
      <c r="H416" t="str">
        <f t="shared" si="14"/>
        <v>Young Adult</v>
      </c>
    </row>
    <row r="417" spans="1:8">
      <c r="A417" t="str">
        <f t="shared" si="13"/>
        <v>C0416</v>
      </c>
      <c r="H417" t="str">
        <f t="shared" si="14"/>
        <v>Young Adult</v>
      </c>
    </row>
    <row r="418" spans="1:8">
      <c r="A418" t="str">
        <f t="shared" si="13"/>
        <v>C0417</v>
      </c>
      <c r="H418" t="str">
        <f t="shared" si="14"/>
        <v>Young Adult</v>
      </c>
    </row>
    <row r="419" spans="1:8">
      <c r="A419" t="str">
        <f t="shared" si="13"/>
        <v>C0418</v>
      </c>
      <c r="H419" t="str">
        <f t="shared" si="14"/>
        <v>Young Adult</v>
      </c>
    </row>
    <row r="420" spans="1:8">
      <c r="A420" t="str">
        <f t="shared" si="13"/>
        <v>C0419</v>
      </c>
      <c r="H420" t="str">
        <f t="shared" si="14"/>
        <v>Young Adult</v>
      </c>
    </row>
    <row r="421" spans="1:8">
      <c r="A421" t="str">
        <f t="shared" si="13"/>
        <v>C0420</v>
      </c>
      <c r="H421" t="str">
        <f t="shared" si="14"/>
        <v>Young Adult</v>
      </c>
    </row>
    <row r="422" spans="1:8">
      <c r="A422" t="str">
        <f t="shared" si="13"/>
        <v>C0421</v>
      </c>
      <c r="H422" t="str">
        <f t="shared" si="14"/>
        <v>Young Adult</v>
      </c>
    </row>
    <row r="423" spans="1:8">
      <c r="A423" t="str">
        <f t="shared" si="13"/>
        <v>C0422</v>
      </c>
      <c r="H423" t="str">
        <f t="shared" si="14"/>
        <v>Young Adult</v>
      </c>
    </row>
    <row r="424" spans="1:8">
      <c r="A424" t="str">
        <f t="shared" si="13"/>
        <v>C0423</v>
      </c>
      <c r="H424" t="str">
        <f t="shared" si="14"/>
        <v>Young Adult</v>
      </c>
    </row>
    <row r="425" spans="1:8">
      <c r="A425" t="str">
        <f t="shared" si="13"/>
        <v>C0424</v>
      </c>
      <c r="H425" t="str">
        <f t="shared" si="14"/>
        <v>Young Adult</v>
      </c>
    </row>
    <row r="426" spans="1:8">
      <c r="A426" t="str">
        <f t="shared" si="13"/>
        <v>C0425</v>
      </c>
      <c r="H426" t="str">
        <f t="shared" si="14"/>
        <v>Young Adult</v>
      </c>
    </row>
    <row r="427" spans="1:8">
      <c r="A427" t="str">
        <f t="shared" si="13"/>
        <v>C0426</v>
      </c>
      <c r="H427" t="str">
        <f t="shared" si="14"/>
        <v>Young Adult</v>
      </c>
    </row>
    <row r="428" spans="1:8">
      <c r="A428" t="str">
        <f t="shared" si="13"/>
        <v>C0427</v>
      </c>
      <c r="H428" t="str">
        <f t="shared" si="14"/>
        <v>Young Adult</v>
      </c>
    </row>
    <row r="429" spans="1:8">
      <c r="A429" t="str">
        <f t="shared" si="13"/>
        <v>C0428</v>
      </c>
      <c r="H429" t="str">
        <f t="shared" si="14"/>
        <v>Young Adult</v>
      </c>
    </row>
    <row r="430" spans="1:8">
      <c r="A430" t="str">
        <f t="shared" si="13"/>
        <v>C0429</v>
      </c>
      <c r="H430" t="str">
        <f t="shared" si="14"/>
        <v>Young Adult</v>
      </c>
    </row>
    <row r="431" spans="1:8">
      <c r="A431" t="str">
        <f t="shared" si="13"/>
        <v>C0430</v>
      </c>
      <c r="H431" t="str">
        <f t="shared" si="14"/>
        <v>Young Adult</v>
      </c>
    </row>
    <row r="432" spans="1:8">
      <c r="A432" t="str">
        <f t="shared" si="13"/>
        <v>C0431</v>
      </c>
      <c r="H432" t="str">
        <f t="shared" si="14"/>
        <v>Young Adult</v>
      </c>
    </row>
    <row r="433" spans="1:8">
      <c r="A433" t="str">
        <f t="shared" si="13"/>
        <v>C0432</v>
      </c>
      <c r="H433" t="str">
        <f t="shared" si="14"/>
        <v>Young Adult</v>
      </c>
    </row>
    <row r="434" spans="1:8">
      <c r="A434" t="str">
        <f t="shared" si="13"/>
        <v>C0433</v>
      </c>
      <c r="H434" t="str">
        <f t="shared" si="14"/>
        <v>Young Adult</v>
      </c>
    </row>
    <row r="435" spans="1:8">
      <c r="A435" t="str">
        <f t="shared" si="13"/>
        <v>C0434</v>
      </c>
      <c r="H435" t="str">
        <f t="shared" si="14"/>
        <v>Young Adult</v>
      </c>
    </row>
    <row r="436" spans="1:8">
      <c r="A436" t="str">
        <f t="shared" si="13"/>
        <v>C0435</v>
      </c>
      <c r="H436" t="str">
        <f t="shared" si="14"/>
        <v>Young Adult</v>
      </c>
    </row>
    <row r="437" spans="1:8">
      <c r="A437" t="str">
        <f t="shared" si="13"/>
        <v>C0436</v>
      </c>
      <c r="H437" t="str">
        <f t="shared" si="14"/>
        <v>Young Adult</v>
      </c>
    </row>
    <row r="438" spans="1:8">
      <c r="A438" t="str">
        <f t="shared" si="13"/>
        <v>C0437</v>
      </c>
      <c r="H438" t="str">
        <f t="shared" si="14"/>
        <v>Young Adult</v>
      </c>
    </row>
    <row r="439" spans="1:8">
      <c r="A439" t="str">
        <f t="shared" si="13"/>
        <v>C0438</v>
      </c>
      <c r="H439" t="str">
        <f t="shared" si="14"/>
        <v>Young Adult</v>
      </c>
    </row>
    <row r="440" spans="1:8">
      <c r="A440" t="str">
        <f t="shared" si="13"/>
        <v>C0439</v>
      </c>
      <c r="H440" t="str">
        <f t="shared" si="14"/>
        <v>Young Adult</v>
      </c>
    </row>
    <row r="441" spans="1:8">
      <c r="A441" t="str">
        <f t="shared" si="13"/>
        <v>C0440</v>
      </c>
      <c r="H441" t="str">
        <f t="shared" si="14"/>
        <v>Young Adult</v>
      </c>
    </row>
    <row r="442" spans="1:8">
      <c r="A442" t="str">
        <f t="shared" si="13"/>
        <v>C0441</v>
      </c>
      <c r="H442" t="str">
        <f t="shared" si="14"/>
        <v>Young Adult</v>
      </c>
    </row>
    <row r="443" spans="1:8">
      <c r="A443" t="str">
        <f t="shared" si="13"/>
        <v>C0442</v>
      </c>
      <c r="H443" t="str">
        <f t="shared" si="14"/>
        <v>Young Adult</v>
      </c>
    </row>
    <row r="444" spans="1:8">
      <c r="A444" t="str">
        <f t="shared" si="13"/>
        <v>C0443</v>
      </c>
      <c r="H444" t="str">
        <f t="shared" si="14"/>
        <v>Young Adult</v>
      </c>
    </row>
    <row r="445" spans="1:8">
      <c r="A445" t="str">
        <f t="shared" si="13"/>
        <v>C0444</v>
      </c>
      <c r="H445" t="str">
        <f t="shared" si="14"/>
        <v>Young Adult</v>
      </c>
    </row>
    <row r="446" spans="1:8">
      <c r="A446" t="str">
        <f t="shared" si="13"/>
        <v>C0445</v>
      </c>
      <c r="H446" t="str">
        <f t="shared" si="14"/>
        <v>Young Adult</v>
      </c>
    </row>
    <row r="447" spans="1:8">
      <c r="A447" t="str">
        <f t="shared" si="13"/>
        <v>C0446</v>
      </c>
      <c r="H447" t="str">
        <f t="shared" si="14"/>
        <v>Young Adult</v>
      </c>
    </row>
    <row r="448" spans="1:8">
      <c r="A448" t="str">
        <f t="shared" si="13"/>
        <v>C0447</v>
      </c>
      <c r="H448" t="str">
        <f t="shared" si="14"/>
        <v>Young Adult</v>
      </c>
    </row>
    <row r="449" spans="1:8">
      <c r="A449" t="str">
        <f t="shared" si="13"/>
        <v>C0448</v>
      </c>
      <c r="H449" t="str">
        <f t="shared" si="14"/>
        <v>Young Adult</v>
      </c>
    </row>
    <row r="450" spans="1:8">
      <c r="A450" t="str">
        <f t="shared" ref="A450:A513" si="15">"C"&amp;TEXT(ROW()-1,"0000")</f>
        <v>C0449</v>
      </c>
      <c r="H450" t="str">
        <f t="shared" ref="H450:H513" si="16">IF(C450&lt;30,"Young Adult","Older")</f>
        <v>Young Adult</v>
      </c>
    </row>
    <row r="451" spans="1:8">
      <c r="A451" t="str">
        <f t="shared" si="15"/>
        <v>C0450</v>
      </c>
      <c r="H451" t="str">
        <f t="shared" si="16"/>
        <v>Young Adult</v>
      </c>
    </row>
    <row r="452" spans="1:8">
      <c r="A452" t="str">
        <f t="shared" si="15"/>
        <v>C0451</v>
      </c>
      <c r="H452" t="str">
        <f t="shared" si="16"/>
        <v>Young Adult</v>
      </c>
    </row>
    <row r="453" spans="1:8">
      <c r="A453" t="str">
        <f t="shared" si="15"/>
        <v>C0452</v>
      </c>
      <c r="H453" t="str">
        <f t="shared" si="16"/>
        <v>Young Adult</v>
      </c>
    </row>
    <row r="454" spans="1:8">
      <c r="A454" t="str">
        <f t="shared" si="15"/>
        <v>C0453</v>
      </c>
      <c r="H454" t="str">
        <f t="shared" si="16"/>
        <v>Young Adult</v>
      </c>
    </row>
    <row r="455" spans="1:8">
      <c r="A455" t="str">
        <f t="shared" si="15"/>
        <v>C0454</v>
      </c>
      <c r="H455" t="str">
        <f t="shared" si="16"/>
        <v>Young Adult</v>
      </c>
    </row>
    <row r="456" spans="1:8">
      <c r="A456" t="str">
        <f t="shared" si="15"/>
        <v>C0455</v>
      </c>
      <c r="H456" t="str">
        <f t="shared" si="16"/>
        <v>Young Adult</v>
      </c>
    </row>
    <row r="457" spans="1:8">
      <c r="A457" t="str">
        <f t="shared" si="15"/>
        <v>C0456</v>
      </c>
      <c r="H457" t="str">
        <f t="shared" si="16"/>
        <v>Young Adult</v>
      </c>
    </row>
    <row r="458" spans="1:8">
      <c r="A458" t="str">
        <f t="shared" si="15"/>
        <v>C0457</v>
      </c>
      <c r="H458" t="str">
        <f t="shared" si="16"/>
        <v>Young Adult</v>
      </c>
    </row>
    <row r="459" spans="1:8">
      <c r="A459" t="str">
        <f t="shared" si="15"/>
        <v>C0458</v>
      </c>
      <c r="H459" t="str">
        <f t="shared" si="16"/>
        <v>Young Adult</v>
      </c>
    </row>
    <row r="460" spans="1:8">
      <c r="A460" t="str">
        <f t="shared" si="15"/>
        <v>C0459</v>
      </c>
      <c r="H460" t="str">
        <f t="shared" si="16"/>
        <v>Young Adult</v>
      </c>
    </row>
    <row r="461" spans="1:8">
      <c r="A461" t="str">
        <f t="shared" si="15"/>
        <v>C0460</v>
      </c>
      <c r="H461" t="str">
        <f t="shared" si="16"/>
        <v>Young Adult</v>
      </c>
    </row>
    <row r="462" spans="1:8">
      <c r="A462" t="str">
        <f t="shared" si="15"/>
        <v>C0461</v>
      </c>
      <c r="H462" t="str">
        <f t="shared" si="16"/>
        <v>Young Adult</v>
      </c>
    </row>
    <row r="463" spans="1:8">
      <c r="A463" t="str">
        <f t="shared" si="15"/>
        <v>C0462</v>
      </c>
      <c r="H463" t="str">
        <f t="shared" si="16"/>
        <v>Young Adult</v>
      </c>
    </row>
    <row r="464" spans="1:8">
      <c r="A464" t="str">
        <f t="shared" si="15"/>
        <v>C0463</v>
      </c>
      <c r="H464" t="str">
        <f t="shared" si="16"/>
        <v>Young Adult</v>
      </c>
    </row>
    <row r="465" spans="1:8">
      <c r="A465" t="str">
        <f t="shared" si="15"/>
        <v>C0464</v>
      </c>
      <c r="H465" t="str">
        <f t="shared" si="16"/>
        <v>Young Adult</v>
      </c>
    </row>
    <row r="466" spans="1:8">
      <c r="A466" t="str">
        <f t="shared" si="15"/>
        <v>C0465</v>
      </c>
      <c r="H466" t="str">
        <f t="shared" si="16"/>
        <v>Young Adult</v>
      </c>
    </row>
    <row r="467" spans="1:8">
      <c r="A467" t="str">
        <f t="shared" si="15"/>
        <v>C0466</v>
      </c>
      <c r="H467" t="str">
        <f t="shared" si="16"/>
        <v>Young Adult</v>
      </c>
    </row>
    <row r="468" spans="1:8">
      <c r="A468" t="str">
        <f t="shared" si="15"/>
        <v>C0467</v>
      </c>
      <c r="H468" t="str">
        <f t="shared" si="16"/>
        <v>Young Adult</v>
      </c>
    </row>
    <row r="469" spans="1:8">
      <c r="A469" t="str">
        <f t="shared" si="15"/>
        <v>C0468</v>
      </c>
      <c r="H469" t="str">
        <f t="shared" si="16"/>
        <v>Young Adult</v>
      </c>
    </row>
    <row r="470" spans="1:8">
      <c r="A470" t="str">
        <f t="shared" si="15"/>
        <v>C0469</v>
      </c>
      <c r="H470" t="str">
        <f t="shared" si="16"/>
        <v>Young Adult</v>
      </c>
    </row>
    <row r="471" spans="1:8">
      <c r="A471" t="str">
        <f t="shared" si="15"/>
        <v>C0470</v>
      </c>
      <c r="H471" t="str">
        <f t="shared" si="16"/>
        <v>Young Adult</v>
      </c>
    </row>
    <row r="472" spans="1:8">
      <c r="A472" t="str">
        <f t="shared" si="15"/>
        <v>C0471</v>
      </c>
      <c r="H472" t="str">
        <f t="shared" si="16"/>
        <v>Young Adult</v>
      </c>
    </row>
    <row r="473" spans="1:8">
      <c r="A473" t="str">
        <f t="shared" si="15"/>
        <v>C0472</v>
      </c>
      <c r="H473" t="str">
        <f t="shared" si="16"/>
        <v>Young Adult</v>
      </c>
    </row>
    <row r="474" spans="1:8">
      <c r="A474" t="str">
        <f t="shared" si="15"/>
        <v>C0473</v>
      </c>
      <c r="H474" t="str">
        <f t="shared" si="16"/>
        <v>Young Adult</v>
      </c>
    </row>
    <row r="475" spans="1:8">
      <c r="A475" t="str">
        <f t="shared" si="15"/>
        <v>C0474</v>
      </c>
      <c r="H475" t="str">
        <f t="shared" si="16"/>
        <v>Young Adult</v>
      </c>
    </row>
    <row r="476" spans="1:8">
      <c r="A476" t="str">
        <f t="shared" si="15"/>
        <v>C0475</v>
      </c>
      <c r="H476" t="str">
        <f t="shared" si="16"/>
        <v>Young Adult</v>
      </c>
    </row>
    <row r="477" spans="1:8">
      <c r="A477" t="str">
        <f t="shared" si="15"/>
        <v>C0476</v>
      </c>
      <c r="H477" t="str">
        <f t="shared" si="16"/>
        <v>Young Adult</v>
      </c>
    </row>
    <row r="478" spans="1:8">
      <c r="A478" t="str">
        <f t="shared" si="15"/>
        <v>C0477</v>
      </c>
      <c r="H478" t="str">
        <f t="shared" si="16"/>
        <v>Young Adult</v>
      </c>
    </row>
    <row r="479" spans="1:8">
      <c r="A479" t="str">
        <f t="shared" si="15"/>
        <v>C0478</v>
      </c>
      <c r="H479" t="str">
        <f t="shared" si="16"/>
        <v>Young Adult</v>
      </c>
    </row>
    <row r="480" spans="1:8">
      <c r="A480" t="str">
        <f t="shared" si="15"/>
        <v>C0479</v>
      </c>
      <c r="H480" t="str">
        <f t="shared" si="16"/>
        <v>Young Adult</v>
      </c>
    </row>
    <row r="481" spans="1:8">
      <c r="A481" t="str">
        <f t="shared" si="15"/>
        <v>C0480</v>
      </c>
      <c r="H481" t="str">
        <f t="shared" si="16"/>
        <v>Young Adult</v>
      </c>
    </row>
    <row r="482" spans="1:8">
      <c r="A482" t="str">
        <f t="shared" si="15"/>
        <v>C0481</v>
      </c>
      <c r="H482" t="str">
        <f t="shared" si="16"/>
        <v>Young Adult</v>
      </c>
    </row>
    <row r="483" spans="1:8">
      <c r="A483" t="str">
        <f t="shared" si="15"/>
        <v>C0482</v>
      </c>
      <c r="H483" t="str">
        <f t="shared" si="16"/>
        <v>Young Adult</v>
      </c>
    </row>
    <row r="484" spans="1:8">
      <c r="A484" t="str">
        <f t="shared" si="15"/>
        <v>C0483</v>
      </c>
      <c r="H484" t="str">
        <f t="shared" si="16"/>
        <v>Young Adult</v>
      </c>
    </row>
    <row r="485" spans="1:8">
      <c r="A485" t="str">
        <f t="shared" si="15"/>
        <v>C0484</v>
      </c>
      <c r="H485" t="str">
        <f t="shared" si="16"/>
        <v>Young Adult</v>
      </c>
    </row>
    <row r="486" spans="1:8">
      <c r="A486" t="str">
        <f t="shared" si="15"/>
        <v>C0485</v>
      </c>
      <c r="H486" t="str">
        <f t="shared" si="16"/>
        <v>Young Adult</v>
      </c>
    </row>
    <row r="487" spans="1:8">
      <c r="A487" t="str">
        <f t="shared" si="15"/>
        <v>C0486</v>
      </c>
      <c r="H487" t="str">
        <f t="shared" si="16"/>
        <v>Young Adult</v>
      </c>
    </row>
    <row r="488" spans="1:8">
      <c r="A488" t="str">
        <f t="shared" si="15"/>
        <v>C0487</v>
      </c>
      <c r="H488" t="str">
        <f t="shared" si="16"/>
        <v>Young Adult</v>
      </c>
    </row>
    <row r="489" spans="1:8">
      <c r="A489" t="str">
        <f t="shared" si="15"/>
        <v>C0488</v>
      </c>
      <c r="H489" t="str">
        <f t="shared" si="16"/>
        <v>Young Adult</v>
      </c>
    </row>
    <row r="490" spans="1:8">
      <c r="A490" t="str">
        <f t="shared" si="15"/>
        <v>C0489</v>
      </c>
      <c r="H490" t="str">
        <f t="shared" si="16"/>
        <v>Young Adult</v>
      </c>
    </row>
    <row r="491" spans="1:8">
      <c r="A491" t="str">
        <f t="shared" si="15"/>
        <v>C0490</v>
      </c>
      <c r="H491" t="str">
        <f t="shared" si="16"/>
        <v>Young Adult</v>
      </c>
    </row>
    <row r="492" spans="1:8">
      <c r="A492" t="str">
        <f t="shared" si="15"/>
        <v>C0491</v>
      </c>
      <c r="H492" t="str">
        <f t="shared" si="16"/>
        <v>Young Adult</v>
      </c>
    </row>
    <row r="493" spans="1:8">
      <c r="A493" t="str">
        <f t="shared" si="15"/>
        <v>C0492</v>
      </c>
      <c r="H493" t="str">
        <f t="shared" si="16"/>
        <v>Young Adult</v>
      </c>
    </row>
    <row r="494" spans="1:8">
      <c r="A494" t="str">
        <f t="shared" si="15"/>
        <v>C0493</v>
      </c>
      <c r="H494" t="str">
        <f t="shared" si="16"/>
        <v>Young Adult</v>
      </c>
    </row>
    <row r="495" spans="1:8">
      <c r="A495" t="str">
        <f t="shared" si="15"/>
        <v>C0494</v>
      </c>
      <c r="H495" t="str">
        <f t="shared" si="16"/>
        <v>Young Adult</v>
      </c>
    </row>
    <row r="496" spans="1:8">
      <c r="A496" t="str">
        <f t="shared" si="15"/>
        <v>C0495</v>
      </c>
      <c r="H496" t="str">
        <f t="shared" si="16"/>
        <v>Young Adult</v>
      </c>
    </row>
    <row r="497" spans="1:8">
      <c r="A497" t="str">
        <f t="shared" si="15"/>
        <v>C0496</v>
      </c>
      <c r="H497" t="str">
        <f t="shared" si="16"/>
        <v>Young Adult</v>
      </c>
    </row>
    <row r="498" spans="1:8">
      <c r="A498" t="str">
        <f t="shared" si="15"/>
        <v>C0497</v>
      </c>
      <c r="H498" t="str">
        <f t="shared" si="16"/>
        <v>Young Adult</v>
      </c>
    </row>
    <row r="499" spans="1:8">
      <c r="A499" t="str">
        <f t="shared" si="15"/>
        <v>C0498</v>
      </c>
      <c r="H499" t="str">
        <f t="shared" si="16"/>
        <v>Young Adult</v>
      </c>
    </row>
    <row r="500" spans="1:8">
      <c r="A500" t="str">
        <f t="shared" si="15"/>
        <v>C0499</v>
      </c>
      <c r="H500" t="str">
        <f t="shared" si="16"/>
        <v>Young Adult</v>
      </c>
    </row>
    <row r="501" spans="1:8">
      <c r="A501" t="str">
        <f t="shared" si="15"/>
        <v>C0500</v>
      </c>
      <c r="H501" t="str">
        <f t="shared" si="16"/>
        <v>Young Adult</v>
      </c>
    </row>
    <row r="502" spans="1:8">
      <c r="A502" t="str">
        <f t="shared" si="15"/>
        <v>C0501</v>
      </c>
      <c r="H502" t="str">
        <f t="shared" si="16"/>
        <v>Young Adult</v>
      </c>
    </row>
    <row r="503" spans="1:8">
      <c r="A503" t="str">
        <f t="shared" si="15"/>
        <v>C0502</v>
      </c>
      <c r="H503" t="str">
        <f t="shared" si="16"/>
        <v>Young Adult</v>
      </c>
    </row>
    <row r="504" spans="1:8">
      <c r="A504" t="str">
        <f t="shared" si="15"/>
        <v>C0503</v>
      </c>
      <c r="H504" t="str">
        <f t="shared" si="16"/>
        <v>Young Adult</v>
      </c>
    </row>
    <row r="505" spans="1:8">
      <c r="A505" t="str">
        <f t="shared" si="15"/>
        <v>C0504</v>
      </c>
      <c r="H505" t="str">
        <f t="shared" si="16"/>
        <v>Young Adult</v>
      </c>
    </row>
    <row r="506" spans="1:8">
      <c r="A506" t="str">
        <f t="shared" si="15"/>
        <v>C0505</v>
      </c>
      <c r="H506" t="str">
        <f t="shared" si="16"/>
        <v>Young Adult</v>
      </c>
    </row>
    <row r="507" spans="1:8">
      <c r="A507" t="str">
        <f t="shared" si="15"/>
        <v>C0506</v>
      </c>
      <c r="H507" t="str">
        <f t="shared" si="16"/>
        <v>Young Adult</v>
      </c>
    </row>
    <row r="508" spans="1:8">
      <c r="A508" t="str">
        <f t="shared" si="15"/>
        <v>C0507</v>
      </c>
      <c r="H508" t="str">
        <f t="shared" si="16"/>
        <v>Young Adult</v>
      </c>
    </row>
    <row r="509" spans="1:8">
      <c r="A509" t="str">
        <f t="shared" si="15"/>
        <v>C0508</v>
      </c>
      <c r="H509" t="str">
        <f t="shared" si="16"/>
        <v>Young Adult</v>
      </c>
    </row>
    <row r="510" spans="1:8">
      <c r="A510" t="str">
        <f t="shared" si="15"/>
        <v>C0509</v>
      </c>
      <c r="H510" t="str">
        <f t="shared" si="16"/>
        <v>Young Adult</v>
      </c>
    </row>
    <row r="511" spans="1:8">
      <c r="A511" t="str">
        <f t="shared" si="15"/>
        <v>C0510</v>
      </c>
      <c r="H511" t="str">
        <f t="shared" si="16"/>
        <v>Young Adult</v>
      </c>
    </row>
    <row r="512" spans="1:8">
      <c r="A512" t="str">
        <f t="shared" si="15"/>
        <v>C0511</v>
      </c>
      <c r="H512" t="str">
        <f t="shared" si="16"/>
        <v>Young Adult</v>
      </c>
    </row>
    <row r="513" spans="1:8">
      <c r="A513" t="str">
        <f t="shared" si="15"/>
        <v>C0512</v>
      </c>
      <c r="H513" t="str">
        <f t="shared" si="16"/>
        <v>Young Adult</v>
      </c>
    </row>
    <row r="514" spans="1:8">
      <c r="A514" t="str">
        <f t="shared" ref="A514:A577" si="17">"C"&amp;TEXT(ROW()-1,"0000")</f>
        <v>C0513</v>
      </c>
      <c r="H514" t="str">
        <f t="shared" ref="H514:H577" si="18">IF(C514&lt;30,"Young Adult","Older")</f>
        <v>Young Adult</v>
      </c>
    </row>
    <row r="515" spans="1:8">
      <c r="A515" t="str">
        <f t="shared" si="17"/>
        <v>C0514</v>
      </c>
      <c r="H515" t="str">
        <f t="shared" si="18"/>
        <v>Young Adult</v>
      </c>
    </row>
    <row r="516" spans="1:8">
      <c r="A516" t="str">
        <f t="shared" si="17"/>
        <v>C0515</v>
      </c>
      <c r="H516" t="str">
        <f t="shared" si="18"/>
        <v>Young Adult</v>
      </c>
    </row>
    <row r="517" spans="1:8">
      <c r="A517" t="str">
        <f t="shared" si="17"/>
        <v>C0516</v>
      </c>
      <c r="H517" t="str">
        <f t="shared" si="18"/>
        <v>Young Adult</v>
      </c>
    </row>
    <row r="518" spans="1:8">
      <c r="A518" t="str">
        <f t="shared" si="17"/>
        <v>C0517</v>
      </c>
      <c r="H518" t="str">
        <f t="shared" si="18"/>
        <v>Young Adult</v>
      </c>
    </row>
    <row r="519" spans="1:8">
      <c r="A519" t="str">
        <f t="shared" si="17"/>
        <v>C0518</v>
      </c>
      <c r="H519" t="str">
        <f t="shared" si="18"/>
        <v>Young Adult</v>
      </c>
    </row>
    <row r="520" spans="1:8">
      <c r="A520" t="str">
        <f t="shared" si="17"/>
        <v>C0519</v>
      </c>
      <c r="H520" t="str">
        <f t="shared" si="18"/>
        <v>Young Adult</v>
      </c>
    </row>
    <row r="521" spans="1:8">
      <c r="A521" t="str">
        <f t="shared" si="17"/>
        <v>C0520</v>
      </c>
      <c r="H521" t="str">
        <f t="shared" si="18"/>
        <v>Young Adult</v>
      </c>
    </row>
    <row r="522" spans="1:8">
      <c r="A522" t="str">
        <f t="shared" si="17"/>
        <v>C0521</v>
      </c>
      <c r="H522" t="str">
        <f t="shared" si="18"/>
        <v>Young Adult</v>
      </c>
    </row>
    <row r="523" spans="1:8">
      <c r="A523" t="str">
        <f t="shared" si="17"/>
        <v>C0522</v>
      </c>
      <c r="H523" t="str">
        <f t="shared" si="18"/>
        <v>Young Adult</v>
      </c>
    </row>
    <row r="524" spans="1:8">
      <c r="A524" t="str">
        <f t="shared" si="17"/>
        <v>C0523</v>
      </c>
      <c r="H524" t="str">
        <f t="shared" si="18"/>
        <v>Young Adult</v>
      </c>
    </row>
    <row r="525" spans="1:8">
      <c r="A525" t="str">
        <f t="shared" si="17"/>
        <v>C0524</v>
      </c>
      <c r="H525" t="str">
        <f t="shared" si="18"/>
        <v>Young Adult</v>
      </c>
    </row>
    <row r="526" spans="1:8">
      <c r="A526" t="str">
        <f t="shared" si="17"/>
        <v>C0525</v>
      </c>
      <c r="H526" t="str">
        <f t="shared" si="18"/>
        <v>Young Adult</v>
      </c>
    </row>
    <row r="527" spans="1:8">
      <c r="A527" t="str">
        <f t="shared" si="17"/>
        <v>C0526</v>
      </c>
      <c r="H527" t="str">
        <f t="shared" si="18"/>
        <v>Young Adult</v>
      </c>
    </row>
    <row r="528" spans="1:8">
      <c r="A528" t="str">
        <f t="shared" si="17"/>
        <v>C0527</v>
      </c>
      <c r="H528" t="str">
        <f t="shared" si="18"/>
        <v>Young Adult</v>
      </c>
    </row>
    <row r="529" spans="1:8">
      <c r="A529" t="str">
        <f t="shared" si="17"/>
        <v>C0528</v>
      </c>
      <c r="H529" t="str">
        <f t="shared" si="18"/>
        <v>Young Adult</v>
      </c>
    </row>
    <row r="530" spans="1:8">
      <c r="A530" t="str">
        <f t="shared" si="17"/>
        <v>C0529</v>
      </c>
      <c r="H530" t="str">
        <f t="shared" si="18"/>
        <v>Young Adult</v>
      </c>
    </row>
    <row r="531" spans="1:8">
      <c r="A531" t="str">
        <f t="shared" si="17"/>
        <v>C0530</v>
      </c>
      <c r="H531" t="str">
        <f t="shared" si="18"/>
        <v>Young Adult</v>
      </c>
    </row>
    <row r="532" spans="1:8">
      <c r="A532" t="str">
        <f t="shared" si="17"/>
        <v>C0531</v>
      </c>
      <c r="H532" t="str">
        <f t="shared" si="18"/>
        <v>Young Adult</v>
      </c>
    </row>
    <row r="533" spans="1:8">
      <c r="A533" t="str">
        <f t="shared" si="17"/>
        <v>C0532</v>
      </c>
      <c r="H533" t="str">
        <f t="shared" si="18"/>
        <v>Young Adult</v>
      </c>
    </row>
    <row r="534" spans="1:8">
      <c r="A534" t="str">
        <f t="shared" si="17"/>
        <v>C0533</v>
      </c>
      <c r="H534" t="str">
        <f t="shared" si="18"/>
        <v>Young Adult</v>
      </c>
    </row>
    <row r="535" spans="1:8">
      <c r="A535" t="str">
        <f t="shared" si="17"/>
        <v>C0534</v>
      </c>
      <c r="H535" t="str">
        <f t="shared" si="18"/>
        <v>Young Adult</v>
      </c>
    </row>
    <row r="536" spans="1:8">
      <c r="A536" t="str">
        <f t="shared" si="17"/>
        <v>C0535</v>
      </c>
      <c r="H536" t="str">
        <f t="shared" si="18"/>
        <v>Young Adult</v>
      </c>
    </row>
    <row r="537" spans="1:8">
      <c r="A537" t="str">
        <f t="shared" si="17"/>
        <v>C0536</v>
      </c>
      <c r="H537" t="str">
        <f t="shared" si="18"/>
        <v>Young Adult</v>
      </c>
    </row>
    <row r="538" spans="1:8">
      <c r="A538" t="str">
        <f t="shared" si="17"/>
        <v>C0537</v>
      </c>
      <c r="H538" t="str">
        <f t="shared" si="18"/>
        <v>Young Adult</v>
      </c>
    </row>
    <row r="539" spans="1:8">
      <c r="A539" t="str">
        <f t="shared" si="17"/>
        <v>C0538</v>
      </c>
      <c r="H539" t="str">
        <f t="shared" si="18"/>
        <v>Young Adult</v>
      </c>
    </row>
    <row r="540" spans="1:8">
      <c r="A540" t="str">
        <f t="shared" si="17"/>
        <v>C0539</v>
      </c>
      <c r="H540" t="str">
        <f t="shared" si="18"/>
        <v>Young Adult</v>
      </c>
    </row>
    <row r="541" spans="1:8">
      <c r="A541" t="str">
        <f t="shared" si="17"/>
        <v>C0540</v>
      </c>
      <c r="H541" t="str">
        <f t="shared" si="18"/>
        <v>Young Adult</v>
      </c>
    </row>
    <row r="542" spans="1:8">
      <c r="A542" t="str">
        <f t="shared" si="17"/>
        <v>C0541</v>
      </c>
      <c r="H542" t="str">
        <f t="shared" si="18"/>
        <v>Young Adult</v>
      </c>
    </row>
    <row r="543" spans="1:8">
      <c r="A543" t="str">
        <f t="shared" si="17"/>
        <v>C0542</v>
      </c>
      <c r="H543" t="str">
        <f t="shared" si="18"/>
        <v>Young Adult</v>
      </c>
    </row>
    <row r="544" spans="1:8">
      <c r="A544" t="str">
        <f t="shared" si="17"/>
        <v>C0543</v>
      </c>
      <c r="H544" t="str">
        <f t="shared" si="18"/>
        <v>Young Adult</v>
      </c>
    </row>
    <row r="545" spans="1:8">
      <c r="A545" t="str">
        <f t="shared" si="17"/>
        <v>C0544</v>
      </c>
      <c r="H545" t="str">
        <f t="shared" si="18"/>
        <v>Young Adult</v>
      </c>
    </row>
    <row r="546" spans="1:8">
      <c r="A546" t="str">
        <f t="shared" si="17"/>
        <v>C0545</v>
      </c>
      <c r="H546" t="str">
        <f t="shared" si="18"/>
        <v>Young Adult</v>
      </c>
    </row>
    <row r="547" spans="1:8">
      <c r="A547" t="str">
        <f t="shared" si="17"/>
        <v>C0546</v>
      </c>
      <c r="H547" t="str">
        <f t="shared" si="18"/>
        <v>Young Adult</v>
      </c>
    </row>
    <row r="548" spans="1:8">
      <c r="A548" t="str">
        <f t="shared" si="17"/>
        <v>C0547</v>
      </c>
      <c r="H548" t="str">
        <f t="shared" si="18"/>
        <v>Young Adult</v>
      </c>
    </row>
    <row r="549" spans="1:8">
      <c r="A549" t="str">
        <f t="shared" si="17"/>
        <v>C0548</v>
      </c>
      <c r="H549" t="str">
        <f t="shared" si="18"/>
        <v>Young Adult</v>
      </c>
    </row>
    <row r="550" spans="1:8">
      <c r="A550" t="str">
        <f t="shared" si="17"/>
        <v>C0549</v>
      </c>
      <c r="H550" t="str">
        <f t="shared" si="18"/>
        <v>Young Adult</v>
      </c>
    </row>
    <row r="551" spans="1:8">
      <c r="A551" t="str">
        <f t="shared" si="17"/>
        <v>C0550</v>
      </c>
      <c r="H551" t="str">
        <f t="shared" si="18"/>
        <v>Young Adult</v>
      </c>
    </row>
    <row r="552" spans="1:8">
      <c r="A552" t="str">
        <f t="shared" si="17"/>
        <v>C0551</v>
      </c>
      <c r="H552" t="str">
        <f t="shared" si="18"/>
        <v>Young Adult</v>
      </c>
    </row>
    <row r="553" spans="1:8">
      <c r="A553" t="str">
        <f t="shared" si="17"/>
        <v>C0552</v>
      </c>
      <c r="H553" t="str">
        <f t="shared" si="18"/>
        <v>Young Adult</v>
      </c>
    </row>
    <row r="554" spans="1:8">
      <c r="A554" t="str">
        <f t="shared" si="17"/>
        <v>C0553</v>
      </c>
      <c r="H554" t="str">
        <f t="shared" si="18"/>
        <v>Young Adult</v>
      </c>
    </row>
    <row r="555" spans="1:8">
      <c r="A555" t="str">
        <f t="shared" si="17"/>
        <v>C0554</v>
      </c>
      <c r="H555" t="str">
        <f t="shared" si="18"/>
        <v>Young Adult</v>
      </c>
    </row>
    <row r="556" spans="1:8">
      <c r="A556" t="str">
        <f t="shared" si="17"/>
        <v>C0555</v>
      </c>
      <c r="H556" t="str">
        <f t="shared" si="18"/>
        <v>Young Adult</v>
      </c>
    </row>
    <row r="557" spans="1:8">
      <c r="A557" t="str">
        <f t="shared" si="17"/>
        <v>C0556</v>
      </c>
      <c r="H557" t="str">
        <f t="shared" si="18"/>
        <v>Young Adult</v>
      </c>
    </row>
    <row r="558" spans="1:8">
      <c r="A558" t="str">
        <f t="shared" si="17"/>
        <v>C0557</v>
      </c>
      <c r="H558" t="str">
        <f t="shared" si="18"/>
        <v>Young Adult</v>
      </c>
    </row>
    <row r="559" spans="1:8">
      <c r="A559" t="str">
        <f t="shared" si="17"/>
        <v>C0558</v>
      </c>
      <c r="H559" t="str">
        <f t="shared" si="18"/>
        <v>Young Adult</v>
      </c>
    </row>
    <row r="560" spans="1:8">
      <c r="A560" t="str">
        <f t="shared" si="17"/>
        <v>C0559</v>
      </c>
      <c r="H560" t="str">
        <f t="shared" si="18"/>
        <v>Young Adult</v>
      </c>
    </row>
    <row r="561" spans="1:8">
      <c r="A561" t="str">
        <f t="shared" si="17"/>
        <v>C0560</v>
      </c>
      <c r="H561" t="str">
        <f t="shared" si="18"/>
        <v>Young Adult</v>
      </c>
    </row>
    <row r="562" spans="1:8">
      <c r="A562" t="str">
        <f t="shared" si="17"/>
        <v>C0561</v>
      </c>
      <c r="H562" t="str">
        <f t="shared" si="18"/>
        <v>Young Adult</v>
      </c>
    </row>
    <row r="563" spans="1:8">
      <c r="A563" t="str">
        <f t="shared" si="17"/>
        <v>C0562</v>
      </c>
      <c r="H563" t="str">
        <f t="shared" si="18"/>
        <v>Young Adult</v>
      </c>
    </row>
    <row r="564" spans="1:8">
      <c r="A564" t="str">
        <f t="shared" si="17"/>
        <v>C0563</v>
      </c>
      <c r="H564" t="str">
        <f t="shared" si="18"/>
        <v>Young Adult</v>
      </c>
    </row>
    <row r="565" spans="1:8">
      <c r="A565" t="str">
        <f t="shared" si="17"/>
        <v>C0564</v>
      </c>
      <c r="H565" t="str">
        <f t="shared" si="18"/>
        <v>Young Adult</v>
      </c>
    </row>
    <row r="566" spans="1:8">
      <c r="A566" t="str">
        <f t="shared" si="17"/>
        <v>C0565</v>
      </c>
      <c r="H566" t="str">
        <f t="shared" si="18"/>
        <v>Young Adult</v>
      </c>
    </row>
    <row r="567" spans="1:8">
      <c r="A567" t="str">
        <f t="shared" si="17"/>
        <v>C0566</v>
      </c>
      <c r="H567" t="str">
        <f t="shared" si="18"/>
        <v>Young Adult</v>
      </c>
    </row>
    <row r="568" spans="1:8">
      <c r="A568" t="str">
        <f t="shared" si="17"/>
        <v>C0567</v>
      </c>
      <c r="H568" t="str">
        <f t="shared" si="18"/>
        <v>Young Adult</v>
      </c>
    </row>
    <row r="569" spans="1:8">
      <c r="A569" t="str">
        <f t="shared" si="17"/>
        <v>C0568</v>
      </c>
      <c r="H569" t="str">
        <f t="shared" si="18"/>
        <v>Young Adult</v>
      </c>
    </row>
    <row r="570" spans="1:8">
      <c r="A570" t="str">
        <f t="shared" si="17"/>
        <v>C0569</v>
      </c>
      <c r="H570" t="str">
        <f t="shared" si="18"/>
        <v>Young Adult</v>
      </c>
    </row>
    <row r="571" spans="1:8">
      <c r="A571" t="str">
        <f t="shared" si="17"/>
        <v>C0570</v>
      </c>
      <c r="H571" t="str">
        <f t="shared" si="18"/>
        <v>Young Adult</v>
      </c>
    </row>
    <row r="572" spans="1:8">
      <c r="A572" t="str">
        <f t="shared" si="17"/>
        <v>C0571</v>
      </c>
      <c r="H572" t="str">
        <f t="shared" si="18"/>
        <v>Young Adult</v>
      </c>
    </row>
    <row r="573" spans="1:8">
      <c r="A573" t="str">
        <f t="shared" si="17"/>
        <v>C0572</v>
      </c>
      <c r="H573" t="str">
        <f t="shared" si="18"/>
        <v>Young Adult</v>
      </c>
    </row>
    <row r="574" spans="1:8">
      <c r="A574" t="str">
        <f t="shared" si="17"/>
        <v>C0573</v>
      </c>
      <c r="H574" t="str">
        <f t="shared" si="18"/>
        <v>Young Adult</v>
      </c>
    </row>
    <row r="575" spans="1:8">
      <c r="A575" t="str">
        <f t="shared" si="17"/>
        <v>C0574</v>
      </c>
      <c r="H575" t="str">
        <f t="shared" si="18"/>
        <v>Young Adult</v>
      </c>
    </row>
    <row r="576" spans="1:8">
      <c r="A576" t="str">
        <f t="shared" si="17"/>
        <v>C0575</v>
      </c>
      <c r="H576" t="str">
        <f t="shared" si="18"/>
        <v>Young Adult</v>
      </c>
    </row>
    <row r="577" spans="1:8">
      <c r="A577" t="str">
        <f t="shared" si="17"/>
        <v>C0576</v>
      </c>
      <c r="H577" t="str">
        <f t="shared" si="18"/>
        <v>Young Adult</v>
      </c>
    </row>
    <row r="578" spans="1:8">
      <c r="A578" t="str">
        <f t="shared" ref="A578:A641" si="19">"C"&amp;TEXT(ROW()-1,"0000")</f>
        <v>C0577</v>
      </c>
      <c r="H578" t="str">
        <f t="shared" ref="H578:H641" si="20">IF(C578&lt;30,"Young Adult","Older")</f>
        <v>Young Adult</v>
      </c>
    </row>
    <row r="579" spans="1:8">
      <c r="A579" t="str">
        <f t="shared" si="19"/>
        <v>C0578</v>
      </c>
      <c r="H579" t="str">
        <f t="shared" si="20"/>
        <v>Young Adult</v>
      </c>
    </row>
    <row r="580" spans="1:8">
      <c r="A580" t="str">
        <f t="shared" si="19"/>
        <v>C0579</v>
      </c>
      <c r="H580" t="str">
        <f t="shared" si="20"/>
        <v>Young Adult</v>
      </c>
    </row>
    <row r="581" spans="1:8">
      <c r="A581" t="str">
        <f t="shared" si="19"/>
        <v>C0580</v>
      </c>
      <c r="H581" t="str">
        <f t="shared" si="20"/>
        <v>Young Adult</v>
      </c>
    </row>
    <row r="582" spans="1:8">
      <c r="A582" t="str">
        <f t="shared" si="19"/>
        <v>C0581</v>
      </c>
      <c r="H582" t="str">
        <f t="shared" si="20"/>
        <v>Young Adult</v>
      </c>
    </row>
    <row r="583" spans="1:8">
      <c r="A583" t="str">
        <f t="shared" si="19"/>
        <v>C0582</v>
      </c>
      <c r="H583" t="str">
        <f t="shared" si="20"/>
        <v>Young Adult</v>
      </c>
    </row>
    <row r="584" spans="1:8">
      <c r="A584" t="str">
        <f t="shared" si="19"/>
        <v>C0583</v>
      </c>
      <c r="H584" t="str">
        <f t="shared" si="20"/>
        <v>Young Adult</v>
      </c>
    </row>
    <row r="585" spans="1:8">
      <c r="A585" t="str">
        <f t="shared" si="19"/>
        <v>C0584</v>
      </c>
      <c r="H585" t="str">
        <f t="shared" si="20"/>
        <v>Young Adult</v>
      </c>
    </row>
    <row r="586" spans="1:8">
      <c r="A586" t="str">
        <f t="shared" si="19"/>
        <v>C0585</v>
      </c>
      <c r="H586" t="str">
        <f t="shared" si="20"/>
        <v>Young Adult</v>
      </c>
    </row>
    <row r="587" spans="1:8">
      <c r="A587" t="str">
        <f t="shared" si="19"/>
        <v>C0586</v>
      </c>
      <c r="H587" t="str">
        <f t="shared" si="20"/>
        <v>Young Adult</v>
      </c>
    </row>
    <row r="588" spans="1:8">
      <c r="A588" t="str">
        <f t="shared" si="19"/>
        <v>C0587</v>
      </c>
      <c r="H588" t="str">
        <f t="shared" si="20"/>
        <v>Young Adult</v>
      </c>
    </row>
    <row r="589" spans="1:8">
      <c r="A589" t="str">
        <f t="shared" si="19"/>
        <v>C0588</v>
      </c>
      <c r="H589" t="str">
        <f t="shared" si="20"/>
        <v>Young Adult</v>
      </c>
    </row>
    <row r="590" spans="1:8">
      <c r="A590" t="str">
        <f t="shared" si="19"/>
        <v>C0589</v>
      </c>
      <c r="H590" t="str">
        <f t="shared" si="20"/>
        <v>Young Adult</v>
      </c>
    </row>
    <row r="591" spans="1:8">
      <c r="A591" t="str">
        <f t="shared" si="19"/>
        <v>C0590</v>
      </c>
      <c r="H591" t="str">
        <f t="shared" si="20"/>
        <v>Young Adult</v>
      </c>
    </row>
    <row r="592" spans="1:8">
      <c r="A592" t="str">
        <f t="shared" si="19"/>
        <v>C0591</v>
      </c>
      <c r="H592" t="str">
        <f t="shared" si="20"/>
        <v>Young Adult</v>
      </c>
    </row>
    <row r="593" spans="1:8">
      <c r="A593" t="str">
        <f t="shared" si="19"/>
        <v>C0592</v>
      </c>
      <c r="H593" t="str">
        <f t="shared" si="20"/>
        <v>Young Adult</v>
      </c>
    </row>
    <row r="594" spans="1:8">
      <c r="A594" t="str">
        <f t="shared" si="19"/>
        <v>C0593</v>
      </c>
      <c r="H594" t="str">
        <f t="shared" si="20"/>
        <v>Young Adult</v>
      </c>
    </row>
    <row r="595" spans="1:8">
      <c r="A595" t="str">
        <f t="shared" si="19"/>
        <v>C0594</v>
      </c>
      <c r="H595" t="str">
        <f t="shared" si="20"/>
        <v>Young Adult</v>
      </c>
    </row>
    <row r="596" spans="1:8">
      <c r="A596" t="str">
        <f t="shared" si="19"/>
        <v>C0595</v>
      </c>
      <c r="H596" t="str">
        <f t="shared" si="20"/>
        <v>Young Adult</v>
      </c>
    </row>
    <row r="597" spans="1:8">
      <c r="A597" t="str">
        <f t="shared" si="19"/>
        <v>C0596</v>
      </c>
      <c r="H597" t="str">
        <f t="shared" si="20"/>
        <v>Young Adult</v>
      </c>
    </row>
    <row r="598" spans="1:8">
      <c r="A598" t="str">
        <f t="shared" si="19"/>
        <v>C0597</v>
      </c>
      <c r="H598" t="str">
        <f t="shared" si="20"/>
        <v>Young Adult</v>
      </c>
    </row>
    <row r="599" spans="1:8">
      <c r="A599" t="str">
        <f t="shared" si="19"/>
        <v>C0598</v>
      </c>
      <c r="H599" t="str">
        <f t="shared" si="20"/>
        <v>Young Adult</v>
      </c>
    </row>
    <row r="600" spans="1:8">
      <c r="A600" t="str">
        <f t="shared" si="19"/>
        <v>C0599</v>
      </c>
      <c r="H600" t="str">
        <f t="shared" si="20"/>
        <v>Young Adult</v>
      </c>
    </row>
    <row r="601" spans="1:8">
      <c r="A601" t="str">
        <f t="shared" si="19"/>
        <v>C0600</v>
      </c>
      <c r="H601" t="str">
        <f t="shared" si="20"/>
        <v>Young Adult</v>
      </c>
    </row>
    <row r="602" spans="1:8">
      <c r="A602" t="str">
        <f t="shared" si="19"/>
        <v>C0601</v>
      </c>
      <c r="H602" t="str">
        <f t="shared" si="20"/>
        <v>Young Adult</v>
      </c>
    </row>
    <row r="603" spans="1:8">
      <c r="A603" t="str">
        <f t="shared" si="19"/>
        <v>C0602</v>
      </c>
      <c r="H603" t="str">
        <f t="shared" si="20"/>
        <v>Young Adult</v>
      </c>
    </row>
    <row r="604" spans="1:8">
      <c r="A604" t="str">
        <f t="shared" si="19"/>
        <v>C0603</v>
      </c>
      <c r="H604" t="str">
        <f t="shared" si="20"/>
        <v>Young Adult</v>
      </c>
    </row>
    <row r="605" spans="1:8">
      <c r="A605" t="str">
        <f t="shared" si="19"/>
        <v>C0604</v>
      </c>
      <c r="H605" t="str">
        <f t="shared" si="20"/>
        <v>Young Adult</v>
      </c>
    </row>
    <row r="606" spans="1:8">
      <c r="A606" t="str">
        <f t="shared" si="19"/>
        <v>C0605</v>
      </c>
      <c r="H606" t="str">
        <f t="shared" si="20"/>
        <v>Young Adult</v>
      </c>
    </row>
    <row r="607" spans="1:8">
      <c r="A607" t="str">
        <f t="shared" si="19"/>
        <v>C0606</v>
      </c>
      <c r="H607" t="str">
        <f t="shared" si="20"/>
        <v>Young Adult</v>
      </c>
    </row>
    <row r="608" spans="1:8">
      <c r="A608" t="str">
        <f t="shared" si="19"/>
        <v>C0607</v>
      </c>
      <c r="H608" t="str">
        <f t="shared" si="20"/>
        <v>Young Adult</v>
      </c>
    </row>
    <row r="609" spans="1:8">
      <c r="A609" t="str">
        <f t="shared" si="19"/>
        <v>C0608</v>
      </c>
      <c r="H609" t="str">
        <f t="shared" si="20"/>
        <v>Young Adult</v>
      </c>
    </row>
    <row r="610" spans="1:8">
      <c r="A610" t="str">
        <f t="shared" si="19"/>
        <v>C0609</v>
      </c>
      <c r="H610" t="str">
        <f t="shared" si="20"/>
        <v>Young Adult</v>
      </c>
    </row>
    <row r="611" spans="1:8">
      <c r="A611" t="str">
        <f t="shared" si="19"/>
        <v>C0610</v>
      </c>
      <c r="H611" t="str">
        <f t="shared" si="20"/>
        <v>Young Adult</v>
      </c>
    </row>
    <row r="612" spans="1:8">
      <c r="A612" t="str">
        <f t="shared" si="19"/>
        <v>C0611</v>
      </c>
      <c r="H612" t="str">
        <f t="shared" si="20"/>
        <v>Young Adult</v>
      </c>
    </row>
    <row r="613" spans="1:8">
      <c r="A613" t="str">
        <f t="shared" si="19"/>
        <v>C0612</v>
      </c>
      <c r="H613" t="str">
        <f t="shared" si="20"/>
        <v>Young Adult</v>
      </c>
    </row>
    <row r="614" spans="1:8">
      <c r="A614" t="str">
        <f t="shared" si="19"/>
        <v>C0613</v>
      </c>
      <c r="H614" t="str">
        <f t="shared" si="20"/>
        <v>Young Adult</v>
      </c>
    </row>
    <row r="615" spans="1:8">
      <c r="A615" t="str">
        <f t="shared" si="19"/>
        <v>C0614</v>
      </c>
      <c r="H615" t="str">
        <f t="shared" si="20"/>
        <v>Young Adult</v>
      </c>
    </row>
    <row r="616" spans="1:8">
      <c r="A616" t="str">
        <f t="shared" si="19"/>
        <v>C0615</v>
      </c>
      <c r="H616" t="str">
        <f t="shared" si="20"/>
        <v>Young Adult</v>
      </c>
    </row>
    <row r="617" spans="1:8">
      <c r="A617" t="str">
        <f t="shared" si="19"/>
        <v>C0616</v>
      </c>
      <c r="H617" t="str">
        <f t="shared" si="20"/>
        <v>Young Adult</v>
      </c>
    </row>
    <row r="618" spans="1:8">
      <c r="A618" t="str">
        <f t="shared" si="19"/>
        <v>C0617</v>
      </c>
      <c r="H618" t="str">
        <f t="shared" si="20"/>
        <v>Young Adult</v>
      </c>
    </row>
    <row r="619" spans="1:8">
      <c r="A619" t="str">
        <f t="shared" si="19"/>
        <v>C0618</v>
      </c>
      <c r="H619" t="str">
        <f t="shared" si="20"/>
        <v>Young Adult</v>
      </c>
    </row>
    <row r="620" spans="1:8">
      <c r="A620" t="str">
        <f t="shared" si="19"/>
        <v>C0619</v>
      </c>
      <c r="H620" t="str">
        <f t="shared" si="20"/>
        <v>Young Adult</v>
      </c>
    </row>
    <row r="621" spans="1:8">
      <c r="A621" t="str">
        <f t="shared" si="19"/>
        <v>C0620</v>
      </c>
      <c r="H621" t="str">
        <f t="shared" si="20"/>
        <v>Young Adult</v>
      </c>
    </row>
    <row r="622" spans="1:8">
      <c r="A622" t="str">
        <f t="shared" si="19"/>
        <v>C0621</v>
      </c>
      <c r="H622" t="str">
        <f t="shared" si="20"/>
        <v>Young Adult</v>
      </c>
    </row>
    <row r="623" spans="1:8">
      <c r="A623" t="str">
        <f t="shared" si="19"/>
        <v>C0622</v>
      </c>
      <c r="H623" t="str">
        <f t="shared" si="20"/>
        <v>Young Adult</v>
      </c>
    </row>
    <row r="624" spans="1:8">
      <c r="A624" t="str">
        <f t="shared" si="19"/>
        <v>C0623</v>
      </c>
      <c r="H624" t="str">
        <f t="shared" si="20"/>
        <v>Young Adult</v>
      </c>
    </row>
    <row r="625" spans="1:8">
      <c r="A625" t="str">
        <f t="shared" si="19"/>
        <v>C0624</v>
      </c>
      <c r="H625" t="str">
        <f t="shared" si="20"/>
        <v>Young Adult</v>
      </c>
    </row>
    <row r="626" spans="1:8">
      <c r="A626" t="str">
        <f t="shared" si="19"/>
        <v>C0625</v>
      </c>
      <c r="H626" t="str">
        <f t="shared" si="20"/>
        <v>Young Adult</v>
      </c>
    </row>
    <row r="627" spans="1:8">
      <c r="A627" t="str">
        <f t="shared" si="19"/>
        <v>C0626</v>
      </c>
      <c r="H627" t="str">
        <f t="shared" si="20"/>
        <v>Young Adult</v>
      </c>
    </row>
    <row r="628" spans="1:8">
      <c r="A628" t="str">
        <f t="shared" si="19"/>
        <v>C0627</v>
      </c>
      <c r="H628" t="str">
        <f t="shared" si="20"/>
        <v>Young Adult</v>
      </c>
    </row>
    <row r="629" spans="1:8">
      <c r="A629" t="str">
        <f t="shared" si="19"/>
        <v>C0628</v>
      </c>
      <c r="H629" t="str">
        <f t="shared" si="20"/>
        <v>Young Adult</v>
      </c>
    </row>
    <row r="630" spans="1:8">
      <c r="A630" t="str">
        <f t="shared" si="19"/>
        <v>C0629</v>
      </c>
      <c r="H630" t="str">
        <f t="shared" si="20"/>
        <v>Young Adult</v>
      </c>
    </row>
    <row r="631" spans="1:8">
      <c r="A631" t="str">
        <f t="shared" si="19"/>
        <v>C0630</v>
      </c>
      <c r="H631" t="str">
        <f t="shared" si="20"/>
        <v>Young Adult</v>
      </c>
    </row>
    <row r="632" spans="1:8">
      <c r="A632" t="str">
        <f t="shared" si="19"/>
        <v>C0631</v>
      </c>
      <c r="H632" t="str">
        <f t="shared" si="20"/>
        <v>Young Adult</v>
      </c>
    </row>
    <row r="633" spans="1:8">
      <c r="A633" t="str">
        <f t="shared" si="19"/>
        <v>C0632</v>
      </c>
      <c r="H633" t="str">
        <f t="shared" si="20"/>
        <v>Young Adult</v>
      </c>
    </row>
    <row r="634" spans="1:8">
      <c r="A634" t="str">
        <f t="shared" si="19"/>
        <v>C0633</v>
      </c>
      <c r="H634" t="str">
        <f t="shared" si="20"/>
        <v>Young Adult</v>
      </c>
    </row>
    <row r="635" spans="1:8">
      <c r="A635" t="str">
        <f t="shared" si="19"/>
        <v>C0634</v>
      </c>
      <c r="H635" t="str">
        <f t="shared" si="20"/>
        <v>Young Adult</v>
      </c>
    </row>
    <row r="636" spans="1:8">
      <c r="A636" t="str">
        <f t="shared" si="19"/>
        <v>C0635</v>
      </c>
      <c r="H636" t="str">
        <f t="shared" si="20"/>
        <v>Young Adult</v>
      </c>
    </row>
    <row r="637" spans="1:8">
      <c r="A637" t="str">
        <f t="shared" si="19"/>
        <v>C0636</v>
      </c>
      <c r="H637" t="str">
        <f t="shared" si="20"/>
        <v>Young Adult</v>
      </c>
    </row>
    <row r="638" spans="1:8">
      <c r="A638" t="str">
        <f t="shared" si="19"/>
        <v>C0637</v>
      </c>
      <c r="H638" t="str">
        <f t="shared" si="20"/>
        <v>Young Adult</v>
      </c>
    </row>
    <row r="639" spans="1:8">
      <c r="A639" t="str">
        <f t="shared" si="19"/>
        <v>C0638</v>
      </c>
      <c r="H639" t="str">
        <f t="shared" si="20"/>
        <v>Young Adult</v>
      </c>
    </row>
    <row r="640" spans="1:8">
      <c r="A640" t="str">
        <f t="shared" si="19"/>
        <v>C0639</v>
      </c>
      <c r="H640" t="str">
        <f t="shared" si="20"/>
        <v>Young Adult</v>
      </c>
    </row>
    <row r="641" spans="1:8">
      <c r="A641" t="str">
        <f t="shared" si="19"/>
        <v>C0640</v>
      </c>
      <c r="H641" t="str">
        <f t="shared" si="20"/>
        <v>Young Adult</v>
      </c>
    </row>
    <row r="642" spans="1:8">
      <c r="A642" t="str">
        <f t="shared" ref="A642:A705" si="21">"C"&amp;TEXT(ROW()-1,"0000")</f>
        <v>C0641</v>
      </c>
      <c r="H642" t="str">
        <f t="shared" ref="H642:H705" si="22">IF(C642&lt;30,"Young Adult","Older")</f>
        <v>Young Adult</v>
      </c>
    </row>
    <row r="643" spans="1:8">
      <c r="A643" t="str">
        <f t="shared" si="21"/>
        <v>C0642</v>
      </c>
      <c r="H643" t="str">
        <f t="shared" si="22"/>
        <v>Young Adult</v>
      </c>
    </row>
    <row r="644" spans="1:8">
      <c r="A644" t="str">
        <f t="shared" si="21"/>
        <v>C0643</v>
      </c>
      <c r="H644" t="str">
        <f t="shared" si="22"/>
        <v>Young Adult</v>
      </c>
    </row>
    <row r="645" spans="1:8">
      <c r="A645" t="str">
        <f t="shared" si="21"/>
        <v>C0644</v>
      </c>
      <c r="H645" t="str">
        <f t="shared" si="22"/>
        <v>Young Adult</v>
      </c>
    </row>
    <row r="646" spans="1:8">
      <c r="A646" t="str">
        <f t="shared" si="21"/>
        <v>C0645</v>
      </c>
      <c r="H646" t="str">
        <f t="shared" si="22"/>
        <v>Young Adult</v>
      </c>
    </row>
    <row r="647" spans="1:8">
      <c r="A647" t="str">
        <f t="shared" si="21"/>
        <v>C0646</v>
      </c>
      <c r="H647" t="str">
        <f t="shared" si="22"/>
        <v>Young Adult</v>
      </c>
    </row>
    <row r="648" spans="1:8">
      <c r="A648" t="str">
        <f t="shared" si="21"/>
        <v>C0647</v>
      </c>
      <c r="H648" t="str">
        <f t="shared" si="22"/>
        <v>Young Adult</v>
      </c>
    </row>
    <row r="649" spans="1:8">
      <c r="A649" t="str">
        <f t="shared" si="21"/>
        <v>C0648</v>
      </c>
      <c r="H649" t="str">
        <f t="shared" si="22"/>
        <v>Young Adult</v>
      </c>
    </row>
    <row r="650" spans="1:8">
      <c r="A650" t="str">
        <f t="shared" si="21"/>
        <v>C0649</v>
      </c>
      <c r="H650" t="str">
        <f t="shared" si="22"/>
        <v>Young Adult</v>
      </c>
    </row>
    <row r="651" spans="1:8">
      <c r="A651" t="str">
        <f t="shared" si="21"/>
        <v>C0650</v>
      </c>
      <c r="H651" t="str">
        <f t="shared" si="22"/>
        <v>Young Adult</v>
      </c>
    </row>
    <row r="652" spans="1:8">
      <c r="A652" t="str">
        <f t="shared" si="21"/>
        <v>C0651</v>
      </c>
      <c r="H652" t="str">
        <f t="shared" si="22"/>
        <v>Young Adult</v>
      </c>
    </row>
    <row r="653" spans="1:8">
      <c r="A653" t="str">
        <f t="shared" si="21"/>
        <v>C0652</v>
      </c>
      <c r="H653" t="str">
        <f t="shared" si="22"/>
        <v>Young Adult</v>
      </c>
    </row>
    <row r="654" spans="1:8">
      <c r="A654" t="str">
        <f t="shared" si="21"/>
        <v>C0653</v>
      </c>
      <c r="H654" t="str">
        <f t="shared" si="22"/>
        <v>Young Adult</v>
      </c>
    </row>
    <row r="655" spans="1:8">
      <c r="A655" t="str">
        <f t="shared" si="21"/>
        <v>C0654</v>
      </c>
      <c r="H655" t="str">
        <f t="shared" si="22"/>
        <v>Young Adult</v>
      </c>
    </row>
    <row r="656" spans="1:8">
      <c r="A656" t="str">
        <f t="shared" si="21"/>
        <v>C0655</v>
      </c>
      <c r="H656" t="str">
        <f t="shared" si="22"/>
        <v>Young Adult</v>
      </c>
    </row>
    <row r="657" spans="1:8">
      <c r="A657" t="str">
        <f t="shared" si="21"/>
        <v>C0656</v>
      </c>
      <c r="H657" t="str">
        <f t="shared" si="22"/>
        <v>Young Adult</v>
      </c>
    </row>
    <row r="658" spans="1:8">
      <c r="A658" t="str">
        <f t="shared" si="21"/>
        <v>C0657</v>
      </c>
      <c r="H658" t="str">
        <f t="shared" si="22"/>
        <v>Young Adult</v>
      </c>
    </row>
    <row r="659" spans="1:8">
      <c r="A659" t="str">
        <f t="shared" si="21"/>
        <v>C0658</v>
      </c>
      <c r="H659" t="str">
        <f t="shared" si="22"/>
        <v>Young Adult</v>
      </c>
    </row>
    <row r="660" spans="1:8">
      <c r="A660" t="str">
        <f t="shared" si="21"/>
        <v>C0659</v>
      </c>
      <c r="H660" t="str">
        <f t="shared" si="22"/>
        <v>Young Adult</v>
      </c>
    </row>
    <row r="661" spans="1:8">
      <c r="A661" t="str">
        <f t="shared" si="21"/>
        <v>C0660</v>
      </c>
      <c r="H661" t="str">
        <f t="shared" si="22"/>
        <v>Young Adult</v>
      </c>
    </row>
    <row r="662" spans="1:8">
      <c r="A662" t="str">
        <f t="shared" si="21"/>
        <v>C0661</v>
      </c>
      <c r="H662" t="str">
        <f t="shared" si="22"/>
        <v>Young Adult</v>
      </c>
    </row>
    <row r="663" spans="1:8">
      <c r="A663" t="str">
        <f t="shared" si="21"/>
        <v>C0662</v>
      </c>
      <c r="H663" t="str">
        <f t="shared" si="22"/>
        <v>Young Adult</v>
      </c>
    </row>
    <row r="664" spans="1:8">
      <c r="A664" t="str">
        <f t="shared" si="21"/>
        <v>C0663</v>
      </c>
      <c r="H664" t="str">
        <f t="shared" si="22"/>
        <v>Young Adult</v>
      </c>
    </row>
    <row r="665" spans="1:8">
      <c r="A665" t="str">
        <f t="shared" si="21"/>
        <v>C0664</v>
      </c>
      <c r="H665" t="str">
        <f t="shared" si="22"/>
        <v>Young Adult</v>
      </c>
    </row>
    <row r="666" spans="1:8">
      <c r="A666" t="str">
        <f t="shared" si="21"/>
        <v>C0665</v>
      </c>
      <c r="H666" t="str">
        <f t="shared" si="22"/>
        <v>Young Adult</v>
      </c>
    </row>
    <row r="667" spans="1:8">
      <c r="A667" t="str">
        <f t="shared" si="21"/>
        <v>C0666</v>
      </c>
      <c r="H667" t="str">
        <f t="shared" si="22"/>
        <v>Young Adult</v>
      </c>
    </row>
    <row r="668" spans="1:8">
      <c r="A668" t="str">
        <f t="shared" si="21"/>
        <v>C0667</v>
      </c>
      <c r="H668" t="str">
        <f t="shared" si="22"/>
        <v>Young Adult</v>
      </c>
    </row>
    <row r="669" spans="1:8">
      <c r="A669" t="str">
        <f t="shared" si="21"/>
        <v>C0668</v>
      </c>
      <c r="H669" t="str">
        <f t="shared" si="22"/>
        <v>Young Adult</v>
      </c>
    </row>
    <row r="670" spans="1:8">
      <c r="A670" t="str">
        <f t="shared" si="21"/>
        <v>C0669</v>
      </c>
      <c r="H670" t="str">
        <f t="shared" si="22"/>
        <v>Young Adult</v>
      </c>
    </row>
    <row r="671" spans="1:8">
      <c r="A671" t="str">
        <f t="shared" si="21"/>
        <v>C0670</v>
      </c>
      <c r="H671" t="str">
        <f t="shared" si="22"/>
        <v>Young Adult</v>
      </c>
    </row>
    <row r="672" spans="1:8">
      <c r="A672" t="str">
        <f t="shared" si="21"/>
        <v>C0671</v>
      </c>
      <c r="H672" t="str">
        <f t="shared" si="22"/>
        <v>Young Adult</v>
      </c>
    </row>
    <row r="673" spans="1:8">
      <c r="A673" t="str">
        <f t="shared" si="21"/>
        <v>C0672</v>
      </c>
      <c r="H673" t="str">
        <f t="shared" si="22"/>
        <v>Young Adult</v>
      </c>
    </row>
    <row r="674" spans="1:8">
      <c r="A674" t="str">
        <f t="shared" si="21"/>
        <v>C0673</v>
      </c>
      <c r="H674" t="str">
        <f t="shared" si="22"/>
        <v>Young Adult</v>
      </c>
    </row>
    <row r="675" spans="1:8">
      <c r="A675" t="str">
        <f t="shared" si="21"/>
        <v>C0674</v>
      </c>
      <c r="H675" t="str">
        <f t="shared" si="22"/>
        <v>Young Adult</v>
      </c>
    </row>
    <row r="676" spans="1:8">
      <c r="A676" t="str">
        <f t="shared" si="21"/>
        <v>C0675</v>
      </c>
      <c r="H676" t="str">
        <f t="shared" si="22"/>
        <v>Young Adult</v>
      </c>
    </row>
    <row r="677" spans="1:8">
      <c r="A677" t="str">
        <f t="shared" si="21"/>
        <v>C0676</v>
      </c>
      <c r="H677" t="str">
        <f t="shared" si="22"/>
        <v>Young Adult</v>
      </c>
    </row>
    <row r="678" spans="1:8">
      <c r="A678" t="str">
        <f t="shared" si="21"/>
        <v>C0677</v>
      </c>
      <c r="H678" t="str">
        <f t="shared" si="22"/>
        <v>Young Adult</v>
      </c>
    </row>
    <row r="679" spans="1:8">
      <c r="A679" t="str">
        <f t="shared" si="21"/>
        <v>C0678</v>
      </c>
      <c r="H679" t="str">
        <f t="shared" si="22"/>
        <v>Young Adult</v>
      </c>
    </row>
    <row r="680" spans="1:8">
      <c r="A680" t="str">
        <f t="shared" si="21"/>
        <v>C0679</v>
      </c>
      <c r="H680" t="str">
        <f t="shared" si="22"/>
        <v>Young Adult</v>
      </c>
    </row>
    <row r="681" spans="1:8">
      <c r="A681" t="str">
        <f t="shared" si="21"/>
        <v>C0680</v>
      </c>
      <c r="H681" t="str">
        <f t="shared" si="22"/>
        <v>Young Adult</v>
      </c>
    </row>
    <row r="682" spans="1:8">
      <c r="A682" t="str">
        <f t="shared" si="21"/>
        <v>C0681</v>
      </c>
      <c r="H682" t="str">
        <f t="shared" si="22"/>
        <v>Young Adult</v>
      </c>
    </row>
    <row r="683" spans="1:8">
      <c r="A683" t="str">
        <f t="shared" si="21"/>
        <v>C0682</v>
      </c>
      <c r="H683" t="str">
        <f t="shared" si="22"/>
        <v>Young Adult</v>
      </c>
    </row>
    <row r="684" spans="1:8">
      <c r="A684" t="str">
        <f t="shared" si="21"/>
        <v>C0683</v>
      </c>
      <c r="H684" t="str">
        <f t="shared" si="22"/>
        <v>Young Adult</v>
      </c>
    </row>
    <row r="685" spans="1:8">
      <c r="A685" t="str">
        <f t="shared" si="21"/>
        <v>C0684</v>
      </c>
      <c r="H685" t="str">
        <f t="shared" si="22"/>
        <v>Young Adult</v>
      </c>
    </row>
    <row r="686" spans="1:8">
      <c r="A686" t="str">
        <f t="shared" si="21"/>
        <v>C0685</v>
      </c>
      <c r="H686" t="str">
        <f t="shared" si="22"/>
        <v>Young Adult</v>
      </c>
    </row>
    <row r="687" spans="1:8">
      <c r="A687" t="str">
        <f t="shared" si="21"/>
        <v>C0686</v>
      </c>
      <c r="H687" t="str">
        <f t="shared" si="22"/>
        <v>Young Adult</v>
      </c>
    </row>
    <row r="688" spans="1:8">
      <c r="A688" t="str">
        <f t="shared" si="21"/>
        <v>C0687</v>
      </c>
      <c r="H688" t="str">
        <f t="shared" si="22"/>
        <v>Young Adult</v>
      </c>
    </row>
    <row r="689" spans="1:8">
      <c r="A689" t="str">
        <f t="shared" si="21"/>
        <v>C0688</v>
      </c>
      <c r="H689" t="str">
        <f t="shared" si="22"/>
        <v>Young Adult</v>
      </c>
    </row>
    <row r="690" spans="1:8">
      <c r="A690" t="str">
        <f t="shared" si="21"/>
        <v>C0689</v>
      </c>
      <c r="H690" t="str">
        <f t="shared" si="22"/>
        <v>Young Adult</v>
      </c>
    </row>
    <row r="691" spans="1:8">
      <c r="A691" t="str">
        <f t="shared" si="21"/>
        <v>C0690</v>
      </c>
      <c r="H691" t="str">
        <f t="shared" si="22"/>
        <v>Young Adult</v>
      </c>
    </row>
    <row r="692" spans="1:8">
      <c r="A692" t="str">
        <f t="shared" si="21"/>
        <v>C0691</v>
      </c>
      <c r="H692" t="str">
        <f t="shared" si="22"/>
        <v>Young Adult</v>
      </c>
    </row>
    <row r="693" spans="1:8">
      <c r="A693" t="str">
        <f t="shared" si="21"/>
        <v>C0692</v>
      </c>
      <c r="H693" t="str">
        <f t="shared" si="22"/>
        <v>Young Adult</v>
      </c>
    </row>
    <row r="694" spans="1:8">
      <c r="A694" t="str">
        <f t="shared" si="21"/>
        <v>C0693</v>
      </c>
      <c r="H694" t="str">
        <f t="shared" si="22"/>
        <v>Young Adult</v>
      </c>
    </row>
    <row r="695" spans="1:8">
      <c r="A695" t="str">
        <f t="shared" si="21"/>
        <v>C0694</v>
      </c>
      <c r="H695" t="str">
        <f t="shared" si="22"/>
        <v>Young Adult</v>
      </c>
    </row>
    <row r="696" spans="1:8">
      <c r="A696" t="str">
        <f t="shared" si="21"/>
        <v>C0695</v>
      </c>
      <c r="H696" t="str">
        <f t="shared" si="22"/>
        <v>Young Adult</v>
      </c>
    </row>
    <row r="697" spans="1:8">
      <c r="A697" t="str">
        <f t="shared" si="21"/>
        <v>C0696</v>
      </c>
      <c r="H697" t="str">
        <f t="shared" si="22"/>
        <v>Young Adult</v>
      </c>
    </row>
    <row r="698" spans="1:8">
      <c r="A698" t="str">
        <f t="shared" si="21"/>
        <v>C0697</v>
      </c>
      <c r="H698" t="str">
        <f t="shared" si="22"/>
        <v>Young Adult</v>
      </c>
    </row>
    <row r="699" spans="1:8">
      <c r="A699" t="str">
        <f t="shared" si="21"/>
        <v>C0698</v>
      </c>
      <c r="H699" t="str">
        <f t="shared" si="22"/>
        <v>Young Adult</v>
      </c>
    </row>
    <row r="700" spans="1:8">
      <c r="A700" t="str">
        <f t="shared" si="21"/>
        <v>C0699</v>
      </c>
      <c r="H700" t="str">
        <f t="shared" si="22"/>
        <v>Young Adult</v>
      </c>
    </row>
    <row r="701" spans="1:8">
      <c r="A701" t="str">
        <f t="shared" si="21"/>
        <v>C0700</v>
      </c>
      <c r="H701" t="str">
        <f t="shared" si="22"/>
        <v>Young Adult</v>
      </c>
    </row>
    <row r="702" spans="1:8">
      <c r="A702" t="str">
        <f t="shared" si="21"/>
        <v>C0701</v>
      </c>
      <c r="H702" t="str">
        <f t="shared" si="22"/>
        <v>Young Adult</v>
      </c>
    </row>
    <row r="703" spans="1:8">
      <c r="A703" t="str">
        <f t="shared" si="21"/>
        <v>C0702</v>
      </c>
      <c r="H703" t="str">
        <f t="shared" si="22"/>
        <v>Young Adult</v>
      </c>
    </row>
    <row r="704" spans="1:8">
      <c r="A704" t="str">
        <f t="shared" si="21"/>
        <v>C0703</v>
      </c>
      <c r="H704" t="str">
        <f t="shared" si="22"/>
        <v>Young Adult</v>
      </c>
    </row>
    <row r="705" spans="1:8">
      <c r="A705" t="str">
        <f t="shared" si="21"/>
        <v>C0704</v>
      </c>
      <c r="H705" t="str">
        <f t="shared" si="22"/>
        <v>Young Adult</v>
      </c>
    </row>
    <row r="706" spans="1:8">
      <c r="A706" t="str">
        <f t="shared" ref="A706:A769" si="23">"C"&amp;TEXT(ROW()-1,"0000")</f>
        <v>C0705</v>
      </c>
      <c r="H706" t="str">
        <f t="shared" ref="H706:H769" si="24">IF(C706&lt;30,"Young Adult","Older")</f>
        <v>Young Adult</v>
      </c>
    </row>
    <row r="707" spans="1:8">
      <c r="A707" t="str">
        <f t="shared" si="23"/>
        <v>C0706</v>
      </c>
      <c r="H707" t="str">
        <f t="shared" si="24"/>
        <v>Young Adult</v>
      </c>
    </row>
    <row r="708" spans="1:8">
      <c r="A708" t="str">
        <f t="shared" si="23"/>
        <v>C0707</v>
      </c>
      <c r="H708" t="str">
        <f t="shared" si="24"/>
        <v>Young Adult</v>
      </c>
    </row>
    <row r="709" spans="1:8">
      <c r="A709" t="str">
        <f t="shared" si="23"/>
        <v>C0708</v>
      </c>
      <c r="H709" t="str">
        <f t="shared" si="24"/>
        <v>Young Adult</v>
      </c>
    </row>
    <row r="710" spans="1:8">
      <c r="A710" t="str">
        <f t="shared" si="23"/>
        <v>C0709</v>
      </c>
      <c r="H710" t="str">
        <f t="shared" si="24"/>
        <v>Young Adult</v>
      </c>
    </row>
    <row r="711" spans="1:8">
      <c r="A711" t="str">
        <f t="shared" si="23"/>
        <v>C0710</v>
      </c>
      <c r="H711" t="str">
        <f t="shared" si="24"/>
        <v>Young Adult</v>
      </c>
    </row>
    <row r="712" spans="1:8">
      <c r="A712" t="str">
        <f t="shared" si="23"/>
        <v>C0711</v>
      </c>
      <c r="H712" t="str">
        <f t="shared" si="24"/>
        <v>Young Adult</v>
      </c>
    </row>
    <row r="713" spans="1:8">
      <c r="A713" t="str">
        <f t="shared" si="23"/>
        <v>C0712</v>
      </c>
      <c r="H713" t="str">
        <f t="shared" si="24"/>
        <v>Young Adult</v>
      </c>
    </row>
    <row r="714" spans="1:8">
      <c r="A714" t="str">
        <f t="shared" si="23"/>
        <v>C0713</v>
      </c>
      <c r="H714" t="str">
        <f t="shared" si="24"/>
        <v>Young Adult</v>
      </c>
    </row>
    <row r="715" spans="1:8">
      <c r="A715" t="str">
        <f t="shared" si="23"/>
        <v>C0714</v>
      </c>
      <c r="H715" t="str">
        <f t="shared" si="24"/>
        <v>Young Adult</v>
      </c>
    </row>
    <row r="716" spans="1:8">
      <c r="A716" t="str">
        <f t="shared" si="23"/>
        <v>C0715</v>
      </c>
      <c r="H716" t="str">
        <f t="shared" si="24"/>
        <v>Young Adult</v>
      </c>
    </row>
    <row r="717" spans="1:8">
      <c r="A717" t="str">
        <f t="shared" si="23"/>
        <v>C0716</v>
      </c>
      <c r="H717" t="str">
        <f t="shared" si="24"/>
        <v>Young Adult</v>
      </c>
    </row>
    <row r="718" spans="1:8">
      <c r="A718" t="str">
        <f t="shared" si="23"/>
        <v>C0717</v>
      </c>
      <c r="H718" t="str">
        <f t="shared" si="24"/>
        <v>Young Adult</v>
      </c>
    </row>
    <row r="719" spans="1:8">
      <c r="A719" t="str">
        <f t="shared" si="23"/>
        <v>C0718</v>
      </c>
      <c r="H719" t="str">
        <f t="shared" si="24"/>
        <v>Young Adult</v>
      </c>
    </row>
    <row r="720" spans="1:8">
      <c r="A720" t="str">
        <f t="shared" si="23"/>
        <v>C0719</v>
      </c>
      <c r="H720" t="str">
        <f t="shared" si="24"/>
        <v>Young Adult</v>
      </c>
    </row>
    <row r="721" spans="1:8">
      <c r="A721" t="str">
        <f t="shared" si="23"/>
        <v>C0720</v>
      </c>
      <c r="H721" t="str">
        <f t="shared" si="24"/>
        <v>Young Adult</v>
      </c>
    </row>
    <row r="722" spans="1:8">
      <c r="A722" t="str">
        <f t="shared" si="23"/>
        <v>C0721</v>
      </c>
      <c r="H722" t="str">
        <f t="shared" si="24"/>
        <v>Young Adult</v>
      </c>
    </row>
    <row r="723" spans="1:8">
      <c r="A723" t="str">
        <f t="shared" si="23"/>
        <v>C0722</v>
      </c>
      <c r="H723" t="str">
        <f t="shared" si="24"/>
        <v>Young Adult</v>
      </c>
    </row>
    <row r="724" spans="1:8">
      <c r="A724" t="str">
        <f t="shared" si="23"/>
        <v>C0723</v>
      </c>
      <c r="H724" t="str">
        <f t="shared" si="24"/>
        <v>Young Adult</v>
      </c>
    </row>
    <row r="725" spans="1:8">
      <c r="A725" t="str">
        <f t="shared" si="23"/>
        <v>C0724</v>
      </c>
      <c r="H725" t="str">
        <f t="shared" si="24"/>
        <v>Young Adult</v>
      </c>
    </row>
    <row r="726" spans="1:8">
      <c r="A726" t="str">
        <f t="shared" si="23"/>
        <v>C0725</v>
      </c>
      <c r="H726" t="str">
        <f t="shared" si="24"/>
        <v>Young Adult</v>
      </c>
    </row>
    <row r="727" spans="1:8">
      <c r="A727" t="str">
        <f t="shared" si="23"/>
        <v>C0726</v>
      </c>
      <c r="H727" t="str">
        <f t="shared" si="24"/>
        <v>Young Adult</v>
      </c>
    </row>
    <row r="728" spans="1:8">
      <c r="A728" t="str">
        <f t="shared" si="23"/>
        <v>C0727</v>
      </c>
      <c r="H728" t="str">
        <f t="shared" si="24"/>
        <v>Young Adult</v>
      </c>
    </row>
    <row r="729" spans="1:8">
      <c r="A729" t="str">
        <f t="shared" si="23"/>
        <v>C0728</v>
      </c>
      <c r="H729" t="str">
        <f t="shared" si="24"/>
        <v>Young Adult</v>
      </c>
    </row>
    <row r="730" spans="1:8">
      <c r="A730" t="str">
        <f t="shared" si="23"/>
        <v>C0729</v>
      </c>
      <c r="H730" t="str">
        <f t="shared" si="24"/>
        <v>Young Adult</v>
      </c>
    </row>
    <row r="731" spans="1:8">
      <c r="A731" t="str">
        <f t="shared" si="23"/>
        <v>C0730</v>
      </c>
      <c r="H731" t="str">
        <f t="shared" si="24"/>
        <v>Young Adult</v>
      </c>
    </row>
    <row r="732" spans="1:8">
      <c r="A732" t="str">
        <f t="shared" si="23"/>
        <v>C0731</v>
      </c>
      <c r="H732" t="str">
        <f t="shared" si="24"/>
        <v>Young Adult</v>
      </c>
    </row>
    <row r="733" spans="1:8">
      <c r="A733" t="str">
        <f t="shared" si="23"/>
        <v>C0732</v>
      </c>
      <c r="H733" t="str">
        <f t="shared" si="24"/>
        <v>Young Adult</v>
      </c>
    </row>
    <row r="734" spans="1:8">
      <c r="A734" t="str">
        <f t="shared" si="23"/>
        <v>C0733</v>
      </c>
      <c r="H734" t="str">
        <f t="shared" si="24"/>
        <v>Young Adult</v>
      </c>
    </row>
    <row r="735" spans="1:8">
      <c r="A735" t="str">
        <f t="shared" si="23"/>
        <v>C0734</v>
      </c>
      <c r="H735" t="str">
        <f t="shared" si="24"/>
        <v>Young Adult</v>
      </c>
    </row>
    <row r="736" spans="1:8">
      <c r="A736" t="str">
        <f t="shared" si="23"/>
        <v>C0735</v>
      </c>
      <c r="H736" t="str">
        <f t="shared" si="24"/>
        <v>Young Adult</v>
      </c>
    </row>
    <row r="737" spans="1:8">
      <c r="A737" t="str">
        <f t="shared" si="23"/>
        <v>C0736</v>
      </c>
      <c r="H737" t="str">
        <f t="shared" si="24"/>
        <v>Young Adult</v>
      </c>
    </row>
    <row r="738" spans="1:8">
      <c r="A738" t="str">
        <f t="shared" si="23"/>
        <v>C0737</v>
      </c>
      <c r="H738" t="str">
        <f t="shared" si="24"/>
        <v>Young Adult</v>
      </c>
    </row>
    <row r="739" spans="1:8">
      <c r="A739" t="str">
        <f t="shared" si="23"/>
        <v>C0738</v>
      </c>
      <c r="H739" t="str">
        <f t="shared" si="24"/>
        <v>Young Adult</v>
      </c>
    </row>
    <row r="740" spans="1:8">
      <c r="A740" t="str">
        <f t="shared" si="23"/>
        <v>C0739</v>
      </c>
      <c r="H740" t="str">
        <f t="shared" si="24"/>
        <v>Young Adult</v>
      </c>
    </row>
    <row r="741" spans="1:8">
      <c r="A741" t="str">
        <f t="shared" si="23"/>
        <v>C0740</v>
      </c>
      <c r="H741" t="str">
        <f t="shared" si="24"/>
        <v>Young Adult</v>
      </c>
    </row>
    <row r="742" spans="1:8">
      <c r="A742" t="str">
        <f t="shared" si="23"/>
        <v>C0741</v>
      </c>
      <c r="H742" t="str">
        <f t="shared" si="24"/>
        <v>Young Adult</v>
      </c>
    </row>
    <row r="743" spans="1:8">
      <c r="A743" t="str">
        <f t="shared" si="23"/>
        <v>C0742</v>
      </c>
      <c r="H743" t="str">
        <f t="shared" si="24"/>
        <v>Young Adult</v>
      </c>
    </row>
    <row r="744" spans="1:8">
      <c r="A744" t="str">
        <f t="shared" si="23"/>
        <v>C0743</v>
      </c>
      <c r="H744" t="str">
        <f t="shared" si="24"/>
        <v>Young Adult</v>
      </c>
    </row>
    <row r="745" spans="1:8">
      <c r="A745" t="str">
        <f t="shared" si="23"/>
        <v>C0744</v>
      </c>
      <c r="H745" t="str">
        <f t="shared" si="24"/>
        <v>Young Adult</v>
      </c>
    </row>
    <row r="746" spans="1:8">
      <c r="A746" t="str">
        <f t="shared" si="23"/>
        <v>C0745</v>
      </c>
      <c r="H746" t="str">
        <f t="shared" si="24"/>
        <v>Young Adult</v>
      </c>
    </row>
    <row r="747" spans="1:8">
      <c r="A747" t="str">
        <f t="shared" si="23"/>
        <v>C0746</v>
      </c>
      <c r="H747" t="str">
        <f t="shared" si="24"/>
        <v>Young Adult</v>
      </c>
    </row>
    <row r="748" spans="1:8">
      <c r="A748" t="str">
        <f t="shared" si="23"/>
        <v>C0747</v>
      </c>
      <c r="H748" t="str">
        <f t="shared" si="24"/>
        <v>Young Adult</v>
      </c>
    </row>
    <row r="749" spans="1:8">
      <c r="A749" t="str">
        <f t="shared" si="23"/>
        <v>C0748</v>
      </c>
      <c r="H749" t="str">
        <f t="shared" si="24"/>
        <v>Young Adult</v>
      </c>
    </row>
    <row r="750" spans="1:8">
      <c r="A750" t="str">
        <f t="shared" si="23"/>
        <v>C0749</v>
      </c>
      <c r="H750" t="str">
        <f t="shared" si="24"/>
        <v>Young Adult</v>
      </c>
    </row>
    <row r="751" spans="1:8">
      <c r="A751" t="str">
        <f t="shared" si="23"/>
        <v>C0750</v>
      </c>
      <c r="H751" t="str">
        <f t="shared" si="24"/>
        <v>Young Adult</v>
      </c>
    </row>
    <row r="752" spans="1:8">
      <c r="A752" t="str">
        <f t="shared" si="23"/>
        <v>C0751</v>
      </c>
      <c r="H752" t="str">
        <f t="shared" si="24"/>
        <v>Young Adult</v>
      </c>
    </row>
    <row r="753" spans="1:8">
      <c r="A753" t="str">
        <f t="shared" si="23"/>
        <v>C0752</v>
      </c>
      <c r="H753" t="str">
        <f t="shared" si="24"/>
        <v>Young Adult</v>
      </c>
    </row>
    <row r="754" spans="1:8">
      <c r="A754" t="str">
        <f t="shared" si="23"/>
        <v>C0753</v>
      </c>
      <c r="H754" t="str">
        <f t="shared" si="24"/>
        <v>Young Adult</v>
      </c>
    </row>
    <row r="755" spans="1:8">
      <c r="A755" t="str">
        <f t="shared" si="23"/>
        <v>C0754</v>
      </c>
      <c r="H755" t="str">
        <f t="shared" si="24"/>
        <v>Young Adult</v>
      </c>
    </row>
    <row r="756" spans="1:8">
      <c r="A756" t="str">
        <f t="shared" si="23"/>
        <v>C0755</v>
      </c>
      <c r="H756" t="str">
        <f t="shared" si="24"/>
        <v>Young Adult</v>
      </c>
    </row>
    <row r="757" spans="1:8">
      <c r="A757" t="str">
        <f t="shared" si="23"/>
        <v>C0756</v>
      </c>
      <c r="H757" t="str">
        <f t="shared" si="24"/>
        <v>Young Adult</v>
      </c>
    </row>
    <row r="758" spans="1:8">
      <c r="A758" t="str">
        <f t="shared" si="23"/>
        <v>C0757</v>
      </c>
      <c r="H758" t="str">
        <f t="shared" si="24"/>
        <v>Young Adult</v>
      </c>
    </row>
    <row r="759" spans="1:8">
      <c r="A759" t="str">
        <f t="shared" si="23"/>
        <v>C0758</v>
      </c>
      <c r="H759" t="str">
        <f t="shared" si="24"/>
        <v>Young Adult</v>
      </c>
    </row>
    <row r="760" spans="1:8">
      <c r="A760" t="str">
        <f t="shared" si="23"/>
        <v>C0759</v>
      </c>
      <c r="H760" t="str">
        <f t="shared" si="24"/>
        <v>Young Adult</v>
      </c>
    </row>
    <row r="761" spans="1:8">
      <c r="A761" t="str">
        <f t="shared" si="23"/>
        <v>C0760</v>
      </c>
      <c r="H761" t="str">
        <f t="shared" si="24"/>
        <v>Young Adult</v>
      </c>
    </row>
    <row r="762" spans="1:8">
      <c r="A762" t="str">
        <f t="shared" si="23"/>
        <v>C0761</v>
      </c>
      <c r="H762" t="str">
        <f t="shared" si="24"/>
        <v>Young Adult</v>
      </c>
    </row>
    <row r="763" spans="1:8">
      <c r="A763" t="str">
        <f t="shared" si="23"/>
        <v>C0762</v>
      </c>
      <c r="H763" t="str">
        <f t="shared" si="24"/>
        <v>Young Adult</v>
      </c>
    </row>
    <row r="764" spans="1:8">
      <c r="A764" t="str">
        <f t="shared" si="23"/>
        <v>C0763</v>
      </c>
      <c r="H764" t="str">
        <f t="shared" si="24"/>
        <v>Young Adult</v>
      </c>
    </row>
    <row r="765" spans="1:8">
      <c r="A765" t="str">
        <f t="shared" si="23"/>
        <v>C0764</v>
      </c>
      <c r="H765" t="str">
        <f t="shared" si="24"/>
        <v>Young Adult</v>
      </c>
    </row>
    <row r="766" spans="1:8">
      <c r="A766" t="str">
        <f t="shared" si="23"/>
        <v>C0765</v>
      </c>
      <c r="H766" t="str">
        <f t="shared" si="24"/>
        <v>Young Adult</v>
      </c>
    </row>
    <row r="767" spans="1:8">
      <c r="A767" t="str">
        <f t="shared" si="23"/>
        <v>C0766</v>
      </c>
      <c r="H767" t="str">
        <f t="shared" si="24"/>
        <v>Young Adult</v>
      </c>
    </row>
    <row r="768" spans="1:8">
      <c r="A768" t="str">
        <f t="shared" si="23"/>
        <v>C0767</v>
      </c>
      <c r="H768" t="str">
        <f t="shared" si="24"/>
        <v>Young Adult</v>
      </c>
    </row>
    <row r="769" spans="1:8">
      <c r="A769" t="str">
        <f t="shared" si="23"/>
        <v>C0768</v>
      </c>
      <c r="H769" t="str">
        <f t="shared" si="24"/>
        <v>Young Adult</v>
      </c>
    </row>
    <row r="770" spans="1:8">
      <c r="A770" t="str">
        <f t="shared" ref="A770:A833" si="25">"C"&amp;TEXT(ROW()-1,"0000")</f>
        <v>C0769</v>
      </c>
      <c r="H770" t="str">
        <f t="shared" ref="H770:H833" si="26">IF(C770&lt;30,"Young Adult","Older")</f>
        <v>Young Adult</v>
      </c>
    </row>
    <row r="771" spans="1:8">
      <c r="A771" t="str">
        <f t="shared" si="25"/>
        <v>C0770</v>
      </c>
      <c r="H771" t="str">
        <f t="shared" si="26"/>
        <v>Young Adult</v>
      </c>
    </row>
    <row r="772" spans="1:8">
      <c r="A772" t="str">
        <f t="shared" si="25"/>
        <v>C0771</v>
      </c>
      <c r="H772" t="str">
        <f t="shared" si="26"/>
        <v>Young Adult</v>
      </c>
    </row>
    <row r="773" spans="1:8">
      <c r="A773" t="str">
        <f t="shared" si="25"/>
        <v>C0772</v>
      </c>
      <c r="H773" t="str">
        <f t="shared" si="26"/>
        <v>Young Adult</v>
      </c>
    </row>
    <row r="774" spans="1:8">
      <c r="A774" t="str">
        <f t="shared" si="25"/>
        <v>C0773</v>
      </c>
      <c r="H774" t="str">
        <f t="shared" si="26"/>
        <v>Young Adult</v>
      </c>
    </row>
    <row r="775" spans="1:8">
      <c r="A775" t="str">
        <f t="shared" si="25"/>
        <v>C0774</v>
      </c>
      <c r="H775" t="str">
        <f t="shared" si="26"/>
        <v>Young Adult</v>
      </c>
    </row>
    <row r="776" spans="1:8">
      <c r="A776" t="str">
        <f t="shared" si="25"/>
        <v>C0775</v>
      </c>
      <c r="H776" t="str">
        <f t="shared" si="26"/>
        <v>Young Adult</v>
      </c>
    </row>
    <row r="777" spans="1:8">
      <c r="A777" t="str">
        <f t="shared" si="25"/>
        <v>C0776</v>
      </c>
      <c r="H777" t="str">
        <f t="shared" si="26"/>
        <v>Young Adult</v>
      </c>
    </row>
    <row r="778" spans="1:8">
      <c r="A778" t="str">
        <f t="shared" si="25"/>
        <v>C0777</v>
      </c>
      <c r="H778" t="str">
        <f t="shared" si="26"/>
        <v>Young Adult</v>
      </c>
    </row>
    <row r="779" spans="1:8">
      <c r="A779" t="str">
        <f t="shared" si="25"/>
        <v>C0778</v>
      </c>
      <c r="H779" t="str">
        <f t="shared" si="26"/>
        <v>Young Adult</v>
      </c>
    </row>
    <row r="780" spans="1:8">
      <c r="A780" t="str">
        <f t="shared" si="25"/>
        <v>C0779</v>
      </c>
      <c r="H780" t="str">
        <f t="shared" si="26"/>
        <v>Young Adult</v>
      </c>
    </row>
    <row r="781" spans="1:8">
      <c r="A781" t="str">
        <f t="shared" si="25"/>
        <v>C0780</v>
      </c>
      <c r="H781" t="str">
        <f t="shared" si="26"/>
        <v>Young Adult</v>
      </c>
    </row>
    <row r="782" spans="1:8">
      <c r="A782" t="str">
        <f t="shared" si="25"/>
        <v>C0781</v>
      </c>
      <c r="H782" t="str">
        <f t="shared" si="26"/>
        <v>Young Adult</v>
      </c>
    </row>
    <row r="783" spans="1:8">
      <c r="A783" t="str">
        <f t="shared" si="25"/>
        <v>C0782</v>
      </c>
      <c r="H783" t="str">
        <f t="shared" si="26"/>
        <v>Young Adult</v>
      </c>
    </row>
    <row r="784" spans="1:8">
      <c r="A784" t="str">
        <f t="shared" si="25"/>
        <v>C0783</v>
      </c>
      <c r="H784" t="str">
        <f t="shared" si="26"/>
        <v>Young Adult</v>
      </c>
    </row>
    <row r="785" spans="1:8">
      <c r="A785" t="str">
        <f t="shared" si="25"/>
        <v>C0784</v>
      </c>
      <c r="H785" t="str">
        <f t="shared" si="26"/>
        <v>Young Adult</v>
      </c>
    </row>
    <row r="786" spans="1:8">
      <c r="A786" t="str">
        <f t="shared" si="25"/>
        <v>C0785</v>
      </c>
      <c r="H786" t="str">
        <f t="shared" si="26"/>
        <v>Young Adult</v>
      </c>
    </row>
    <row r="787" spans="1:8">
      <c r="A787" t="str">
        <f t="shared" si="25"/>
        <v>C0786</v>
      </c>
      <c r="H787" t="str">
        <f t="shared" si="26"/>
        <v>Young Adult</v>
      </c>
    </row>
    <row r="788" spans="1:8">
      <c r="A788" t="str">
        <f t="shared" si="25"/>
        <v>C0787</v>
      </c>
      <c r="H788" t="str">
        <f t="shared" si="26"/>
        <v>Young Adult</v>
      </c>
    </row>
    <row r="789" spans="1:8">
      <c r="A789" t="str">
        <f t="shared" si="25"/>
        <v>C0788</v>
      </c>
      <c r="H789" t="str">
        <f t="shared" si="26"/>
        <v>Young Adult</v>
      </c>
    </row>
    <row r="790" spans="1:8">
      <c r="A790" t="str">
        <f t="shared" si="25"/>
        <v>C0789</v>
      </c>
      <c r="H790" t="str">
        <f t="shared" si="26"/>
        <v>Young Adult</v>
      </c>
    </row>
    <row r="791" spans="1:8">
      <c r="A791" t="str">
        <f t="shared" si="25"/>
        <v>C0790</v>
      </c>
      <c r="H791" t="str">
        <f t="shared" si="26"/>
        <v>Young Adult</v>
      </c>
    </row>
    <row r="792" spans="1:8">
      <c r="A792" t="str">
        <f t="shared" si="25"/>
        <v>C0791</v>
      </c>
      <c r="H792" t="str">
        <f t="shared" si="26"/>
        <v>Young Adult</v>
      </c>
    </row>
    <row r="793" spans="1:8">
      <c r="A793" t="str">
        <f t="shared" si="25"/>
        <v>C0792</v>
      </c>
      <c r="H793" t="str">
        <f t="shared" si="26"/>
        <v>Young Adult</v>
      </c>
    </row>
    <row r="794" spans="1:8">
      <c r="A794" t="str">
        <f t="shared" si="25"/>
        <v>C0793</v>
      </c>
      <c r="H794" t="str">
        <f t="shared" si="26"/>
        <v>Young Adult</v>
      </c>
    </row>
    <row r="795" spans="1:8">
      <c r="A795" t="str">
        <f t="shared" si="25"/>
        <v>C0794</v>
      </c>
      <c r="H795" t="str">
        <f t="shared" si="26"/>
        <v>Young Adult</v>
      </c>
    </row>
    <row r="796" spans="1:8">
      <c r="A796" t="str">
        <f t="shared" si="25"/>
        <v>C0795</v>
      </c>
      <c r="H796" t="str">
        <f t="shared" si="26"/>
        <v>Young Adult</v>
      </c>
    </row>
    <row r="797" spans="1:8">
      <c r="A797" t="str">
        <f t="shared" si="25"/>
        <v>C0796</v>
      </c>
      <c r="H797" t="str">
        <f t="shared" si="26"/>
        <v>Young Adult</v>
      </c>
    </row>
    <row r="798" spans="1:8">
      <c r="A798" t="str">
        <f t="shared" si="25"/>
        <v>C0797</v>
      </c>
      <c r="H798" t="str">
        <f t="shared" si="26"/>
        <v>Young Adult</v>
      </c>
    </row>
    <row r="799" spans="1:8">
      <c r="A799" t="str">
        <f t="shared" si="25"/>
        <v>C0798</v>
      </c>
      <c r="H799" t="str">
        <f t="shared" si="26"/>
        <v>Young Adult</v>
      </c>
    </row>
    <row r="800" spans="1:8">
      <c r="A800" t="str">
        <f t="shared" si="25"/>
        <v>C0799</v>
      </c>
      <c r="H800" t="str">
        <f t="shared" si="26"/>
        <v>Young Adult</v>
      </c>
    </row>
    <row r="801" spans="1:8">
      <c r="A801" t="str">
        <f t="shared" si="25"/>
        <v>C0800</v>
      </c>
      <c r="H801" t="str">
        <f t="shared" si="26"/>
        <v>Young Adult</v>
      </c>
    </row>
    <row r="802" spans="1:8">
      <c r="A802" t="str">
        <f t="shared" si="25"/>
        <v>C0801</v>
      </c>
      <c r="H802" t="str">
        <f t="shared" si="26"/>
        <v>Young Adult</v>
      </c>
    </row>
    <row r="803" spans="1:8">
      <c r="A803" t="str">
        <f t="shared" si="25"/>
        <v>C0802</v>
      </c>
      <c r="H803" t="str">
        <f t="shared" si="26"/>
        <v>Young Adult</v>
      </c>
    </row>
    <row r="804" spans="1:8">
      <c r="A804" t="str">
        <f t="shared" si="25"/>
        <v>C0803</v>
      </c>
      <c r="H804" t="str">
        <f t="shared" si="26"/>
        <v>Young Adult</v>
      </c>
    </row>
    <row r="805" spans="1:8">
      <c r="A805" t="str">
        <f t="shared" si="25"/>
        <v>C0804</v>
      </c>
      <c r="H805" t="str">
        <f t="shared" si="26"/>
        <v>Young Adult</v>
      </c>
    </row>
    <row r="806" spans="1:8">
      <c r="A806" t="str">
        <f t="shared" si="25"/>
        <v>C0805</v>
      </c>
      <c r="H806" t="str">
        <f t="shared" si="26"/>
        <v>Young Adult</v>
      </c>
    </row>
    <row r="807" spans="1:8">
      <c r="A807" t="str">
        <f t="shared" si="25"/>
        <v>C0806</v>
      </c>
      <c r="H807" t="str">
        <f t="shared" si="26"/>
        <v>Young Adult</v>
      </c>
    </row>
    <row r="808" spans="1:8">
      <c r="A808" t="str">
        <f t="shared" si="25"/>
        <v>C0807</v>
      </c>
      <c r="H808" t="str">
        <f t="shared" si="26"/>
        <v>Young Adult</v>
      </c>
    </row>
    <row r="809" spans="1:8">
      <c r="A809" t="str">
        <f t="shared" si="25"/>
        <v>C0808</v>
      </c>
      <c r="H809" t="str">
        <f t="shared" si="26"/>
        <v>Young Adult</v>
      </c>
    </row>
    <row r="810" spans="1:8">
      <c r="A810" t="str">
        <f t="shared" si="25"/>
        <v>C0809</v>
      </c>
      <c r="H810" t="str">
        <f t="shared" si="26"/>
        <v>Young Adult</v>
      </c>
    </row>
    <row r="811" spans="1:8">
      <c r="A811" t="str">
        <f t="shared" si="25"/>
        <v>C0810</v>
      </c>
      <c r="H811" t="str">
        <f t="shared" si="26"/>
        <v>Young Adult</v>
      </c>
    </row>
    <row r="812" spans="1:8">
      <c r="A812" t="str">
        <f t="shared" si="25"/>
        <v>C0811</v>
      </c>
      <c r="H812" t="str">
        <f t="shared" si="26"/>
        <v>Young Adult</v>
      </c>
    </row>
    <row r="813" spans="1:8">
      <c r="A813" t="str">
        <f t="shared" si="25"/>
        <v>C0812</v>
      </c>
      <c r="H813" t="str">
        <f t="shared" si="26"/>
        <v>Young Adult</v>
      </c>
    </row>
    <row r="814" spans="1:8">
      <c r="A814" t="str">
        <f t="shared" si="25"/>
        <v>C0813</v>
      </c>
      <c r="H814" t="str">
        <f t="shared" si="26"/>
        <v>Young Adult</v>
      </c>
    </row>
    <row r="815" spans="1:8">
      <c r="A815" t="str">
        <f t="shared" si="25"/>
        <v>C0814</v>
      </c>
      <c r="H815" t="str">
        <f t="shared" si="26"/>
        <v>Young Adult</v>
      </c>
    </row>
    <row r="816" spans="1:8">
      <c r="A816" t="str">
        <f t="shared" si="25"/>
        <v>C0815</v>
      </c>
      <c r="H816" t="str">
        <f t="shared" si="26"/>
        <v>Young Adult</v>
      </c>
    </row>
    <row r="817" spans="1:8">
      <c r="A817" t="str">
        <f t="shared" si="25"/>
        <v>C0816</v>
      </c>
      <c r="H817" t="str">
        <f t="shared" si="26"/>
        <v>Young Adult</v>
      </c>
    </row>
    <row r="818" spans="1:8">
      <c r="A818" t="str">
        <f t="shared" si="25"/>
        <v>C0817</v>
      </c>
      <c r="H818" t="str">
        <f t="shared" si="26"/>
        <v>Young Adult</v>
      </c>
    </row>
    <row r="819" spans="1:8">
      <c r="A819" t="str">
        <f t="shared" si="25"/>
        <v>C0818</v>
      </c>
      <c r="H819" t="str">
        <f t="shared" si="26"/>
        <v>Young Adult</v>
      </c>
    </row>
    <row r="820" spans="1:8">
      <c r="A820" t="str">
        <f t="shared" si="25"/>
        <v>C0819</v>
      </c>
      <c r="H820" t="str">
        <f t="shared" si="26"/>
        <v>Young Adult</v>
      </c>
    </row>
    <row r="821" spans="1:8">
      <c r="A821" t="str">
        <f t="shared" si="25"/>
        <v>C0820</v>
      </c>
      <c r="H821" t="str">
        <f t="shared" si="26"/>
        <v>Young Adult</v>
      </c>
    </row>
    <row r="822" spans="1:8">
      <c r="A822" t="str">
        <f t="shared" si="25"/>
        <v>C0821</v>
      </c>
      <c r="H822" t="str">
        <f t="shared" si="26"/>
        <v>Young Adult</v>
      </c>
    </row>
    <row r="823" spans="1:8">
      <c r="A823" t="str">
        <f t="shared" si="25"/>
        <v>C0822</v>
      </c>
      <c r="H823" t="str">
        <f t="shared" si="26"/>
        <v>Young Adult</v>
      </c>
    </row>
    <row r="824" spans="1:8">
      <c r="A824" t="str">
        <f t="shared" si="25"/>
        <v>C0823</v>
      </c>
      <c r="H824" t="str">
        <f t="shared" si="26"/>
        <v>Young Adult</v>
      </c>
    </row>
    <row r="825" spans="1:8">
      <c r="A825" t="str">
        <f t="shared" si="25"/>
        <v>C0824</v>
      </c>
      <c r="H825" t="str">
        <f t="shared" si="26"/>
        <v>Young Adult</v>
      </c>
    </row>
    <row r="826" spans="1:8">
      <c r="A826" t="str">
        <f t="shared" si="25"/>
        <v>C0825</v>
      </c>
      <c r="H826" t="str">
        <f t="shared" si="26"/>
        <v>Young Adult</v>
      </c>
    </row>
    <row r="827" spans="1:8">
      <c r="A827" t="str">
        <f t="shared" si="25"/>
        <v>C0826</v>
      </c>
      <c r="H827" t="str">
        <f t="shared" si="26"/>
        <v>Young Adult</v>
      </c>
    </row>
    <row r="828" spans="1:8">
      <c r="A828" t="str">
        <f t="shared" si="25"/>
        <v>C0827</v>
      </c>
      <c r="H828" t="str">
        <f t="shared" si="26"/>
        <v>Young Adult</v>
      </c>
    </row>
    <row r="829" spans="1:8">
      <c r="A829" t="str">
        <f t="shared" si="25"/>
        <v>C0828</v>
      </c>
      <c r="H829" t="str">
        <f t="shared" si="26"/>
        <v>Young Adult</v>
      </c>
    </row>
    <row r="830" spans="1:8">
      <c r="A830" t="str">
        <f t="shared" si="25"/>
        <v>C0829</v>
      </c>
      <c r="H830" t="str">
        <f t="shared" si="26"/>
        <v>Young Adult</v>
      </c>
    </row>
    <row r="831" spans="1:8">
      <c r="A831" t="str">
        <f t="shared" si="25"/>
        <v>C0830</v>
      </c>
      <c r="H831" t="str">
        <f t="shared" si="26"/>
        <v>Young Adult</v>
      </c>
    </row>
    <row r="832" spans="1:8">
      <c r="A832" t="str">
        <f t="shared" si="25"/>
        <v>C0831</v>
      </c>
      <c r="H832" t="str">
        <f t="shared" si="26"/>
        <v>Young Adult</v>
      </c>
    </row>
    <row r="833" spans="1:8">
      <c r="A833" t="str">
        <f t="shared" si="25"/>
        <v>C0832</v>
      </c>
      <c r="H833" t="str">
        <f t="shared" si="26"/>
        <v>Young Adult</v>
      </c>
    </row>
    <row r="834" spans="1:8">
      <c r="A834" t="str">
        <f t="shared" ref="A834:A897" si="27">"C"&amp;TEXT(ROW()-1,"0000")</f>
        <v>C0833</v>
      </c>
      <c r="H834" t="str">
        <f t="shared" ref="H834:H897" si="28">IF(C834&lt;30,"Young Adult","Older")</f>
        <v>Young Adult</v>
      </c>
    </row>
    <row r="835" spans="1:8">
      <c r="A835" t="str">
        <f t="shared" si="27"/>
        <v>C0834</v>
      </c>
      <c r="H835" t="str">
        <f t="shared" si="28"/>
        <v>Young Adult</v>
      </c>
    </row>
    <row r="836" spans="1:8">
      <c r="A836" t="str">
        <f t="shared" si="27"/>
        <v>C0835</v>
      </c>
      <c r="H836" t="str">
        <f t="shared" si="28"/>
        <v>Young Adult</v>
      </c>
    </row>
    <row r="837" spans="1:8">
      <c r="A837" t="str">
        <f t="shared" si="27"/>
        <v>C0836</v>
      </c>
      <c r="H837" t="str">
        <f t="shared" si="28"/>
        <v>Young Adult</v>
      </c>
    </row>
    <row r="838" spans="1:8">
      <c r="A838" t="str">
        <f t="shared" si="27"/>
        <v>C0837</v>
      </c>
      <c r="H838" t="str">
        <f t="shared" si="28"/>
        <v>Young Adult</v>
      </c>
    </row>
    <row r="839" spans="1:8">
      <c r="A839" t="str">
        <f t="shared" si="27"/>
        <v>C0838</v>
      </c>
      <c r="H839" t="str">
        <f t="shared" si="28"/>
        <v>Young Adult</v>
      </c>
    </row>
    <row r="840" spans="1:8">
      <c r="A840" t="str">
        <f t="shared" si="27"/>
        <v>C0839</v>
      </c>
      <c r="H840" t="str">
        <f t="shared" si="28"/>
        <v>Young Adult</v>
      </c>
    </row>
    <row r="841" spans="1:8">
      <c r="A841" t="str">
        <f t="shared" si="27"/>
        <v>C0840</v>
      </c>
      <c r="H841" t="str">
        <f t="shared" si="28"/>
        <v>Young Adult</v>
      </c>
    </row>
    <row r="842" spans="1:8">
      <c r="A842" t="str">
        <f t="shared" si="27"/>
        <v>C0841</v>
      </c>
      <c r="H842" t="str">
        <f t="shared" si="28"/>
        <v>Young Adult</v>
      </c>
    </row>
    <row r="843" spans="1:8">
      <c r="A843" t="str">
        <f t="shared" si="27"/>
        <v>C0842</v>
      </c>
      <c r="H843" t="str">
        <f t="shared" si="28"/>
        <v>Young Adult</v>
      </c>
    </row>
    <row r="844" spans="1:8">
      <c r="A844" t="str">
        <f t="shared" si="27"/>
        <v>C0843</v>
      </c>
      <c r="H844" t="str">
        <f t="shared" si="28"/>
        <v>Young Adult</v>
      </c>
    </row>
    <row r="845" spans="1:8">
      <c r="A845" t="str">
        <f t="shared" si="27"/>
        <v>C0844</v>
      </c>
      <c r="H845" t="str">
        <f t="shared" si="28"/>
        <v>Young Adult</v>
      </c>
    </row>
    <row r="846" spans="1:8">
      <c r="A846" t="str">
        <f t="shared" si="27"/>
        <v>C0845</v>
      </c>
      <c r="H846" t="str">
        <f t="shared" si="28"/>
        <v>Young Adult</v>
      </c>
    </row>
    <row r="847" spans="1:8">
      <c r="A847" t="str">
        <f t="shared" si="27"/>
        <v>C0846</v>
      </c>
      <c r="H847" t="str">
        <f t="shared" si="28"/>
        <v>Young Adult</v>
      </c>
    </row>
    <row r="848" spans="1:8">
      <c r="A848" t="str">
        <f t="shared" si="27"/>
        <v>C0847</v>
      </c>
      <c r="H848" t="str">
        <f t="shared" si="28"/>
        <v>Young Adult</v>
      </c>
    </row>
    <row r="849" spans="1:8">
      <c r="A849" t="str">
        <f t="shared" si="27"/>
        <v>C0848</v>
      </c>
      <c r="H849" t="str">
        <f t="shared" si="28"/>
        <v>Young Adult</v>
      </c>
    </row>
    <row r="850" spans="1:8">
      <c r="A850" t="str">
        <f t="shared" si="27"/>
        <v>C0849</v>
      </c>
      <c r="H850" t="str">
        <f t="shared" si="28"/>
        <v>Young Adult</v>
      </c>
    </row>
    <row r="851" spans="1:8">
      <c r="A851" t="str">
        <f t="shared" si="27"/>
        <v>C0850</v>
      </c>
      <c r="H851" t="str">
        <f t="shared" si="28"/>
        <v>Young Adult</v>
      </c>
    </row>
    <row r="852" spans="1:8">
      <c r="A852" t="str">
        <f t="shared" si="27"/>
        <v>C0851</v>
      </c>
      <c r="H852" t="str">
        <f t="shared" si="28"/>
        <v>Young Adult</v>
      </c>
    </row>
    <row r="853" spans="1:8">
      <c r="A853" t="str">
        <f t="shared" si="27"/>
        <v>C0852</v>
      </c>
      <c r="H853" t="str">
        <f t="shared" si="28"/>
        <v>Young Adult</v>
      </c>
    </row>
    <row r="854" spans="1:8">
      <c r="A854" t="str">
        <f t="shared" si="27"/>
        <v>C0853</v>
      </c>
      <c r="H854" t="str">
        <f t="shared" si="28"/>
        <v>Young Adult</v>
      </c>
    </row>
    <row r="855" spans="1:8">
      <c r="A855" t="str">
        <f t="shared" si="27"/>
        <v>C0854</v>
      </c>
      <c r="H855" t="str">
        <f t="shared" si="28"/>
        <v>Young Adult</v>
      </c>
    </row>
    <row r="856" spans="1:8">
      <c r="A856" t="str">
        <f t="shared" si="27"/>
        <v>C0855</v>
      </c>
      <c r="H856" t="str">
        <f t="shared" si="28"/>
        <v>Young Adult</v>
      </c>
    </row>
    <row r="857" spans="1:8">
      <c r="A857" t="str">
        <f t="shared" si="27"/>
        <v>C0856</v>
      </c>
      <c r="H857" t="str">
        <f t="shared" si="28"/>
        <v>Young Adult</v>
      </c>
    </row>
    <row r="858" spans="1:8">
      <c r="A858" t="str">
        <f t="shared" si="27"/>
        <v>C0857</v>
      </c>
      <c r="H858" t="str">
        <f t="shared" si="28"/>
        <v>Young Adult</v>
      </c>
    </row>
    <row r="859" spans="1:8">
      <c r="A859" t="str">
        <f t="shared" si="27"/>
        <v>C0858</v>
      </c>
      <c r="H859" t="str">
        <f t="shared" si="28"/>
        <v>Young Adult</v>
      </c>
    </row>
    <row r="860" spans="1:8">
      <c r="A860" t="str">
        <f t="shared" si="27"/>
        <v>C0859</v>
      </c>
      <c r="H860" t="str">
        <f t="shared" si="28"/>
        <v>Young Adult</v>
      </c>
    </row>
    <row r="861" spans="1:8">
      <c r="A861" t="str">
        <f t="shared" si="27"/>
        <v>C0860</v>
      </c>
      <c r="H861" t="str">
        <f t="shared" si="28"/>
        <v>Young Adult</v>
      </c>
    </row>
    <row r="862" spans="1:8">
      <c r="A862" t="str">
        <f t="shared" si="27"/>
        <v>C0861</v>
      </c>
      <c r="H862" t="str">
        <f t="shared" si="28"/>
        <v>Young Adult</v>
      </c>
    </row>
    <row r="863" spans="1:8">
      <c r="A863" t="str">
        <f t="shared" si="27"/>
        <v>C0862</v>
      </c>
      <c r="H863" t="str">
        <f t="shared" si="28"/>
        <v>Young Adult</v>
      </c>
    </row>
    <row r="864" spans="1:8">
      <c r="A864" t="str">
        <f t="shared" si="27"/>
        <v>C0863</v>
      </c>
      <c r="H864" t="str">
        <f t="shared" si="28"/>
        <v>Young Adult</v>
      </c>
    </row>
    <row r="865" spans="1:8">
      <c r="A865" t="str">
        <f t="shared" si="27"/>
        <v>C0864</v>
      </c>
      <c r="H865" t="str">
        <f t="shared" si="28"/>
        <v>Young Adult</v>
      </c>
    </row>
    <row r="866" spans="1:8">
      <c r="A866" t="str">
        <f t="shared" si="27"/>
        <v>C0865</v>
      </c>
      <c r="H866" t="str">
        <f t="shared" si="28"/>
        <v>Young Adult</v>
      </c>
    </row>
    <row r="867" spans="1:8">
      <c r="A867" t="str">
        <f t="shared" si="27"/>
        <v>C0866</v>
      </c>
      <c r="H867" t="str">
        <f t="shared" si="28"/>
        <v>Young Adult</v>
      </c>
    </row>
    <row r="868" spans="1:8">
      <c r="A868" t="str">
        <f t="shared" si="27"/>
        <v>C0867</v>
      </c>
      <c r="H868" t="str">
        <f t="shared" si="28"/>
        <v>Young Adult</v>
      </c>
    </row>
    <row r="869" spans="1:8">
      <c r="A869" t="str">
        <f t="shared" si="27"/>
        <v>C0868</v>
      </c>
      <c r="H869" t="str">
        <f t="shared" si="28"/>
        <v>Young Adult</v>
      </c>
    </row>
    <row r="870" spans="1:8">
      <c r="A870" t="str">
        <f t="shared" si="27"/>
        <v>C0869</v>
      </c>
      <c r="H870" t="str">
        <f t="shared" si="28"/>
        <v>Young Adult</v>
      </c>
    </row>
    <row r="871" spans="1:8">
      <c r="A871" t="str">
        <f t="shared" si="27"/>
        <v>C0870</v>
      </c>
      <c r="H871" t="str">
        <f t="shared" si="28"/>
        <v>Young Adult</v>
      </c>
    </row>
    <row r="872" spans="1:8">
      <c r="A872" t="str">
        <f t="shared" si="27"/>
        <v>C0871</v>
      </c>
      <c r="H872" t="str">
        <f t="shared" si="28"/>
        <v>Young Adult</v>
      </c>
    </row>
    <row r="873" spans="1:8">
      <c r="A873" t="str">
        <f t="shared" si="27"/>
        <v>C0872</v>
      </c>
      <c r="H873" t="str">
        <f t="shared" si="28"/>
        <v>Young Adult</v>
      </c>
    </row>
    <row r="874" spans="1:8">
      <c r="A874" t="str">
        <f t="shared" si="27"/>
        <v>C0873</v>
      </c>
      <c r="H874" t="str">
        <f t="shared" si="28"/>
        <v>Young Adult</v>
      </c>
    </row>
    <row r="875" spans="1:8">
      <c r="A875" t="str">
        <f t="shared" si="27"/>
        <v>C0874</v>
      </c>
      <c r="H875" t="str">
        <f t="shared" si="28"/>
        <v>Young Adult</v>
      </c>
    </row>
    <row r="876" spans="1:8">
      <c r="A876" t="str">
        <f t="shared" si="27"/>
        <v>C0875</v>
      </c>
      <c r="H876" t="str">
        <f t="shared" si="28"/>
        <v>Young Adult</v>
      </c>
    </row>
    <row r="877" spans="1:8">
      <c r="A877" t="str">
        <f t="shared" si="27"/>
        <v>C0876</v>
      </c>
      <c r="H877" t="str">
        <f t="shared" si="28"/>
        <v>Young Adult</v>
      </c>
    </row>
    <row r="878" spans="1:8">
      <c r="A878" t="str">
        <f t="shared" si="27"/>
        <v>C0877</v>
      </c>
      <c r="H878" t="str">
        <f t="shared" si="28"/>
        <v>Young Adult</v>
      </c>
    </row>
    <row r="879" spans="1:8">
      <c r="A879" t="str">
        <f t="shared" si="27"/>
        <v>C0878</v>
      </c>
      <c r="H879" t="str">
        <f t="shared" si="28"/>
        <v>Young Adult</v>
      </c>
    </row>
    <row r="880" spans="1:8">
      <c r="A880" t="str">
        <f t="shared" si="27"/>
        <v>C0879</v>
      </c>
      <c r="H880" t="str">
        <f t="shared" si="28"/>
        <v>Young Adult</v>
      </c>
    </row>
    <row r="881" spans="1:8">
      <c r="A881" t="str">
        <f t="shared" si="27"/>
        <v>C0880</v>
      </c>
      <c r="H881" t="str">
        <f t="shared" si="28"/>
        <v>Young Adult</v>
      </c>
    </row>
    <row r="882" spans="1:8">
      <c r="A882" t="str">
        <f t="shared" si="27"/>
        <v>C0881</v>
      </c>
      <c r="H882" t="str">
        <f t="shared" si="28"/>
        <v>Young Adult</v>
      </c>
    </row>
    <row r="883" spans="1:8">
      <c r="A883" t="str">
        <f t="shared" si="27"/>
        <v>C0882</v>
      </c>
      <c r="H883" t="str">
        <f t="shared" si="28"/>
        <v>Young Adult</v>
      </c>
    </row>
    <row r="884" spans="1:8">
      <c r="A884" t="str">
        <f t="shared" si="27"/>
        <v>C0883</v>
      </c>
      <c r="H884" t="str">
        <f t="shared" si="28"/>
        <v>Young Adult</v>
      </c>
    </row>
    <row r="885" spans="1:8">
      <c r="A885" t="str">
        <f t="shared" si="27"/>
        <v>C0884</v>
      </c>
      <c r="H885" t="str">
        <f t="shared" si="28"/>
        <v>Young Adult</v>
      </c>
    </row>
    <row r="886" spans="1:8">
      <c r="A886" t="str">
        <f t="shared" si="27"/>
        <v>C0885</v>
      </c>
      <c r="H886" t="str">
        <f t="shared" si="28"/>
        <v>Young Adult</v>
      </c>
    </row>
    <row r="887" spans="1:8">
      <c r="A887" t="str">
        <f t="shared" si="27"/>
        <v>C0886</v>
      </c>
      <c r="H887" t="str">
        <f t="shared" si="28"/>
        <v>Young Adult</v>
      </c>
    </row>
    <row r="888" spans="1:8">
      <c r="A888" t="str">
        <f t="shared" si="27"/>
        <v>C0887</v>
      </c>
      <c r="H888" t="str">
        <f t="shared" si="28"/>
        <v>Young Adult</v>
      </c>
    </row>
    <row r="889" spans="1:8">
      <c r="A889" t="str">
        <f t="shared" si="27"/>
        <v>C0888</v>
      </c>
      <c r="H889" t="str">
        <f t="shared" si="28"/>
        <v>Young Adult</v>
      </c>
    </row>
    <row r="890" spans="1:8">
      <c r="A890" t="str">
        <f t="shared" si="27"/>
        <v>C0889</v>
      </c>
      <c r="H890" t="str">
        <f t="shared" si="28"/>
        <v>Young Adult</v>
      </c>
    </row>
    <row r="891" spans="1:8">
      <c r="A891" t="str">
        <f t="shared" si="27"/>
        <v>C0890</v>
      </c>
      <c r="H891" t="str">
        <f t="shared" si="28"/>
        <v>Young Adult</v>
      </c>
    </row>
    <row r="892" spans="1:8">
      <c r="A892" t="str">
        <f t="shared" si="27"/>
        <v>C0891</v>
      </c>
      <c r="H892" t="str">
        <f t="shared" si="28"/>
        <v>Young Adult</v>
      </c>
    </row>
    <row r="893" spans="1:8">
      <c r="A893" t="str">
        <f t="shared" si="27"/>
        <v>C0892</v>
      </c>
      <c r="H893" t="str">
        <f t="shared" si="28"/>
        <v>Young Adult</v>
      </c>
    </row>
    <row r="894" spans="1:8">
      <c r="A894" t="str">
        <f t="shared" si="27"/>
        <v>C0893</v>
      </c>
      <c r="H894" t="str">
        <f t="shared" si="28"/>
        <v>Young Adult</v>
      </c>
    </row>
    <row r="895" spans="1:8">
      <c r="A895" t="str">
        <f t="shared" si="27"/>
        <v>C0894</v>
      </c>
      <c r="H895" t="str">
        <f t="shared" si="28"/>
        <v>Young Adult</v>
      </c>
    </row>
    <row r="896" spans="1:8">
      <c r="A896" t="str">
        <f t="shared" si="27"/>
        <v>C0895</v>
      </c>
      <c r="H896" t="str">
        <f t="shared" si="28"/>
        <v>Young Adult</v>
      </c>
    </row>
    <row r="897" spans="1:8">
      <c r="A897" t="str">
        <f t="shared" si="27"/>
        <v>C0896</v>
      </c>
      <c r="H897" t="str">
        <f t="shared" si="28"/>
        <v>Young Adult</v>
      </c>
    </row>
    <row r="898" spans="1:8">
      <c r="A898" t="str">
        <f t="shared" ref="A898:A961" si="29">"C"&amp;TEXT(ROW()-1,"0000")</f>
        <v>C0897</v>
      </c>
      <c r="H898" t="str">
        <f t="shared" ref="H898:H961" si="30">IF(C898&lt;30,"Young Adult","Older")</f>
        <v>Young Adult</v>
      </c>
    </row>
    <row r="899" spans="1:8">
      <c r="A899" t="str">
        <f t="shared" si="29"/>
        <v>C0898</v>
      </c>
      <c r="H899" t="str">
        <f t="shared" si="30"/>
        <v>Young Adult</v>
      </c>
    </row>
    <row r="900" spans="1:8">
      <c r="A900" t="str">
        <f t="shared" si="29"/>
        <v>C0899</v>
      </c>
      <c r="H900" t="str">
        <f t="shared" si="30"/>
        <v>Young Adult</v>
      </c>
    </row>
    <row r="901" spans="1:8">
      <c r="A901" t="str">
        <f t="shared" si="29"/>
        <v>C0900</v>
      </c>
      <c r="H901" t="str">
        <f t="shared" si="30"/>
        <v>Young Adult</v>
      </c>
    </row>
    <row r="902" spans="1:8">
      <c r="A902" t="str">
        <f t="shared" si="29"/>
        <v>C0901</v>
      </c>
      <c r="H902" t="str">
        <f t="shared" si="30"/>
        <v>Young Adult</v>
      </c>
    </row>
    <row r="903" spans="1:8">
      <c r="A903" t="str">
        <f t="shared" si="29"/>
        <v>C0902</v>
      </c>
      <c r="H903" t="str">
        <f t="shared" si="30"/>
        <v>Young Adult</v>
      </c>
    </row>
    <row r="904" spans="1:8">
      <c r="A904" t="str">
        <f t="shared" si="29"/>
        <v>C0903</v>
      </c>
      <c r="H904" t="str">
        <f t="shared" si="30"/>
        <v>Young Adult</v>
      </c>
    </row>
    <row r="905" spans="1:8">
      <c r="A905" t="str">
        <f t="shared" si="29"/>
        <v>C0904</v>
      </c>
      <c r="H905" t="str">
        <f t="shared" si="30"/>
        <v>Young Adult</v>
      </c>
    </row>
    <row r="906" spans="1:8">
      <c r="A906" t="str">
        <f t="shared" si="29"/>
        <v>C0905</v>
      </c>
      <c r="H906" t="str">
        <f t="shared" si="30"/>
        <v>Young Adult</v>
      </c>
    </row>
    <row r="907" spans="1:8">
      <c r="A907" t="str">
        <f t="shared" si="29"/>
        <v>C0906</v>
      </c>
      <c r="H907" t="str">
        <f t="shared" si="30"/>
        <v>Young Adult</v>
      </c>
    </row>
    <row r="908" spans="1:8">
      <c r="A908" t="str">
        <f t="shared" si="29"/>
        <v>C0907</v>
      </c>
      <c r="H908" t="str">
        <f t="shared" si="30"/>
        <v>Young Adult</v>
      </c>
    </row>
    <row r="909" spans="1:8">
      <c r="A909" t="str">
        <f t="shared" si="29"/>
        <v>C0908</v>
      </c>
      <c r="H909" t="str">
        <f t="shared" si="30"/>
        <v>Young Adult</v>
      </c>
    </row>
    <row r="910" spans="1:8">
      <c r="A910" t="str">
        <f t="shared" si="29"/>
        <v>C0909</v>
      </c>
      <c r="H910" t="str">
        <f t="shared" si="30"/>
        <v>Young Adult</v>
      </c>
    </row>
    <row r="911" spans="1:8">
      <c r="A911" t="str">
        <f t="shared" si="29"/>
        <v>C0910</v>
      </c>
      <c r="H911" t="str">
        <f t="shared" si="30"/>
        <v>Young Adult</v>
      </c>
    </row>
    <row r="912" spans="1:8">
      <c r="A912" t="str">
        <f t="shared" si="29"/>
        <v>C0911</v>
      </c>
      <c r="H912" t="str">
        <f t="shared" si="30"/>
        <v>Young Adult</v>
      </c>
    </row>
    <row r="913" spans="1:8">
      <c r="A913" t="str">
        <f t="shared" si="29"/>
        <v>C0912</v>
      </c>
      <c r="H913" t="str">
        <f t="shared" si="30"/>
        <v>Young Adult</v>
      </c>
    </row>
    <row r="914" spans="1:8">
      <c r="A914" t="str">
        <f t="shared" si="29"/>
        <v>C0913</v>
      </c>
      <c r="H914" t="str">
        <f t="shared" si="30"/>
        <v>Young Adult</v>
      </c>
    </row>
    <row r="915" spans="1:8">
      <c r="A915" t="str">
        <f t="shared" si="29"/>
        <v>C0914</v>
      </c>
      <c r="H915" t="str">
        <f t="shared" si="30"/>
        <v>Young Adult</v>
      </c>
    </row>
    <row r="916" spans="1:8">
      <c r="A916" t="str">
        <f t="shared" si="29"/>
        <v>C0915</v>
      </c>
      <c r="H916" t="str">
        <f t="shared" si="30"/>
        <v>Young Adult</v>
      </c>
    </row>
    <row r="917" spans="1:8">
      <c r="A917" t="str">
        <f t="shared" si="29"/>
        <v>C0916</v>
      </c>
      <c r="H917" t="str">
        <f t="shared" si="30"/>
        <v>Young Adult</v>
      </c>
    </row>
    <row r="918" spans="1:8">
      <c r="A918" t="str">
        <f t="shared" si="29"/>
        <v>C0917</v>
      </c>
      <c r="H918" t="str">
        <f t="shared" si="30"/>
        <v>Young Adult</v>
      </c>
    </row>
    <row r="919" spans="1:8">
      <c r="A919" t="str">
        <f t="shared" si="29"/>
        <v>C0918</v>
      </c>
      <c r="H919" t="str">
        <f t="shared" si="30"/>
        <v>Young Adult</v>
      </c>
    </row>
    <row r="920" spans="1:8">
      <c r="A920" t="str">
        <f t="shared" si="29"/>
        <v>C0919</v>
      </c>
      <c r="H920" t="str">
        <f t="shared" si="30"/>
        <v>Young Adult</v>
      </c>
    </row>
    <row r="921" spans="1:8">
      <c r="A921" t="str">
        <f t="shared" si="29"/>
        <v>C0920</v>
      </c>
      <c r="H921" t="str">
        <f t="shared" si="30"/>
        <v>Young Adult</v>
      </c>
    </row>
    <row r="922" spans="1:8">
      <c r="A922" t="str">
        <f t="shared" si="29"/>
        <v>C0921</v>
      </c>
      <c r="H922" t="str">
        <f t="shared" si="30"/>
        <v>Young Adult</v>
      </c>
    </row>
    <row r="923" spans="1:8">
      <c r="A923" t="str">
        <f t="shared" si="29"/>
        <v>C0922</v>
      </c>
      <c r="H923" t="str">
        <f t="shared" si="30"/>
        <v>Young Adult</v>
      </c>
    </row>
    <row r="924" spans="1:8">
      <c r="A924" t="str">
        <f t="shared" si="29"/>
        <v>C0923</v>
      </c>
      <c r="H924" t="str">
        <f t="shared" si="30"/>
        <v>Young Adult</v>
      </c>
    </row>
    <row r="925" spans="1:8">
      <c r="A925" t="str">
        <f t="shared" si="29"/>
        <v>C0924</v>
      </c>
      <c r="H925" t="str">
        <f t="shared" si="30"/>
        <v>Young Adult</v>
      </c>
    </row>
    <row r="926" spans="1:8">
      <c r="A926" t="str">
        <f t="shared" si="29"/>
        <v>C0925</v>
      </c>
      <c r="H926" t="str">
        <f t="shared" si="30"/>
        <v>Young Adult</v>
      </c>
    </row>
    <row r="927" spans="1:8">
      <c r="A927" t="str">
        <f t="shared" si="29"/>
        <v>C0926</v>
      </c>
      <c r="H927" t="str">
        <f t="shared" si="30"/>
        <v>Young Adult</v>
      </c>
    </row>
    <row r="928" spans="1:8">
      <c r="A928" t="str">
        <f t="shared" si="29"/>
        <v>C0927</v>
      </c>
      <c r="H928" t="str">
        <f t="shared" si="30"/>
        <v>Young Adult</v>
      </c>
    </row>
    <row r="929" spans="1:8">
      <c r="A929" t="str">
        <f t="shared" si="29"/>
        <v>C0928</v>
      </c>
      <c r="H929" t="str">
        <f t="shared" si="30"/>
        <v>Young Adult</v>
      </c>
    </row>
    <row r="930" spans="1:8">
      <c r="A930" t="str">
        <f t="shared" si="29"/>
        <v>C0929</v>
      </c>
      <c r="H930" t="str">
        <f t="shared" si="30"/>
        <v>Young Adult</v>
      </c>
    </row>
    <row r="931" spans="1:8">
      <c r="A931" t="str">
        <f t="shared" si="29"/>
        <v>C0930</v>
      </c>
      <c r="H931" t="str">
        <f t="shared" si="30"/>
        <v>Young Adult</v>
      </c>
    </row>
    <row r="932" spans="1:8">
      <c r="A932" t="str">
        <f t="shared" si="29"/>
        <v>C0931</v>
      </c>
      <c r="H932" t="str">
        <f t="shared" si="30"/>
        <v>Young Adult</v>
      </c>
    </row>
    <row r="933" spans="1:8">
      <c r="A933" t="str">
        <f t="shared" si="29"/>
        <v>C0932</v>
      </c>
      <c r="H933" t="str">
        <f t="shared" si="30"/>
        <v>Young Adult</v>
      </c>
    </row>
    <row r="934" spans="1:8">
      <c r="A934" t="str">
        <f t="shared" si="29"/>
        <v>C0933</v>
      </c>
      <c r="H934" t="str">
        <f t="shared" si="30"/>
        <v>Young Adult</v>
      </c>
    </row>
    <row r="935" spans="1:8">
      <c r="A935" t="str">
        <f t="shared" si="29"/>
        <v>C0934</v>
      </c>
      <c r="H935" t="str">
        <f t="shared" si="30"/>
        <v>Young Adult</v>
      </c>
    </row>
    <row r="936" spans="1:8">
      <c r="A936" t="str">
        <f t="shared" si="29"/>
        <v>C0935</v>
      </c>
      <c r="H936" t="str">
        <f t="shared" si="30"/>
        <v>Young Adult</v>
      </c>
    </row>
    <row r="937" spans="1:8">
      <c r="A937" t="str">
        <f t="shared" si="29"/>
        <v>C0936</v>
      </c>
      <c r="H937" t="str">
        <f t="shared" si="30"/>
        <v>Young Adult</v>
      </c>
    </row>
    <row r="938" spans="1:8">
      <c r="A938" t="str">
        <f t="shared" si="29"/>
        <v>C0937</v>
      </c>
      <c r="H938" t="str">
        <f t="shared" si="30"/>
        <v>Young Adult</v>
      </c>
    </row>
    <row r="939" spans="1:8">
      <c r="A939" t="str">
        <f t="shared" si="29"/>
        <v>C0938</v>
      </c>
      <c r="H939" t="str">
        <f t="shared" si="30"/>
        <v>Young Adult</v>
      </c>
    </row>
    <row r="940" spans="1:8">
      <c r="A940" t="str">
        <f t="shared" si="29"/>
        <v>C0939</v>
      </c>
      <c r="H940" t="str">
        <f t="shared" si="30"/>
        <v>Young Adult</v>
      </c>
    </row>
    <row r="941" spans="1:8">
      <c r="A941" t="str">
        <f t="shared" si="29"/>
        <v>C0940</v>
      </c>
      <c r="H941" t="str">
        <f t="shared" si="30"/>
        <v>Young Adult</v>
      </c>
    </row>
    <row r="942" spans="1:8">
      <c r="A942" t="str">
        <f t="shared" si="29"/>
        <v>C0941</v>
      </c>
      <c r="H942" t="str">
        <f t="shared" si="30"/>
        <v>Young Adult</v>
      </c>
    </row>
    <row r="943" spans="1:8">
      <c r="A943" t="str">
        <f t="shared" si="29"/>
        <v>C0942</v>
      </c>
      <c r="H943" t="str">
        <f t="shared" si="30"/>
        <v>Young Adult</v>
      </c>
    </row>
    <row r="944" spans="1:8">
      <c r="A944" t="str">
        <f t="shared" si="29"/>
        <v>C0943</v>
      </c>
      <c r="H944" t="str">
        <f t="shared" si="30"/>
        <v>Young Adult</v>
      </c>
    </row>
    <row r="945" spans="1:8">
      <c r="A945" t="str">
        <f t="shared" si="29"/>
        <v>C0944</v>
      </c>
      <c r="H945" t="str">
        <f t="shared" si="30"/>
        <v>Young Adult</v>
      </c>
    </row>
    <row r="946" spans="1:8">
      <c r="A946" t="str">
        <f t="shared" si="29"/>
        <v>C0945</v>
      </c>
      <c r="H946" t="str">
        <f t="shared" si="30"/>
        <v>Young Adult</v>
      </c>
    </row>
    <row r="947" spans="1:8">
      <c r="A947" t="str">
        <f t="shared" si="29"/>
        <v>C0946</v>
      </c>
      <c r="H947" t="str">
        <f t="shared" si="30"/>
        <v>Young Adult</v>
      </c>
    </row>
    <row r="948" spans="1:8">
      <c r="A948" t="str">
        <f t="shared" si="29"/>
        <v>C0947</v>
      </c>
      <c r="H948" t="str">
        <f t="shared" si="30"/>
        <v>Young Adult</v>
      </c>
    </row>
    <row r="949" spans="1:8">
      <c r="A949" t="str">
        <f t="shared" si="29"/>
        <v>C0948</v>
      </c>
      <c r="H949" t="str">
        <f t="shared" si="30"/>
        <v>Young Adult</v>
      </c>
    </row>
    <row r="950" spans="1:8">
      <c r="A950" t="str">
        <f t="shared" si="29"/>
        <v>C0949</v>
      </c>
      <c r="H950" t="str">
        <f t="shared" si="30"/>
        <v>Young Adult</v>
      </c>
    </row>
    <row r="951" spans="1:8">
      <c r="A951" t="str">
        <f t="shared" si="29"/>
        <v>C0950</v>
      </c>
      <c r="H951" t="str">
        <f t="shared" si="30"/>
        <v>Young Adult</v>
      </c>
    </row>
    <row r="952" spans="1:8">
      <c r="A952" t="str">
        <f t="shared" si="29"/>
        <v>C0951</v>
      </c>
      <c r="H952" t="str">
        <f t="shared" si="30"/>
        <v>Young Adult</v>
      </c>
    </row>
    <row r="953" spans="1:8">
      <c r="A953" t="str">
        <f t="shared" si="29"/>
        <v>C0952</v>
      </c>
      <c r="H953" t="str">
        <f t="shared" si="30"/>
        <v>Young Adult</v>
      </c>
    </row>
    <row r="954" spans="1:8">
      <c r="A954" t="str">
        <f t="shared" si="29"/>
        <v>C0953</v>
      </c>
      <c r="H954" t="str">
        <f t="shared" si="30"/>
        <v>Young Adult</v>
      </c>
    </row>
    <row r="955" spans="1:8">
      <c r="A955" t="str">
        <f t="shared" si="29"/>
        <v>C0954</v>
      </c>
      <c r="H955" t="str">
        <f t="shared" si="30"/>
        <v>Young Adult</v>
      </c>
    </row>
    <row r="956" spans="1:8">
      <c r="A956" t="str">
        <f t="shared" si="29"/>
        <v>C0955</v>
      </c>
      <c r="H956" t="str">
        <f t="shared" si="30"/>
        <v>Young Adult</v>
      </c>
    </row>
    <row r="957" spans="1:8">
      <c r="A957" t="str">
        <f t="shared" si="29"/>
        <v>C0956</v>
      </c>
      <c r="H957" t="str">
        <f t="shared" si="30"/>
        <v>Young Adult</v>
      </c>
    </row>
    <row r="958" spans="1:8">
      <c r="A958" t="str">
        <f t="shared" si="29"/>
        <v>C0957</v>
      </c>
      <c r="H958" t="str">
        <f t="shared" si="30"/>
        <v>Young Adult</v>
      </c>
    </row>
    <row r="959" spans="1:8">
      <c r="A959" t="str">
        <f t="shared" si="29"/>
        <v>C0958</v>
      </c>
      <c r="H959" t="str">
        <f t="shared" si="30"/>
        <v>Young Adult</v>
      </c>
    </row>
    <row r="960" spans="1:8">
      <c r="A960" t="str">
        <f t="shared" si="29"/>
        <v>C0959</v>
      </c>
      <c r="H960" t="str">
        <f t="shared" si="30"/>
        <v>Young Adult</v>
      </c>
    </row>
    <row r="961" spans="1:8">
      <c r="A961" t="str">
        <f t="shared" si="29"/>
        <v>C0960</v>
      </c>
      <c r="H961" t="str">
        <f t="shared" si="30"/>
        <v>Young Adult</v>
      </c>
    </row>
    <row r="962" spans="1:8">
      <c r="A962" t="str">
        <f t="shared" ref="A962:A1001" si="31">"C"&amp;TEXT(ROW()-1,"0000")</f>
        <v>C0961</v>
      </c>
      <c r="H962" t="str">
        <f t="shared" ref="H962:H1001" si="32">IF(C962&lt;30,"Young Adult","Older")</f>
        <v>Young Adult</v>
      </c>
    </row>
    <row r="963" spans="1:8">
      <c r="A963" t="str">
        <f t="shared" si="31"/>
        <v>C0962</v>
      </c>
      <c r="H963" t="str">
        <f t="shared" si="32"/>
        <v>Young Adult</v>
      </c>
    </row>
    <row r="964" spans="1:8">
      <c r="A964" t="str">
        <f t="shared" si="31"/>
        <v>C0963</v>
      </c>
      <c r="H964" t="str">
        <f t="shared" si="32"/>
        <v>Young Adult</v>
      </c>
    </row>
    <row r="965" spans="1:8">
      <c r="A965" t="str">
        <f t="shared" si="31"/>
        <v>C0964</v>
      </c>
      <c r="H965" t="str">
        <f t="shared" si="32"/>
        <v>Young Adult</v>
      </c>
    </row>
    <row r="966" spans="1:8">
      <c r="A966" t="str">
        <f t="shared" si="31"/>
        <v>C0965</v>
      </c>
      <c r="H966" t="str">
        <f t="shared" si="32"/>
        <v>Young Adult</v>
      </c>
    </row>
    <row r="967" spans="1:8">
      <c r="A967" t="str">
        <f t="shared" si="31"/>
        <v>C0966</v>
      </c>
      <c r="H967" t="str">
        <f t="shared" si="32"/>
        <v>Young Adult</v>
      </c>
    </row>
    <row r="968" spans="1:8">
      <c r="A968" t="str">
        <f t="shared" si="31"/>
        <v>C0967</v>
      </c>
      <c r="H968" t="str">
        <f t="shared" si="32"/>
        <v>Young Adult</v>
      </c>
    </row>
    <row r="969" spans="1:8">
      <c r="A969" t="str">
        <f t="shared" si="31"/>
        <v>C0968</v>
      </c>
      <c r="H969" t="str">
        <f t="shared" si="32"/>
        <v>Young Adult</v>
      </c>
    </row>
    <row r="970" spans="1:8">
      <c r="A970" t="str">
        <f t="shared" si="31"/>
        <v>C0969</v>
      </c>
      <c r="H970" t="str">
        <f t="shared" si="32"/>
        <v>Young Adult</v>
      </c>
    </row>
    <row r="971" spans="1:8">
      <c r="A971" t="str">
        <f t="shared" si="31"/>
        <v>C0970</v>
      </c>
      <c r="H971" t="str">
        <f t="shared" si="32"/>
        <v>Young Adult</v>
      </c>
    </row>
    <row r="972" spans="1:8">
      <c r="A972" t="str">
        <f t="shared" si="31"/>
        <v>C0971</v>
      </c>
      <c r="H972" t="str">
        <f t="shared" si="32"/>
        <v>Young Adult</v>
      </c>
    </row>
    <row r="973" spans="1:8">
      <c r="A973" t="str">
        <f t="shared" si="31"/>
        <v>C0972</v>
      </c>
      <c r="H973" t="str">
        <f t="shared" si="32"/>
        <v>Young Adult</v>
      </c>
    </row>
    <row r="974" spans="1:8">
      <c r="A974" t="str">
        <f t="shared" si="31"/>
        <v>C0973</v>
      </c>
      <c r="H974" t="str">
        <f t="shared" si="32"/>
        <v>Young Adult</v>
      </c>
    </row>
    <row r="975" spans="1:8">
      <c r="A975" t="str">
        <f t="shared" si="31"/>
        <v>C0974</v>
      </c>
      <c r="H975" t="str">
        <f t="shared" si="32"/>
        <v>Young Adult</v>
      </c>
    </row>
    <row r="976" spans="1:8">
      <c r="A976" t="str">
        <f t="shared" si="31"/>
        <v>C0975</v>
      </c>
      <c r="H976" t="str">
        <f t="shared" si="32"/>
        <v>Young Adult</v>
      </c>
    </row>
    <row r="977" spans="1:8">
      <c r="A977" t="str">
        <f t="shared" si="31"/>
        <v>C0976</v>
      </c>
      <c r="H977" t="str">
        <f t="shared" si="32"/>
        <v>Young Adult</v>
      </c>
    </row>
    <row r="978" spans="1:8">
      <c r="A978" t="str">
        <f t="shared" si="31"/>
        <v>C0977</v>
      </c>
      <c r="H978" t="str">
        <f t="shared" si="32"/>
        <v>Young Adult</v>
      </c>
    </row>
    <row r="979" spans="1:8">
      <c r="A979" t="str">
        <f t="shared" si="31"/>
        <v>C0978</v>
      </c>
      <c r="H979" t="str">
        <f t="shared" si="32"/>
        <v>Young Adult</v>
      </c>
    </row>
    <row r="980" spans="1:8">
      <c r="A980" t="str">
        <f t="shared" si="31"/>
        <v>C0979</v>
      </c>
      <c r="H980" t="str">
        <f t="shared" si="32"/>
        <v>Young Adult</v>
      </c>
    </row>
    <row r="981" spans="1:8">
      <c r="A981" t="str">
        <f t="shared" si="31"/>
        <v>C0980</v>
      </c>
      <c r="H981" t="str">
        <f t="shared" si="32"/>
        <v>Young Adult</v>
      </c>
    </row>
    <row r="982" spans="1:8">
      <c r="A982" t="str">
        <f t="shared" si="31"/>
        <v>C0981</v>
      </c>
      <c r="H982" t="str">
        <f t="shared" si="32"/>
        <v>Young Adult</v>
      </c>
    </row>
    <row r="983" spans="1:8">
      <c r="A983" t="str">
        <f t="shared" si="31"/>
        <v>C0982</v>
      </c>
      <c r="H983" t="str">
        <f t="shared" si="32"/>
        <v>Young Adult</v>
      </c>
    </row>
    <row r="984" spans="1:8">
      <c r="A984" t="str">
        <f t="shared" si="31"/>
        <v>C0983</v>
      </c>
      <c r="H984" t="str">
        <f t="shared" si="32"/>
        <v>Young Adult</v>
      </c>
    </row>
    <row r="985" spans="1:8">
      <c r="A985" t="str">
        <f t="shared" si="31"/>
        <v>C0984</v>
      </c>
      <c r="H985" t="str">
        <f t="shared" si="32"/>
        <v>Young Adult</v>
      </c>
    </row>
    <row r="986" spans="1:8">
      <c r="A986" t="str">
        <f t="shared" si="31"/>
        <v>C0985</v>
      </c>
      <c r="H986" t="str">
        <f t="shared" si="32"/>
        <v>Young Adult</v>
      </c>
    </row>
    <row r="987" spans="1:8">
      <c r="A987" t="str">
        <f t="shared" si="31"/>
        <v>C0986</v>
      </c>
      <c r="H987" t="str">
        <f t="shared" si="32"/>
        <v>Young Adult</v>
      </c>
    </row>
    <row r="988" spans="1:8">
      <c r="A988" t="str">
        <f t="shared" si="31"/>
        <v>C0987</v>
      </c>
      <c r="H988" t="str">
        <f t="shared" si="32"/>
        <v>Young Adult</v>
      </c>
    </row>
    <row r="989" spans="1:8">
      <c r="A989" t="str">
        <f t="shared" si="31"/>
        <v>C0988</v>
      </c>
      <c r="H989" t="str">
        <f t="shared" si="32"/>
        <v>Young Adult</v>
      </c>
    </row>
    <row r="990" spans="1:8">
      <c r="A990" t="str">
        <f t="shared" si="31"/>
        <v>C0989</v>
      </c>
      <c r="H990" t="str">
        <f t="shared" si="32"/>
        <v>Young Adult</v>
      </c>
    </row>
    <row r="991" spans="1:8">
      <c r="A991" t="str">
        <f t="shared" si="31"/>
        <v>C0990</v>
      </c>
      <c r="H991" t="str">
        <f t="shared" si="32"/>
        <v>Young Adult</v>
      </c>
    </row>
    <row r="992" spans="1:8">
      <c r="A992" t="str">
        <f t="shared" si="31"/>
        <v>C0991</v>
      </c>
      <c r="H992" t="str">
        <f t="shared" si="32"/>
        <v>Young Adult</v>
      </c>
    </row>
    <row r="993" spans="1:8">
      <c r="A993" t="str">
        <f t="shared" si="31"/>
        <v>C0992</v>
      </c>
      <c r="H993" t="str">
        <f t="shared" si="32"/>
        <v>Young Adult</v>
      </c>
    </row>
    <row r="994" spans="1:8">
      <c r="A994" t="str">
        <f t="shared" si="31"/>
        <v>C0993</v>
      </c>
      <c r="H994" t="str">
        <f t="shared" si="32"/>
        <v>Young Adult</v>
      </c>
    </row>
    <row r="995" spans="1:8">
      <c r="A995" t="str">
        <f t="shared" si="31"/>
        <v>C0994</v>
      </c>
      <c r="H995" t="str">
        <f t="shared" si="32"/>
        <v>Young Adult</v>
      </c>
    </row>
    <row r="996" spans="1:8">
      <c r="A996" t="str">
        <f t="shared" si="31"/>
        <v>C0995</v>
      </c>
      <c r="H996" t="str">
        <f t="shared" si="32"/>
        <v>Young Adult</v>
      </c>
    </row>
    <row r="997" spans="1:8">
      <c r="A997" t="str">
        <f t="shared" si="31"/>
        <v>C0996</v>
      </c>
      <c r="H997" t="str">
        <f t="shared" si="32"/>
        <v>Young Adult</v>
      </c>
    </row>
    <row r="998" spans="1:8">
      <c r="A998" t="str">
        <f t="shared" si="31"/>
        <v>C0997</v>
      </c>
      <c r="H998" t="str">
        <f t="shared" si="32"/>
        <v>Young Adult</v>
      </c>
    </row>
    <row r="999" spans="1:8">
      <c r="A999" t="str">
        <f t="shared" si="31"/>
        <v>C0998</v>
      </c>
      <c r="H999" t="str">
        <f t="shared" si="32"/>
        <v>Young Adult</v>
      </c>
    </row>
    <row r="1000" spans="1:8">
      <c r="A1000" t="str">
        <f t="shared" si="31"/>
        <v>C0999</v>
      </c>
      <c r="H1000" t="str">
        <f t="shared" si="32"/>
        <v>Young Adult</v>
      </c>
    </row>
    <row r="1001" spans="1:8">
      <c r="A1001" t="str">
        <f t="shared" si="31"/>
        <v>C1000</v>
      </c>
      <c r="H1001" t="str">
        <f t="shared" si="32"/>
        <v>Young Adult</v>
      </c>
    </row>
  </sheetData>
  <phoneticPr fontId="4" type="noConversion"/>
  <dataValidations count="4">
    <dataValidation type="list" allowBlank="1" showInputMessage="1" showErrorMessage="1" sqref="D2:D9" xr:uid="{99D0050A-D889-4D95-810D-D2148D34D66B}">
      <formula1>"Male,Female,Other"</formula1>
    </dataValidation>
    <dataValidation type="list" allowBlank="1" showInputMessage="1" showErrorMessage="1" sqref="D10:D11" xr:uid="{A3E01EC0-13E8-4D0F-A003-E0A9B732E33F}">
      <formula1>"Male,Female,Others"</formula1>
    </dataValidation>
    <dataValidation type="list" allowBlank="1" showInputMessage="1" showErrorMessage="1" sqref="E2:E11" xr:uid="{C91EE6B4-BC13-4B57-B750-574F9237FBF6}">
      <formula1>"Kolkata,Delhi,Mumbai,Bangalore,Chennai,Hyderabad,Pune,Ahmedabad,Jaipur,Lucknow"</formula1>
    </dataValidation>
    <dataValidation type="list" allowBlank="1" showInputMessage="1" showErrorMessage="1" sqref="F2:F10" xr:uid="{BDF99FDF-09BE-42C7-BB10-639320CB227A}">
      <formula1>"North,South,East,West"</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609B-D2FE-435D-9DA5-27EFA938EB7C}">
  <dimension ref="A1:XFD15"/>
  <sheetViews>
    <sheetView workbookViewId="0">
      <selection sqref="A1:E11"/>
    </sheetView>
  </sheetViews>
  <sheetFormatPr defaultRowHeight="14.4"/>
  <cols>
    <col min="1" max="1" width="12.109375" customWidth="1"/>
    <col min="2" max="2" width="15.33203125" customWidth="1"/>
    <col min="3" max="3" width="10.21875" customWidth="1"/>
    <col min="4" max="4" width="12.6640625" bestFit="1" customWidth="1"/>
    <col min="5" max="5" width="11.6640625" bestFit="1" customWidth="1"/>
    <col min="6" max="14" width="10.44140625" customWidth="1"/>
    <col min="15" max="104" width="11.44140625" customWidth="1"/>
    <col min="105" max="1004" width="12.44140625" customWidth="1"/>
    <col min="1005" max="10004" width="13.44140625" customWidth="1"/>
    <col min="10005" max="16384" width="14.44140625" customWidth="1"/>
  </cols>
  <sheetData>
    <row r="1" spans="1:16384">
      <c r="A1" s="1" t="s">
        <v>27</v>
      </c>
      <c r="B1" s="1" t="s">
        <v>28</v>
      </c>
      <c r="C1" s="1" t="s">
        <v>29</v>
      </c>
      <c r="D1" s="1" t="s">
        <v>30</v>
      </c>
      <c r="E1" s="1" t="s">
        <v>31</v>
      </c>
      <c r="F1" t="s">
        <v>46</v>
      </c>
      <c r="G1" t="s">
        <v>47</v>
      </c>
      <c r="H1" t="s">
        <v>48</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c r="BK1" t="s">
        <v>103</v>
      </c>
      <c r="BL1" t="s">
        <v>104</v>
      </c>
      <c r="BM1" t="s">
        <v>105</v>
      </c>
      <c r="BN1" t="s">
        <v>106</v>
      </c>
      <c r="BO1" t="s">
        <v>107</v>
      </c>
      <c r="BP1" t="s">
        <v>108</v>
      </c>
      <c r="BQ1" t="s">
        <v>109</v>
      </c>
      <c r="BR1" t="s">
        <v>110</v>
      </c>
      <c r="BS1" t="s">
        <v>111</v>
      </c>
      <c r="BT1" t="s">
        <v>112</v>
      </c>
      <c r="BU1" t="s">
        <v>113</v>
      </c>
      <c r="BV1" t="s">
        <v>114</v>
      </c>
      <c r="BW1" t="s">
        <v>115</v>
      </c>
      <c r="BX1" t="s">
        <v>116</v>
      </c>
      <c r="BY1" t="s">
        <v>117</v>
      </c>
      <c r="BZ1" t="s">
        <v>118</v>
      </c>
      <c r="CA1" t="s">
        <v>119</v>
      </c>
      <c r="CB1" t="s">
        <v>120</v>
      </c>
      <c r="CC1" t="s">
        <v>121</v>
      </c>
      <c r="CD1" t="s">
        <v>122</v>
      </c>
      <c r="CE1" t="s">
        <v>123</v>
      </c>
      <c r="CF1" t="s">
        <v>124</v>
      </c>
      <c r="CG1" t="s">
        <v>125</v>
      </c>
      <c r="CH1" t="s">
        <v>126</v>
      </c>
      <c r="CI1" t="s">
        <v>127</v>
      </c>
      <c r="CJ1" t="s">
        <v>128</v>
      </c>
      <c r="CK1" t="s">
        <v>129</v>
      </c>
      <c r="CL1" t="s">
        <v>130</v>
      </c>
      <c r="CM1" t="s">
        <v>131</v>
      </c>
      <c r="CN1" t="s">
        <v>132</v>
      </c>
      <c r="CO1" t="s">
        <v>133</v>
      </c>
      <c r="CP1" t="s">
        <v>134</v>
      </c>
      <c r="CQ1" t="s">
        <v>135</v>
      </c>
      <c r="CR1" t="s">
        <v>136</v>
      </c>
      <c r="CS1" t="s">
        <v>137</v>
      </c>
      <c r="CT1" t="s">
        <v>138</v>
      </c>
      <c r="CU1" t="s">
        <v>139</v>
      </c>
      <c r="CV1" t="s">
        <v>140</v>
      </c>
      <c r="CW1" t="s">
        <v>141</v>
      </c>
      <c r="CX1" t="s">
        <v>142</v>
      </c>
      <c r="CY1" t="s">
        <v>143</v>
      </c>
      <c r="CZ1" t="s">
        <v>144</v>
      </c>
      <c r="DA1" t="s">
        <v>145</v>
      </c>
      <c r="DB1" t="s">
        <v>146</v>
      </c>
      <c r="DC1" t="s">
        <v>147</v>
      </c>
      <c r="DD1" t="s">
        <v>148</v>
      </c>
      <c r="DE1" t="s">
        <v>149</v>
      </c>
      <c r="DF1" t="s">
        <v>150</v>
      </c>
      <c r="DG1" t="s">
        <v>151</v>
      </c>
      <c r="DH1" t="s">
        <v>152</v>
      </c>
      <c r="DI1" t="s">
        <v>153</v>
      </c>
      <c r="DJ1" t="s">
        <v>154</v>
      </c>
      <c r="DK1" t="s">
        <v>155</v>
      </c>
      <c r="DL1" t="s">
        <v>156</v>
      </c>
      <c r="DM1" t="s">
        <v>157</v>
      </c>
      <c r="DN1" t="s">
        <v>158</v>
      </c>
      <c r="DO1" t="s">
        <v>159</v>
      </c>
      <c r="DP1" t="s">
        <v>160</v>
      </c>
      <c r="DQ1" t="s">
        <v>161</v>
      </c>
      <c r="DR1" t="s">
        <v>162</v>
      </c>
      <c r="DS1" t="s">
        <v>163</v>
      </c>
      <c r="DT1" t="s">
        <v>164</v>
      </c>
      <c r="DU1" t="s">
        <v>165</v>
      </c>
      <c r="DV1" t="s">
        <v>166</v>
      </c>
      <c r="DW1" t="s">
        <v>167</v>
      </c>
      <c r="DX1" t="s">
        <v>168</v>
      </c>
      <c r="DY1" t="s">
        <v>169</v>
      </c>
      <c r="DZ1" t="s">
        <v>170</v>
      </c>
      <c r="EA1" t="s">
        <v>171</v>
      </c>
      <c r="EB1" t="s">
        <v>172</v>
      </c>
      <c r="EC1" t="s">
        <v>173</v>
      </c>
      <c r="ED1" t="s">
        <v>174</v>
      </c>
      <c r="EE1" t="s">
        <v>175</v>
      </c>
      <c r="EF1" t="s">
        <v>176</v>
      </c>
      <c r="EG1" t="s">
        <v>177</v>
      </c>
      <c r="EH1" t="s">
        <v>178</v>
      </c>
      <c r="EI1" t="s">
        <v>179</v>
      </c>
      <c r="EJ1" t="s">
        <v>180</v>
      </c>
      <c r="EK1" t="s">
        <v>181</v>
      </c>
      <c r="EL1" t="s">
        <v>182</v>
      </c>
      <c r="EM1" t="s">
        <v>183</v>
      </c>
      <c r="EN1" t="s">
        <v>184</v>
      </c>
      <c r="EO1" t="s">
        <v>185</v>
      </c>
      <c r="EP1" t="s">
        <v>186</v>
      </c>
      <c r="EQ1" t="s">
        <v>187</v>
      </c>
      <c r="ER1" t="s">
        <v>188</v>
      </c>
      <c r="ES1" t="s">
        <v>189</v>
      </c>
      <c r="ET1" t="s">
        <v>190</v>
      </c>
      <c r="EU1" t="s">
        <v>191</v>
      </c>
      <c r="EV1" t="s">
        <v>192</v>
      </c>
      <c r="EW1" t="s">
        <v>193</v>
      </c>
      <c r="EX1" t="s">
        <v>194</v>
      </c>
      <c r="EY1" t="s">
        <v>195</v>
      </c>
      <c r="EZ1" t="s">
        <v>196</v>
      </c>
      <c r="FA1" t="s">
        <v>197</v>
      </c>
      <c r="FB1" t="s">
        <v>198</v>
      </c>
      <c r="FC1" t="s">
        <v>199</v>
      </c>
      <c r="FD1" t="s">
        <v>200</v>
      </c>
      <c r="FE1" t="s">
        <v>201</v>
      </c>
      <c r="FF1" t="s">
        <v>202</v>
      </c>
      <c r="FG1" t="s">
        <v>203</v>
      </c>
      <c r="FH1" t="s">
        <v>204</v>
      </c>
      <c r="FI1" t="s">
        <v>205</v>
      </c>
      <c r="FJ1" t="s">
        <v>206</v>
      </c>
      <c r="FK1" t="s">
        <v>207</v>
      </c>
      <c r="FL1" t="s">
        <v>208</v>
      </c>
      <c r="FM1" t="s">
        <v>209</v>
      </c>
      <c r="FN1" t="s">
        <v>210</v>
      </c>
      <c r="FO1" t="s">
        <v>211</v>
      </c>
      <c r="FP1" t="s">
        <v>212</v>
      </c>
      <c r="FQ1" t="s">
        <v>213</v>
      </c>
      <c r="FR1" t="s">
        <v>214</v>
      </c>
      <c r="FS1" t="s">
        <v>215</v>
      </c>
      <c r="FT1" t="s">
        <v>216</v>
      </c>
      <c r="FU1" t="s">
        <v>217</v>
      </c>
      <c r="FV1" t="s">
        <v>218</v>
      </c>
      <c r="FW1" t="s">
        <v>219</v>
      </c>
      <c r="FX1" t="s">
        <v>220</v>
      </c>
      <c r="FY1" t="s">
        <v>221</v>
      </c>
      <c r="FZ1" t="s">
        <v>222</v>
      </c>
      <c r="GA1" t="s">
        <v>223</v>
      </c>
      <c r="GB1" t="s">
        <v>224</v>
      </c>
      <c r="GC1" t="s">
        <v>225</v>
      </c>
      <c r="GD1" t="s">
        <v>226</v>
      </c>
      <c r="GE1" t="s">
        <v>227</v>
      </c>
      <c r="GF1" t="s">
        <v>228</v>
      </c>
      <c r="GG1" t="s">
        <v>229</v>
      </c>
      <c r="GH1" t="s">
        <v>230</v>
      </c>
      <c r="GI1" t="s">
        <v>231</v>
      </c>
      <c r="GJ1" t="s">
        <v>232</v>
      </c>
      <c r="GK1" t="s">
        <v>233</v>
      </c>
      <c r="GL1" t="s">
        <v>234</v>
      </c>
      <c r="GM1" t="s">
        <v>235</v>
      </c>
      <c r="GN1" t="s">
        <v>236</v>
      </c>
      <c r="GO1" t="s">
        <v>237</v>
      </c>
      <c r="GP1" t="s">
        <v>238</v>
      </c>
      <c r="GQ1" t="s">
        <v>239</v>
      </c>
      <c r="GR1" t="s">
        <v>240</v>
      </c>
      <c r="GS1" t="s">
        <v>241</v>
      </c>
      <c r="GT1" t="s">
        <v>242</v>
      </c>
      <c r="GU1" t="s">
        <v>243</v>
      </c>
      <c r="GV1" t="s">
        <v>244</v>
      </c>
      <c r="GW1" t="s">
        <v>245</v>
      </c>
      <c r="GX1" t="s">
        <v>246</v>
      </c>
      <c r="GY1" t="s">
        <v>247</v>
      </c>
      <c r="GZ1" t="s">
        <v>248</v>
      </c>
      <c r="HA1" t="s">
        <v>249</v>
      </c>
      <c r="HB1" t="s">
        <v>250</v>
      </c>
      <c r="HC1" t="s">
        <v>251</v>
      </c>
      <c r="HD1" t="s">
        <v>252</v>
      </c>
      <c r="HE1" t="s">
        <v>253</v>
      </c>
      <c r="HF1" t="s">
        <v>254</v>
      </c>
      <c r="HG1" t="s">
        <v>255</v>
      </c>
      <c r="HH1" t="s">
        <v>256</v>
      </c>
      <c r="HI1" t="s">
        <v>257</v>
      </c>
      <c r="HJ1" t="s">
        <v>258</v>
      </c>
      <c r="HK1" t="s">
        <v>259</v>
      </c>
      <c r="HL1" t="s">
        <v>260</v>
      </c>
      <c r="HM1" t="s">
        <v>261</v>
      </c>
      <c r="HN1" t="s">
        <v>262</v>
      </c>
      <c r="HO1" t="s">
        <v>263</v>
      </c>
      <c r="HP1" t="s">
        <v>264</v>
      </c>
      <c r="HQ1" t="s">
        <v>265</v>
      </c>
      <c r="HR1" t="s">
        <v>266</v>
      </c>
      <c r="HS1" t="s">
        <v>267</v>
      </c>
      <c r="HT1" t="s">
        <v>268</v>
      </c>
      <c r="HU1" t="s">
        <v>269</v>
      </c>
      <c r="HV1" t="s">
        <v>270</v>
      </c>
      <c r="HW1" t="s">
        <v>271</v>
      </c>
      <c r="HX1" t="s">
        <v>272</v>
      </c>
      <c r="HY1" t="s">
        <v>273</v>
      </c>
      <c r="HZ1" t="s">
        <v>274</v>
      </c>
      <c r="IA1" t="s">
        <v>275</v>
      </c>
      <c r="IB1" t="s">
        <v>276</v>
      </c>
      <c r="IC1" t="s">
        <v>277</v>
      </c>
      <c r="ID1" t="s">
        <v>278</v>
      </c>
      <c r="IE1" t="s">
        <v>279</v>
      </c>
      <c r="IF1" t="s">
        <v>280</v>
      </c>
      <c r="IG1" t="s">
        <v>281</v>
      </c>
      <c r="IH1" t="s">
        <v>282</v>
      </c>
      <c r="II1" t="s">
        <v>283</v>
      </c>
      <c r="IJ1" t="s">
        <v>284</v>
      </c>
      <c r="IK1" t="s">
        <v>285</v>
      </c>
      <c r="IL1" t="s">
        <v>286</v>
      </c>
      <c r="IM1" t="s">
        <v>287</v>
      </c>
      <c r="IN1" t="s">
        <v>288</v>
      </c>
      <c r="IO1" t="s">
        <v>289</v>
      </c>
      <c r="IP1" t="s">
        <v>290</v>
      </c>
      <c r="IQ1" t="s">
        <v>291</v>
      </c>
      <c r="IR1" t="s">
        <v>292</v>
      </c>
      <c r="IS1" t="s">
        <v>293</v>
      </c>
      <c r="IT1" t="s">
        <v>294</v>
      </c>
      <c r="IU1" t="s">
        <v>295</v>
      </c>
      <c r="IV1" t="s">
        <v>296</v>
      </c>
      <c r="IW1" t="s">
        <v>297</v>
      </c>
      <c r="IX1" t="s">
        <v>298</v>
      </c>
      <c r="IY1" t="s">
        <v>299</v>
      </c>
      <c r="IZ1" t="s">
        <v>300</v>
      </c>
      <c r="JA1" t="s">
        <v>301</v>
      </c>
      <c r="JB1" t="s">
        <v>302</v>
      </c>
      <c r="JC1" t="s">
        <v>303</v>
      </c>
      <c r="JD1" t="s">
        <v>304</v>
      </c>
      <c r="JE1" t="s">
        <v>305</v>
      </c>
      <c r="JF1" t="s">
        <v>306</v>
      </c>
      <c r="JG1" t="s">
        <v>307</v>
      </c>
      <c r="JH1" t="s">
        <v>308</v>
      </c>
      <c r="JI1" t="s">
        <v>309</v>
      </c>
      <c r="JJ1" t="s">
        <v>310</v>
      </c>
      <c r="JK1" t="s">
        <v>311</v>
      </c>
      <c r="JL1" t="s">
        <v>312</v>
      </c>
      <c r="JM1" t="s">
        <v>313</v>
      </c>
      <c r="JN1" t="s">
        <v>314</v>
      </c>
      <c r="JO1" t="s">
        <v>315</v>
      </c>
      <c r="JP1" t="s">
        <v>316</v>
      </c>
      <c r="JQ1" t="s">
        <v>317</v>
      </c>
      <c r="JR1" t="s">
        <v>318</v>
      </c>
      <c r="JS1" t="s">
        <v>319</v>
      </c>
      <c r="JT1" t="s">
        <v>320</v>
      </c>
      <c r="JU1" t="s">
        <v>321</v>
      </c>
      <c r="JV1" t="s">
        <v>322</v>
      </c>
      <c r="JW1" t="s">
        <v>323</v>
      </c>
      <c r="JX1" t="s">
        <v>324</v>
      </c>
      <c r="JY1" t="s">
        <v>325</v>
      </c>
      <c r="JZ1" t="s">
        <v>326</v>
      </c>
      <c r="KA1" t="s">
        <v>327</v>
      </c>
      <c r="KB1" t="s">
        <v>328</v>
      </c>
      <c r="KC1" t="s">
        <v>329</v>
      </c>
      <c r="KD1" t="s">
        <v>330</v>
      </c>
      <c r="KE1" t="s">
        <v>331</v>
      </c>
      <c r="KF1" t="s">
        <v>332</v>
      </c>
      <c r="KG1" t="s">
        <v>333</v>
      </c>
      <c r="KH1" t="s">
        <v>334</v>
      </c>
      <c r="KI1" t="s">
        <v>335</v>
      </c>
      <c r="KJ1" t="s">
        <v>336</v>
      </c>
      <c r="KK1" t="s">
        <v>337</v>
      </c>
      <c r="KL1" t="s">
        <v>338</v>
      </c>
      <c r="KM1" t="s">
        <v>339</v>
      </c>
      <c r="KN1" t="s">
        <v>340</v>
      </c>
      <c r="KO1" t="s">
        <v>341</v>
      </c>
      <c r="KP1" t="s">
        <v>342</v>
      </c>
      <c r="KQ1" t="s">
        <v>343</v>
      </c>
      <c r="KR1" t="s">
        <v>344</v>
      </c>
      <c r="KS1" t="s">
        <v>345</v>
      </c>
      <c r="KT1" t="s">
        <v>346</v>
      </c>
      <c r="KU1" t="s">
        <v>347</v>
      </c>
      <c r="KV1" t="s">
        <v>348</v>
      </c>
      <c r="KW1" t="s">
        <v>349</v>
      </c>
      <c r="KX1" t="s">
        <v>350</v>
      </c>
      <c r="KY1" t="s">
        <v>351</v>
      </c>
      <c r="KZ1" t="s">
        <v>352</v>
      </c>
      <c r="LA1" t="s">
        <v>353</v>
      </c>
      <c r="LB1" t="s">
        <v>354</v>
      </c>
      <c r="LC1" t="s">
        <v>355</v>
      </c>
      <c r="LD1" t="s">
        <v>356</v>
      </c>
      <c r="LE1" t="s">
        <v>357</v>
      </c>
      <c r="LF1" t="s">
        <v>358</v>
      </c>
      <c r="LG1" t="s">
        <v>359</v>
      </c>
      <c r="LH1" t="s">
        <v>360</v>
      </c>
      <c r="LI1" t="s">
        <v>361</v>
      </c>
      <c r="LJ1" t="s">
        <v>362</v>
      </c>
      <c r="LK1" t="s">
        <v>363</v>
      </c>
      <c r="LL1" t="s">
        <v>364</v>
      </c>
      <c r="LM1" t="s">
        <v>365</v>
      </c>
      <c r="LN1" t="s">
        <v>366</v>
      </c>
      <c r="LO1" t="s">
        <v>367</v>
      </c>
      <c r="LP1" t="s">
        <v>368</v>
      </c>
      <c r="LQ1" t="s">
        <v>369</v>
      </c>
      <c r="LR1" t="s">
        <v>370</v>
      </c>
      <c r="LS1" t="s">
        <v>371</v>
      </c>
      <c r="LT1" t="s">
        <v>372</v>
      </c>
      <c r="LU1" t="s">
        <v>373</v>
      </c>
      <c r="LV1" t="s">
        <v>374</v>
      </c>
      <c r="LW1" t="s">
        <v>375</v>
      </c>
      <c r="LX1" t="s">
        <v>376</v>
      </c>
      <c r="LY1" t="s">
        <v>377</v>
      </c>
      <c r="LZ1" t="s">
        <v>378</v>
      </c>
      <c r="MA1" t="s">
        <v>379</v>
      </c>
      <c r="MB1" t="s">
        <v>380</v>
      </c>
      <c r="MC1" t="s">
        <v>381</v>
      </c>
      <c r="MD1" t="s">
        <v>382</v>
      </c>
      <c r="ME1" t="s">
        <v>383</v>
      </c>
      <c r="MF1" t="s">
        <v>384</v>
      </c>
      <c r="MG1" t="s">
        <v>385</v>
      </c>
      <c r="MH1" t="s">
        <v>386</v>
      </c>
      <c r="MI1" t="s">
        <v>387</v>
      </c>
      <c r="MJ1" t="s">
        <v>388</v>
      </c>
      <c r="MK1" t="s">
        <v>389</v>
      </c>
      <c r="ML1" t="s">
        <v>390</v>
      </c>
      <c r="MM1" t="s">
        <v>391</v>
      </c>
      <c r="MN1" t="s">
        <v>392</v>
      </c>
      <c r="MO1" t="s">
        <v>393</v>
      </c>
      <c r="MP1" t="s">
        <v>394</v>
      </c>
      <c r="MQ1" t="s">
        <v>395</v>
      </c>
      <c r="MR1" t="s">
        <v>396</v>
      </c>
      <c r="MS1" t="s">
        <v>397</v>
      </c>
      <c r="MT1" t="s">
        <v>398</v>
      </c>
      <c r="MU1" t="s">
        <v>399</v>
      </c>
      <c r="MV1" t="s">
        <v>400</v>
      </c>
      <c r="MW1" t="s">
        <v>401</v>
      </c>
      <c r="MX1" t="s">
        <v>402</v>
      </c>
      <c r="MY1" t="s">
        <v>403</v>
      </c>
      <c r="MZ1" t="s">
        <v>404</v>
      </c>
      <c r="NA1" t="s">
        <v>405</v>
      </c>
      <c r="NB1" t="s">
        <v>406</v>
      </c>
      <c r="NC1" t="s">
        <v>407</v>
      </c>
      <c r="ND1" t="s">
        <v>408</v>
      </c>
      <c r="NE1" t="s">
        <v>409</v>
      </c>
      <c r="NF1" t="s">
        <v>410</v>
      </c>
      <c r="NG1" t="s">
        <v>411</v>
      </c>
      <c r="NH1" t="s">
        <v>412</v>
      </c>
      <c r="NI1" t="s">
        <v>413</v>
      </c>
      <c r="NJ1" t="s">
        <v>414</v>
      </c>
      <c r="NK1" t="s">
        <v>415</v>
      </c>
      <c r="NL1" t="s">
        <v>416</v>
      </c>
      <c r="NM1" t="s">
        <v>417</v>
      </c>
      <c r="NN1" t="s">
        <v>418</v>
      </c>
      <c r="NO1" t="s">
        <v>419</v>
      </c>
      <c r="NP1" t="s">
        <v>420</v>
      </c>
      <c r="NQ1" t="s">
        <v>421</v>
      </c>
      <c r="NR1" t="s">
        <v>422</v>
      </c>
      <c r="NS1" t="s">
        <v>423</v>
      </c>
      <c r="NT1" t="s">
        <v>424</v>
      </c>
      <c r="NU1" t="s">
        <v>425</v>
      </c>
      <c r="NV1" t="s">
        <v>426</v>
      </c>
      <c r="NW1" t="s">
        <v>427</v>
      </c>
      <c r="NX1" t="s">
        <v>428</v>
      </c>
      <c r="NY1" t="s">
        <v>429</v>
      </c>
      <c r="NZ1" t="s">
        <v>430</v>
      </c>
      <c r="OA1" t="s">
        <v>431</v>
      </c>
      <c r="OB1" t="s">
        <v>432</v>
      </c>
      <c r="OC1" t="s">
        <v>433</v>
      </c>
      <c r="OD1" t="s">
        <v>434</v>
      </c>
      <c r="OE1" t="s">
        <v>435</v>
      </c>
      <c r="OF1" t="s">
        <v>436</v>
      </c>
      <c r="OG1" t="s">
        <v>437</v>
      </c>
      <c r="OH1" t="s">
        <v>438</v>
      </c>
      <c r="OI1" t="s">
        <v>439</v>
      </c>
      <c r="OJ1" t="s">
        <v>440</v>
      </c>
      <c r="OK1" t="s">
        <v>441</v>
      </c>
      <c r="OL1" t="s">
        <v>442</v>
      </c>
      <c r="OM1" t="s">
        <v>443</v>
      </c>
      <c r="ON1" t="s">
        <v>444</v>
      </c>
      <c r="OO1" t="s">
        <v>445</v>
      </c>
      <c r="OP1" t="s">
        <v>446</v>
      </c>
      <c r="OQ1" t="s">
        <v>447</v>
      </c>
      <c r="OR1" t="s">
        <v>448</v>
      </c>
      <c r="OS1" t="s">
        <v>449</v>
      </c>
      <c r="OT1" t="s">
        <v>450</v>
      </c>
      <c r="OU1" t="s">
        <v>451</v>
      </c>
      <c r="OV1" t="s">
        <v>452</v>
      </c>
      <c r="OW1" t="s">
        <v>453</v>
      </c>
      <c r="OX1" t="s">
        <v>454</v>
      </c>
      <c r="OY1" t="s">
        <v>455</v>
      </c>
      <c r="OZ1" t="s">
        <v>456</v>
      </c>
      <c r="PA1" t="s">
        <v>457</v>
      </c>
      <c r="PB1" t="s">
        <v>458</v>
      </c>
      <c r="PC1" t="s">
        <v>459</v>
      </c>
      <c r="PD1" t="s">
        <v>460</v>
      </c>
      <c r="PE1" t="s">
        <v>461</v>
      </c>
      <c r="PF1" t="s">
        <v>462</v>
      </c>
      <c r="PG1" t="s">
        <v>463</v>
      </c>
      <c r="PH1" t="s">
        <v>464</v>
      </c>
      <c r="PI1" t="s">
        <v>465</v>
      </c>
      <c r="PJ1" t="s">
        <v>466</v>
      </c>
      <c r="PK1" t="s">
        <v>467</v>
      </c>
      <c r="PL1" t="s">
        <v>468</v>
      </c>
      <c r="PM1" t="s">
        <v>469</v>
      </c>
      <c r="PN1" t="s">
        <v>470</v>
      </c>
      <c r="PO1" t="s">
        <v>471</v>
      </c>
      <c r="PP1" t="s">
        <v>472</v>
      </c>
      <c r="PQ1" t="s">
        <v>473</v>
      </c>
      <c r="PR1" t="s">
        <v>474</v>
      </c>
      <c r="PS1" t="s">
        <v>475</v>
      </c>
      <c r="PT1" t="s">
        <v>476</v>
      </c>
      <c r="PU1" t="s">
        <v>477</v>
      </c>
      <c r="PV1" t="s">
        <v>478</v>
      </c>
      <c r="PW1" t="s">
        <v>479</v>
      </c>
      <c r="PX1" t="s">
        <v>480</v>
      </c>
      <c r="PY1" t="s">
        <v>481</v>
      </c>
      <c r="PZ1" t="s">
        <v>482</v>
      </c>
      <c r="QA1" t="s">
        <v>483</v>
      </c>
      <c r="QB1" t="s">
        <v>484</v>
      </c>
      <c r="QC1" t="s">
        <v>485</v>
      </c>
      <c r="QD1" t="s">
        <v>486</v>
      </c>
      <c r="QE1" t="s">
        <v>487</v>
      </c>
      <c r="QF1" t="s">
        <v>488</v>
      </c>
      <c r="QG1" t="s">
        <v>489</v>
      </c>
      <c r="QH1" t="s">
        <v>490</v>
      </c>
      <c r="QI1" t="s">
        <v>491</v>
      </c>
      <c r="QJ1" t="s">
        <v>492</v>
      </c>
      <c r="QK1" t="s">
        <v>493</v>
      </c>
      <c r="QL1" t="s">
        <v>494</v>
      </c>
      <c r="QM1" t="s">
        <v>495</v>
      </c>
      <c r="QN1" t="s">
        <v>496</v>
      </c>
      <c r="QO1" t="s">
        <v>497</v>
      </c>
      <c r="QP1" t="s">
        <v>498</v>
      </c>
      <c r="QQ1" t="s">
        <v>499</v>
      </c>
      <c r="QR1" t="s">
        <v>500</v>
      </c>
      <c r="QS1" t="s">
        <v>501</v>
      </c>
      <c r="QT1" t="s">
        <v>502</v>
      </c>
      <c r="QU1" t="s">
        <v>503</v>
      </c>
      <c r="QV1" t="s">
        <v>504</v>
      </c>
      <c r="QW1" t="s">
        <v>505</v>
      </c>
      <c r="QX1" t="s">
        <v>506</v>
      </c>
      <c r="QY1" t="s">
        <v>507</v>
      </c>
      <c r="QZ1" t="s">
        <v>508</v>
      </c>
      <c r="RA1" t="s">
        <v>509</v>
      </c>
      <c r="RB1" t="s">
        <v>510</v>
      </c>
      <c r="RC1" t="s">
        <v>511</v>
      </c>
      <c r="RD1" t="s">
        <v>512</v>
      </c>
      <c r="RE1" t="s">
        <v>513</v>
      </c>
      <c r="RF1" t="s">
        <v>514</v>
      </c>
      <c r="RG1" t="s">
        <v>515</v>
      </c>
      <c r="RH1" t="s">
        <v>516</v>
      </c>
      <c r="RI1" t="s">
        <v>517</v>
      </c>
      <c r="RJ1" t="s">
        <v>518</v>
      </c>
      <c r="RK1" t="s">
        <v>519</v>
      </c>
      <c r="RL1" t="s">
        <v>520</v>
      </c>
      <c r="RM1" t="s">
        <v>521</v>
      </c>
      <c r="RN1" t="s">
        <v>522</v>
      </c>
      <c r="RO1" t="s">
        <v>523</v>
      </c>
      <c r="RP1" t="s">
        <v>524</v>
      </c>
      <c r="RQ1" t="s">
        <v>525</v>
      </c>
      <c r="RR1" t="s">
        <v>526</v>
      </c>
      <c r="RS1" t="s">
        <v>527</v>
      </c>
      <c r="RT1" t="s">
        <v>528</v>
      </c>
      <c r="RU1" t="s">
        <v>529</v>
      </c>
      <c r="RV1" t="s">
        <v>530</v>
      </c>
      <c r="RW1" t="s">
        <v>531</v>
      </c>
      <c r="RX1" t="s">
        <v>532</v>
      </c>
      <c r="RY1" t="s">
        <v>533</v>
      </c>
      <c r="RZ1" t="s">
        <v>534</v>
      </c>
      <c r="SA1" t="s">
        <v>535</v>
      </c>
      <c r="SB1" t="s">
        <v>536</v>
      </c>
      <c r="SC1" t="s">
        <v>537</v>
      </c>
      <c r="SD1" t="s">
        <v>538</v>
      </c>
      <c r="SE1" t="s">
        <v>539</v>
      </c>
      <c r="SF1" t="s">
        <v>540</v>
      </c>
      <c r="SG1" t="s">
        <v>541</v>
      </c>
      <c r="SH1" t="s">
        <v>542</v>
      </c>
      <c r="SI1" t="s">
        <v>543</v>
      </c>
      <c r="SJ1" t="s">
        <v>544</v>
      </c>
      <c r="SK1" t="s">
        <v>545</v>
      </c>
      <c r="SL1" t="s">
        <v>546</v>
      </c>
      <c r="SM1" t="s">
        <v>547</v>
      </c>
      <c r="SN1" t="s">
        <v>548</v>
      </c>
      <c r="SO1" t="s">
        <v>549</v>
      </c>
      <c r="SP1" t="s">
        <v>550</v>
      </c>
      <c r="SQ1" t="s">
        <v>551</v>
      </c>
      <c r="SR1" t="s">
        <v>552</v>
      </c>
      <c r="SS1" t="s">
        <v>553</v>
      </c>
      <c r="ST1" t="s">
        <v>554</v>
      </c>
      <c r="SU1" t="s">
        <v>555</v>
      </c>
      <c r="SV1" t="s">
        <v>556</v>
      </c>
      <c r="SW1" t="s">
        <v>557</v>
      </c>
      <c r="SX1" t="s">
        <v>558</v>
      </c>
      <c r="SY1" t="s">
        <v>559</v>
      </c>
      <c r="SZ1" t="s">
        <v>560</v>
      </c>
      <c r="TA1" t="s">
        <v>561</v>
      </c>
      <c r="TB1" t="s">
        <v>562</v>
      </c>
      <c r="TC1" t="s">
        <v>563</v>
      </c>
      <c r="TD1" t="s">
        <v>564</v>
      </c>
      <c r="TE1" t="s">
        <v>565</v>
      </c>
      <c r="TF1" t="s">
        <v>566</v>
      </c>
      <c r="TG1" t="s">
        <v>567</v>
      </c>
      <c r="TH1" t="s">
        <v>568</v>
      </c>
      <c r="TI1" t="s">
        <v>569</v>
      </c>
      <c r="TJ1" t="s">
        <v>570</v>
      </c>
      <c r="TK1" t="s">
        <v>571</v>
      </c>
      <c r="TL1" t="s">
        <v>572</v>
      </c>
      <c r="TM1" t="s">
        <v>573</v>
      </c>
      <c r="TN1" t="s">
        <v>574</v>
      </c>
      <c r="TO1" t="s">
        <v>575</v>
      </c>
      <c r="TP1" t="s">
        <v>576</v>
      </c>
      <c r="TQ1" t="s">
        <v>577</v>
      </c>
      <c r="TR1" t="s">
        <v>578</v>
      </c>
      <c r="TS1" t="s">
        <v>579</v>
      </c>
      <c r="TT1" t="s">
        <v>580</v>
      </c>
      <c r="TU1" t="s">
        <v>581</v>
      </c>
      <c r="TV1" t="s">
        <v>582</v>
      </c>
      <c r="TW1" t="s">
        <v>583</v>
      </c>
      <c r="TX1" t="s">
        <v>584</v>
      </c>
      <c r="TY1" t="s">
        <v>585</v>
      </c>
      <c r="TZ1" t="s">
        <v>586</v>
      </c>
      <c r="UA1" t="s">
        <v>587</v>
      </c>
      <c r="UB1" t="s">
        <v>588</v>
      </c>
      <c r="UC1" t="s">
        <v>589</v>
      </c>
      <c r="UD1" t="s">
        <v>590</v>
      </c>
      <c r="UE1" t="s">
        <v>591</v>
      </c>
      <c r="UF1" t="s">
        <v>592</v>
      </c>
      <c r="UG1" t="s">
        <v>593</v>
      </c>
      <c r="UH1" t="s">
        <v>594</v>
      </c>
      <c r="UI1" t="s">
        <v>595</v>
      </c>
      <c r="UJ1" t="s">
        <v>596</v>
      </c>
      <c r="UK1" t="s">
        <v>597</v>
      </c>
      <c r="UL1" t="s">
        <v>598</v>
      </c>
      <c r="UM1" t="s">
        <v>599</v>
      </c>
      <c r="UN1" t="s">
        <v>600</v>
      </c>
      <c r="UO1" t="s">
        <v>601</v>
      </c>
      <c r="UP1" t="s">
        <v>602</v>
      </c>
      <c r="UQ1" t="s">
        <v>603</v>
      </c>
      <c r="UR1" t="s">
        <v>604</v>
      </c>
      <c r="US1" t="s">
        <v>605</v>
      </c>
      <c r="UT1" t="s">
        <v>606</v>
      </c>
      <c r="UU1" t="s">
        <v>607</v>
      </c>
      <c r="UV1" t="s">
        <v>608</v>
      </c>
      <c r="UW1" t="s">
        <v>609</v>
      </c>
      <c r="UX1" t="s">
        <v>610</v>
      </c>
      <c r="UY1" t="s">
        <v>611</v>
      </c>
      <c r="UZ1" t="s">
        <v>612</v>
      </c>
      <c r="VA1" t="s">
        <v>613</v>
      </c>
      <c r="VB1" t="s">
        <v>614</v>
      </c>
      <c r="VC1" t="s">
        <v>615</v>
      </c>
      <c r="VD1" t="s">
        <v>616</v>
      </c>
      <c r="VE1" t="s">
        <v>617</v>
      </c>
      <c r="VF1" t="s">
        <v>618</v>
      </c>
      <c r="VG1" t="s">
        <v>619</v>
      </c>
      <c r="VH1" t="s">
        <v>620</v>
      </c>
      <c r="VI1" t="s">
        <v>621</v>
      </c>
      <c r="VJ1" t="s">
        <v>622</v>
      </c>
      <c r="VK1" t="s">
        <v>623</v>
      </c>
      <c r="VL1" t="s">
        <v>624</v>
      </c>
      <c r="VM1" t="s">
        <v>625</v>
      </c>
      <c r="VN1" t="s">
        <v>626</v>
      </c>
      <c r="VO1" t="s">
        <v>627</v>
      </c>
      <c r="VP1" t="s">
        <v>628</v>
      </c>
      <c r="VQ1" t="s">
        <v>629</v>
      </c>
      <c r="VR1" t="s">
        <v>630</v>
      </c>
      <c r="VS1" t="s">
        <v>631</v>
      </c>
      <c r="VT1" t="s">
        <v>632</v>
      </c>
      <c r="VU1" t="s">
        <v>633</v>
      </c>
      <c r="VV1" t="s">
        <v>634</v>
      </c>
      <c r="VW1" t="s">
        <v>635</v>
      </c>
      <c r="VX1" t="s">
        <v>636</v>
      </c>
      <c r="VY1" t="s">
        <v>637</v>
      </c>
      <c r="VZ1" t="s">
        <v>638</v>
      </c>
      <c r="WA1" t="s">
        <v>639</v>
      </c>
      <c r="WB1" t="s">
        <v>640</v>
      </c>
      <c r="WC1" t="s">
        <v>641</v>
      </c>
      <c r="WD1" t="s">
        <v>642</v>
      </c>
      <c r="WE1" t="s">
        <v>643</v>
      </c>
      <c r="WF1" t="s">
        <v>644</v>
      </c>
      <c r="WG1" t="s">
        <v>645</v>
      </c>
      <c r="WH1" t="s">
        <v>646</v>
      </c>
      <c r="WI1" t="s">
        <v>647</v>
      </c>
      <c r="WJ1" t="s">
        <v>648</v>
      </c>
      <c r="WK1" t="s">
        <v>649</v>
      </c>
      <c r="WL1" t="s">
        <v>650</v>
      </c>
      <c r="WM1" t="s">
        <v>651</v>
      </c>
      <c r="WN1" t="s">
        <v>652</v>
      </c>
      <c r="WO1" t="s">
        <v>653</v>
      </c>
      <c r="WP1" t="s">
        <v>654</v>
      </c>
      <c r="WQ1" t="s">
        <v>655</v>
      </c>
      <c r="WR1" t="s">
        <v>656</v>
      </c>
      <c r="WS1" t="s">
        <v>657</v>
      </c>
      <c r="WT1" t="s">
        <v>658</v>
      </c>
      <c r="WU1" t="s">
        <v>659</v>
      </c>
      <c r="WV1" t="s">
        <v>660</v>
      </c>
      <c r="WW1" t="s">
        <v>661</v>
      </c>
      <c r="WX1" t="s">
        <v>662</v>
      </c>
      <c r="WY1" t="s">
        <v>663</v>
      </c>
      <c r="WZ1" t="s">
        <v>664</v>
      </c>
      <c r="XA1" t="s">
        <v>665</v>
      </c>
      <c r="XB1" t="s">
        <v>666</v>
      </c>
      <c r="XC1" t="s">
        <v>667</v>
      </c>
      <c r="XD1" t="s">
        <v>668</v>
      </c>
      <c r="XE1" t="s">
        <v>669</v>
      </c>
      <c r="XF1" t="s">
        <v>670</v>
      </c>
      <c r="XG1" t="s">
        <v>671</v>
      </c>
      <c r="XH1" t="s">
        <v>672</v>
      </c>
      <c r="XI1" t="s">
        <v>673</v>
      </c>
      <c r="XJ1" t="s">
        <v>674</v>
      </c>
      <c r="XK1" t="s">
        <v>675</v>
      </c>
      <c r="XL1" t="s">
        <v>676</v>
      </c>
      <c r="XM1" t="s">
        <v>677</v>
      </c>
      <c r="XN1" t="s">
        <v>678</v>
      </c>
      <c r="XO1" t="s">
        <v>679</v>
      </c>
      <c r="XP1" t="s">
        <v>680</v>
      </c>
      <c r="XQ1" t="s">
        <v>681</v>
      </c>
      <c r="XR1" t="s">
        <v>682</v>
      </c>
      <c r="XS1" t="s">
        <v>683</v>
      </c>
      <c r="XT1" t="s">
        <v>684</v>
      </c>
      <c r="XU1" t="s">
        <v>685</v>
      </c>
      <c r="XV1" t="s">
        <v>686</v>
      </c>
      <c r="XW1" t="s">
        <v>687</v>
      </c>
      <c r="XX1" t="s">
        <v>688</v>
      </c>
      <c r="XY1" t="s">
        <v>689</v>
      </c>
      <c r="XZ1" t="s">
        <v>690</v>
      </c>
      <c r="YA1" t="s">
        <v>691</v>
      </c>
      <c r="YB1" t="s">
        <v>692</v>
      </c>
      <c r="YC1" t="s">
        <v>693</v>
      </c>
      <c r="YD1" t="s">
        <v>694</v>
      </c>
      <c r="YE1" t="s">
        <v>695</v>
      </c>
      <c r="YF1" t="s">
        <v>696</v>
      </c>
      <c r="YG1" t="s">
        <v>697</v>
      </c>
      <c r="YH1" t="s">
        <v>698</v>
      </c>
      <c r="YI1" t="s">
        <v>699</v>
      </c>
      <c r="YJ1" t="s">
        <v>700</v>
      </c>
      <c r="YK1" t="s">
        <v>701</v>
      </c>
      <c r="YL1" t="s">
        <v>702</v>
      </c>
      <c r="YM1" t="s">
        <v>703</v>
      </c>
      <c r="YN1" t="s">
        <v>704</v>
      </c>
      <c r="YO1" t="s">
        <v>705</v>
      </c>
      <c r="YP1" t="s">
        <v>706</v>
      </c>
      <c r="YQ1" t="s">
        <v>707</v>
      </c>
      <c r="YR1" t="s">
        <v>708</v>
      </c>
      <c r="YS1" t="s">
        <v>709</v>
      </c>
      <c r="YT1" t="s">
        <v>710</v>
      </c>
      <c r="YU1" t="s">
        <v>711</v>
      </c>
      <c r="YV1" t="s">
        <v>712</v>
      </c>
      <c r="YW1" t="s">
        <v>713</v>
      </c>
      <c r="YX1" t="s">
        <v>714</v>
      </c>
      <c r="YY1" t="s">
        <v>715</v>
      </c>
      <c r="YZ1" t="s">
        <v>716</v>
      </c>
      <c r="ZA1" t="s">
        <v>717</v>
      </c>
      <c r="ZB1" t="s">
        <v>718</v>
      </c>
      <c r="ZC1" t="s">
        <v>719</v>
      </c>
      <c r="ZD1" t="s">
        <v>720</v>
      </c>
      <c r="ZE1" t="s">
        <v>721</v>
      </c>
      <c r="ZF1" t="s">
        <v>722</v>
      </c>
      <c r="ZG1" t="s">
        <v>723</v>
      </c>
      <c r="ZH1" t="s">
        <v>724</v>
      </c>
      <c r="ZI1" t="s">
        <v>725</v>
      </c>
      <c r="ZJ1" t="s">
        <v>726</v>
      </c>
      <c r="ZK1" t="s">
        <v>727</v>
      </c>
      <c r="ZL1" t="s">
        <v>728</v>
      </c>
      <c r="ZM1" t="s">
        <v>729</v>
      </c>
      <c r="ZN1" t="s">
        <v>730</v>
      </c>
      <c r="ZO1" t="s">
        <v>731</v>
      </c>
      <c r="ZP1" t="s">
        <v>732</v>
      </c>
      <c r="ZQ1" t="s">
        <v>733</v>
      </c>
      <c r="ZR1" t="s">
        <v>734</v>
      </c>
      <c r="ZS1" t="s">
        <v>735</v>
      </c>
      <c r="ZT1" t="s">
        <v>736</v>
      </c>
      <c r="ZU1" t="s">
        <v>737</v>
      </c>
      <c r="ZV1" t="s">
        <v>738</v>
      </c>
      <c r="ZW1" t="s">
        <v>739</v>
      </c>
      <c r="ZX1" t="s">
        <v>740</v>
      </c>
      <c r="ZY1" t="s">
        <v>741</v>
      </c>
      <c r="ZZ1" t="s">
        <v>742</v>
      </c>
      <c r="AAA1" t="s">
        <v>743</v>
      </c>
      <c r="AAB1" t="s">
        <v>744</v>
      </c>
      <c r="AAC1" t="s">
        <v>745</v>
      </c>
      <c r="AAD1" t="s">
        <v>746</v>
      </c>
      <c r="AAE1" t="s">
        <v>747</v>
      </c>
      <c r="AAF1" t="s">
        <v>748</v>
      </c>
      <c r="AAG1" t="s">
        <v>749</v>
      </c>
      <c r="AAH1" t="s">
        <v>750</v>
      </c>
      <c r="AAI1" t="s">
        <v>751</v>
      </c>
      <c r="AAJ1" t="s">
        <v>752</v>
      </c>
      <c r="AAK1" t="s">
        <v>753</v>
      </c>
      <c r="AAL1" t="s">
        <v>754</v>
      </c>
      <c r="AAM1" t="s">
        <v>755</v>
      </c>
      <c r="AAN1" t="s">
        <v>756</v>
      </c>
      <c r="AAO1" t="s">
        <v>757</v>
      </c>
      <c r="AAP1" t="s">
        <v>758</v>
      </c>
      <c r="AAQ1" t="s">
        <v>759</v>
      </c>
      <c r="AAR1" t="s">
        <v>760</v>
      </c>
      <c r="AAS1" t="s">
        <v>761</v>
      </c>
      <c r="AAT1" t="s">
        <v>762</v>
      </c>
      <c r="AAU1" t="s">
        <v>763</v>
      </c>
      <c r="AAV1" t="s">
        <v>764</v>
      </c>
      <c r="AAW1" t="s">
        <v>765</v>
      </c>
      <c r="AAX1" t="s">
        <v>766</v>
      </c>
      <c r="AAY1" t="s">
        <v>767</v>
      </c>
      <c r="AAZ1" t="s">
        <v>768</v>
      </c>
      <c r="ABA1" t="s">
        <v>769</v>
      </c>
      <c r="ABB1" t="s">
        <v>770</v>
      </c>
      <c r="ABC1" t="s">
        <v>771</v>
      </c>
      <c r="ABD1" t="s">
        <v>772</v>
      </c>
      <c r="ABE1" t="s">
        <v>773</v>
      </c>
      <c r="ABF1" t="s">
        <v>774</v>
      </c>
      <c r="ABG1" t="s">
        <v>775</v>
      </c>
      <c r="ABH1" t="s">
        <v>776</v>
      </c>
      <c r="ABI1" t="s">
        <v>777</v>
      </c>
      <c r="ABJ1" t="s">
        <v>778</v>
      </c>
      <c r="ABK1" t="s">
        <v>779</v>
      </c>
      <c r="ABL1" t="s">
        <v>780</v>
      </c>
      <c r="ABM1" t="s">
        <v>781</v>
      </c>
      <c r="ABN1" t="s">
        <v>782</v>
      </c>
      <c r="ABO1" t="s">
        <v>783</v>
      </c>
      <c r="ABP1" t="s">
        <v>784</v>
      </c>
      <c r="ABQ1" t="s">
        <v>785</v>
      </c>
      <c r="ABR1" t="s">
        <v>786</v>
      </c>
      <c r="ABS1" t="s">
        <v>787</v>
      </c>
      <c r="ABT1" t="s">
        <v>788</v>
      </c>
      <c r="ABU1" t="s">
        <v>789</v>
      </c>
      <c r="ABV1" t="s">
        <v>790</v>
      </c>
      <c r="ABW1" t="s">
        <v>791</v>
      </c>
      <c r="ABX1" t="s">
        <v>792</v>
      </c>
      <c r="ABY1" t="s">
        <v>793</v>
      </c>
      <c r="ABZ1" t="s">
        <v>794</v>
      </c>
      <c r="ACA1" t="s">
        <v>795</v>
      </c>
      <c r="ACB1" t="s">
        <v>796</v>
      </c>
      <c r="ACC1" t="s">
        <v>797</v>
      </c>
      <c r="ACD1" t="s">
        <v>798</v>
      </c>
      <c r="ACE1" t="s">
        <v>799</v>
      </c>
      <c r="ACF1" t="s">
        <v>800</v>
      </c>
      <c r="ACG1" t="s">
        <v>801</v>
      </c>
      <c r="ACH1" t="s">
        <v>802</v>
      </c>
      <c r="ACI1" t="s">
        <v>803</v>
      </c>
      <c r="ACJ1" t="s">
        <v>804</v>
      </c>
      <c r="ACK1" t="s">
        <v>805</v>
      </c>
      <c r="ACL1" t="s">
        <v>806</v>
      </c>
      <c r="ACM1" t="s">
        <v>807</v>
      </c>
      <c r="ACN1" t="s">
        <v>808</v>
      </c>
      <c r="ACO1" t="s">
        <v>809</v>
      </c>
      <c r="ACP1" t="s">
        <v>810</v>
      </c>
      <c r="ACQ1" t="s">
        <v>811</v>
      </c>
      <c r="ACR1" t="s">
        <v>812</v>
      </c>
      <c r="ACS1" t="s">
        <v>813</v>
      </c>
      <c r="ACT1" t="s">
        <v>814</v>
      </c>
      <c r="ACU1" t="s">
        <v>815</v>
      </c>
      <c r="ACV1" t="s">
        <v>816</v>
      </c>
      <c r="ACW1" t="s">
        <v>817</v>
      </c>
      <c r="ACX1" t="s">
        <v>818</v>
      </c>
      <c r="ACY1" t="s">
        <v>819</v>
      </c>
      <c r="ACZ1" t="s">
        <v>820</v>
      </c>
      <c r="ADA1" t="s">
        <v>821</v>
      </c>
      <c r="ADB1" t="s">
        <v>822</v>
      </c>
      <c r="ADC1" t="s">
        <v>823</v>
      </c>
      <c r="ADD1" t="s">
        <v>824</v>
      </c>
      <c r="ADE1" t="s">
        <v>825</v>
      </c>
      <c r="ADF1" t="s">
        <v>826</v>
      </c>
      <c r="ADG1" t="s">
        <v>827</v>
      </c>
      <c r="ADH1" t="s">
        <v>828</v>
      </c>
      <c r="ADI1" t="s">
        <v>829</v>
      </c>
      <c r="ADJ1" t="s">
        <v>830</v>
      </c>
      <c r="ADK1" t="s">
        <v>831</v>
      </c>
      <c r="ADL1" t="s">
        <v>832</v>
      </c>
      <c r="ADM1" t="s">
        <v>833</v>
      </c>
      <c r="ADN1" t="s">
        <v>834</v>
      </c>
      <c r="ADO1" t="s">
        <v>835</v>
      </c>
      <c r="ADP1" t="s">
        <v>836</v>
      </c>
      <c r="ADQ1" t="s">
        <v>837</v>
      </c>
      <c r="ADR1" t="s">
        <v>838</v>
      </c>
      <c r="ADS1" t="s">
        <v>839</v>
      </c>
      <c r="ADT1" t="s">
        <v>840</v>
      </c>
      <c r="ADU1" t="s">
        <v>841</v>
      </c>
      <c r="ADV1" t="s">
        <v>842</v>
      </c>
      <c r="ADW1" t="s">
        <v>843</v>
      </c>
      <c r="ADX1" t="s">
        <v>844</v>
      </c>
      <c r="ADY1" t="s">
        <v>845</v>
      </c>
      <c r="ADZ1" t="s">
        <v>846</v>
      </c>
      <c r="AEA1" t="s">
        <v>847</v>
      </c>
      <c r="AEB1" t="s">
        <v>848</v>
      </c>
      <c r="AEC1" t="s">
        <v>849</v>
      </c>
      <c r="AED1" t="s">
        <v>850</v>
      </c>
      <c r="AEE1" t="s">
        <v>851</v>
      </c>
      <c r="AEF1" t="s">
        <v>852</v>
      </c>
      <c r="AEG1" t="s">
        <v>853</v>
      </c>
      <c r="AEH1" t="s">
        <v>854</v>
      </c>
      <c r="AEI1" t="s">
        <v>855</v>
      </c>
      <c r="AEJ1" t="s">
        <v>856</v>
      </c>
      <c r="AEK1" t="s">
        <v>857</v>
      </c>
      <c r="AEL1" t="s">
        <v>858</v>
      </c>
      <c r="AEM1" t="s">
        <v>859</v>
      </c>
      <c r="AEN1" t="s">
        <v>860</v>
      </c>
      <c r="AEO1" t="s">
        <v>861</v>
      </c>
      <c r="AEP1" t="s">
        <v>862</v>
      </c>
      <c r="AEQ1" t="s">
        <v>863</v>
      </c>
      <c r="AER1" t="s">
        <v>864</v>
      </c>
      <c r="AES1" t="s">
        <v>865</v>
      </c>
      <c r="AET1" t="s">
        <v>866</v>
      </c>
      <c r="AEU1" t="s">
        <v>867</v>
      </c>
      <c r="AEV1" t="s">
        <v>868</v>
      </c>
      <c r="AEW1" t="s">
        <v>869</v>
      </c>
      <c r="AEX1" t="s">
        <v>870</v>
      </c>
      <c r="AEY1" t="s">
        <v>871</v>
      </c>
      <c r="AEZ1" t="s">
        <v>872</v>
      </c>
      <c r="AFA1" t="s">
        <v>873</v>
      </c>
      <c r="AFB1" t="s">
        <v>874</v>
      </c>
      <c r="AFC1" t="s">
        <v>875</v>
      </c>
      <c r="AFD1" t="s">
        <v>876</v>
      </c>
      <c r="AFE1" t="s">
        <v>877</v>
      </c>
      <c r="AFF1" t="s">
        <v>878</v>
      </c>
      <c r="AFG1" t="s">
        <v>879</v>
      </c>
      <c r="AFH1" t="s">
        <v>880</v>
      </c>
      <c r="AFI1" t="s">
        <v>881</v>
      </c>
      <c r="AFJ1" t="s">
        <v>882</v>
      </c>
      <c r="AFK1" t="s">
        <v>883</v>
      </c>
      <c r="AFL1" t="s">
        <v>884</v>
      </c>
      <c r="AFM1" t="s">
        <v>885</v>
      </c>
      <c r="AFN1" t="s">
        <v>886</v>
      </c>
      <c r="AFO1" t="s">
        <v>887</v>
      </c>
      <c r="AFP1" t="s">
        <v>888</v>
      </c>
      <c r="AFQ1" t="s">
        <v>889</v>
      </c>
      <c r="AFR1" t="s">
        <v>890</v>
      </c>
      <c r="AFS1" t="s">
        <v>891</v>
      </c>
      <c r="AFT1" t="s">
        <v>892</v>
      </c>
      <c r="AFU1" t="s">
        <v>893</v>
      </c>
      <c r="AFV1" t="s">
        <v>894</v>
      </c>
      <c r="AFW1" t="s">
        <v>895</v>
      </c>
      <c r="AFX1" t="s">
        <v>896</v>
      </c>
      <c r="AFY1" t="s">
        <v>897</v>
      </c>
      <c r="AFZ1" t="s">
        <v>898</v>
      </c>
      <c r="AGA1" t="s">
        <v>899</v>
      </c>
      <c r="AGB1" t="s">
        <v>900</v>
      </c>
      <c r="AGC1" t="s">
        <v>901</v>
      </c>
      <c r="AGD1" t="s">
        <v>902</v>
      </c>
      <c r="AGE1" t="s">
        <v>903</v>
      </c>
      <c r="AGF1" t="s">
        <v>904</v>
      </c>
      <c r="AGG1" t="s">
        <v>905</v>
      </c>
      <c r="AGH1" t="s">
        <v>906</v>
      </c>
      <c r="AGI1" t="s">
        <v>907</v>
      </c>
      <c r="AGJ1" t="s">
        <v>908</v>
      </c>
      <c r="AGK1" t="s">
        <v>909</v>
      </c>
      <c r="AGL1" t="s">
        <v>910</v>
      </c>
      <c r="AGM1" t="s">
        <v>911</v>
      </c>
      <c r="AGN1" t="s">
        <v>912</v>
      </c>
      <c r="AGO1" t="s">
        <v>913</v>
      </c>
      <c r="AGP1" t="s">
        <v>914</v>
      </c>
      <c r="AGQ1" t="s">
        <v>915</v>
      </c>
      <c r="AGR1" t="s">
        <v>916</v>
      </c>
      <c r="AGS1" t="s">
        <v>917</v>
      </c>
      <c r="AGT1" t="s">
        <v>918</v>
      </c>
      <c r="AGU1" t="s">
        <v>919</v>
      </c>
      <c r="AGV1" t="s">
        <v>920</v>
      </c>
      <c r="AGW1" t="s">
        <v>921</v>
      </c>
      <c r="AGX1" t="s">
        <v>922</v>
      </c>
      <c r="AGY1" t="s">
        <v>923</v>
      </c>
      <c r="AGZ1" t="s">
        <v>924</v>
      </c>
      <c r="AHA1" t="s">
        <v>925</v>
      </c>
      <c r="AHB1" t="s">
        <v>926</v>
      </c>
      <c r="AHC1" t="s">
        <v>927</v>
      </c>
      <c r="AHD1" t="s">
        <v>928</v>
      </c>
      <c r="AHE1" t="s">
        <v>929</v>
      </c>
      <c r="AHF1" t="s">
        <v>930</v>
      </c>
      <c r="AHG1" t="s">
        <v>931</v>
      </c>
      <c r="AHH1" t="s">
        <v>932</v>
      </c>
      <c r="AHI1" t="s">
        <v>933</v>
      </c>
      <c r="AHJ1" t="s">
        <v>934</v>
      </c>
      <c r="AHK1" t="s">
        <v>935</v>
      </c>
      <c r="AHL1" t="s">
        <v>936</v>
      </c>
      <c r="AHM1" t="s">
        <v>937</v>
      </c>
      <c r="AHN1" t="s">
        <v>938</v>
      </c>
      <c r="AHO1" t="s">
        <v>939</v>
      </c>
      <c r="AHP1" t="s">
        <v>940</v>
      </c>
      <c r="AHQ1" t="s">
        <v>941</v>
      </c>
      <c r="AHR1" t="s">
        <v>942</v>
      </c>
      <c r="AHS1" t="s">
        <v>943</v>
      </c>
      <c r="AHT1" t="s">
        <v>944</v>
      </c>
      <c r="AHU1" t="s">
        <v>945</v>
      </c>
      <c r="AHV1" t="s">
        <v>946</v>
      </c>
      <c r="AHW1" t="s">
        <v>947</v>
      </c>
      <c r="AHX1" t="s">
        <v>948</v>
      </c>
      <c r="AHY1" t="s">
        <v>949</v>
      </c>
      <c r="AHZ1" t="s">
        <v>950</v>
      </c>
      <c r="AIA1" t="s">
        <v>951</v>
      </c>
      <c r="AIB1" t="s">
        <v>952</v>
      </c>
      <c r="AIC1" t="s">
        <v>953</v>
      </c>
      <c r="AID1" t="s">
        <v>954</v>
      </c>
      <c r="AIE1" t="s">
        <v>955</v>
      </c>
      <c r="AIF1" t="s">
        <v>956</v>
      </c>
      <c r="AIG1" t="s">
        <v>957</v>
      </c>
      <c r="AIH1" t="s">
        <v>958</v>
      </c>
      <c r="AII1" t="s">
        <v>959</v>
      </c>
      <c r="AIJ1" t="s">
        <v>960</v>
      </c>
      <c r="AIK1" t="s">
        <v>961</v>
      </c>
      <c r="AIL1" t="s">
        <v>962</v>
      </c>
      <c r="AIM1" t="s">
        <v>963</v>
      </c>
      <c r="AIN1" t="s">
        <v>964</v>
      </c>
      <c r="AIO1" t="s">
        <v>965</v>
      </c>
      <c r="AIP1" t="s">
        <v>966</v>
      </c>
      <c r="AIQ1" t="s">
        <v>967</v>
      </c>
      <c r="AIR1" t="s">
        <v>968</v>
      </c>
      <c r="AIS1" t="s">
        <v>969</v>
      </c>
      <c r="AIT1" t="s">
        <v>970</v>
      </c>
      <c r="AIU1" t="s">
        <v>971</v>
      </c>
      <c r="AIV1" t="s">
        <v>972</v>
      </c>
      <c r="AIW1" t="s">
        <v>973</v>
      </c>
      <c r="AIX1" t="s">
        <v>974</v>
      </c>
      <c r="AIY1" t="s">
        <v>975</v>
      </c>
      <c r="AIZ1" t="s">
        <v>976</v>
      </c>
      <c r="AJA1" t="s">
        <v>977</v>
      </c>
      <c r="AJB1" t="s">
        <v>978</v>
      </c>
      <c r="AJC1" t="s">
        <v>979</v>
      </c>
      <c r="AJD1" t="s">
        <v>980</v>
      </c>
      <c r="AJE1" t="s">
        <v>981</v>
      </c>
      <c r="AJF1" t="s">
        <v>982</v>
      </c>
      <c r="AJG1" t="s">
        <v>983</v>
      </c>
      <c r="AJH1" t="s">
        <v>984</v>
      </c>
      <c r="AJI1" t="s">
        <v>985</v>
      </c>
      <c r="AJJ1" t="s">
        <v>986</v>
      </c>
      <c r="AJK1" t="s">
        <v>987</v>
      </c>
      <c r="AJL1" t="s">
        <v>988</v>
      </c>
      <c r="AJM1" t="s">
        <v>989</v>
      </c>
      <c r="AJN1" t="s">
        <v>990</v>
      </c>
      <c r="AJO1" t="s">
        <v>991</v>
      </c>
      <c r="AJP1" t="s">
        <v>992</v>
      </c>
      <c r="AJQ1" t="s">
        <v>993</v>
      </c>
      <c r="AJR1" t="s">
        <v>994</v>
      </c>
      <c r="AJS1" t="s">
        <v>995</v>
      </c>
      <c r="AJT1" t="s">
        <v>996</v>
      </c>
      <c r="AJU1" t="s">
        <v>997</v>
      </c>
      <c r="AJV1" t="s">
        <v>998</v>
      </c>
      <c r="AJW1" t="s">
        <v>999</v>
      </c>
      <c r="AJX1" t="s">
        <v>1000</v>
      </c>
      <c r="AJY1" t="s">
        <v>1001</v>
      </c>
      <c r="AJZ1" t="s">
        <v>1002</v>
      </c>
      <c r="AKA1" t="s">
        <v>1003</v>
      </c>
      <c r="AKB1" t="s">
        <v>1004</v>
      </c>
      <c r="AKC1" t="s">
        <v>1005</v>
      </c>
      <c r="AKD1" t="s">
        <v>1006</v>
      </c>
      <c r="AKE1" t="s">
        <v>1007</v>
      </c>
      <c r="AKF1" t="s">
        <v>1008</v>
      </c>
      <c r="AKG1" t="s">
        <v>1009</v>
      </c>
      <c r="AKH1" t="s">
        <v>1010</v>
      </c>
      <c r="AKI1" t="s">
        <v>1011</v>
      </c>
      <c r="AKJ1" t="s">
        <v>1012</v>
      </c>
      <c r="AKK1" t="s">
        <v>1013</v>
      </c>
      <c r="AKL1" t="s">
        <v>1014</v>
      </c>
      <c r="AKM1" t="s">
        <v>1015</v>
      </c>
      <c r="AKN1" t="s">
        <v>1016</v>
      </c>
      <c r="AKO1" t="s">
        <v>1017</v>
      </c>
      <c r="AKP1" t="s">
        <v>1018</v>
      </c>
      <c r="AKQ1" t="s">
        <v>1019</v>
      </c>
      <c r="AKR1" t="s">
        <v>1020</v>
      </c>
      <c r="AKS1" t="s">
        <v>1021</v>
      </c>
      <c r="AKT1" t="s">
        <v>1022</v>
      </c>
      <c r="AKU1" t="s">
        <v>1023</v>
      </c>
      <c r="AKV1" t="s">
        <v>1024</v>
      </c>
      <c r="AKW1" t="s">
        <v>1025</v>
      </c>
      <c r="AKX1" t="s">
        <v>1026</v>
      </c>
      <c r="AKY1" t="s">
        <v>1027</v>
      </c>
      <c r="AKZ1" t="s">
        <v>1028</v>
      </c>
      <c r="ALA1" t="s">
        <v>1029</v>
      </c>
      <c r="ALB1" t="s">
        <v>1030</v>
      </c>
      <c r="ALC1" t="s">
        <v>1031</v>
      </c>
      <c r="ALD1" t="s">
        <v>1032</v>
      </c>
      <c r="ALE1" t="s">
        <v>1033</v>
      </c>
      <c r="ALF1" t="s">
        <v>1034</v>
      </c>
      <c r="ALG1" t="s">
        <v>1035</v>
      </c>
      <c r="ALH1" t="s">
        <v>1036</v>
      </c>
      <c r="ALI1" t="s">
        <v>1037</v>
      </c>
      <c r="ALJ1" t="s">
        <v>1038</v>
      </c>
      <c r="ALK1" t="s">
        <v>1039</v>
      </c>
      <c r="ALL1" t="s">
        <v>1040</v>
      </c>
      <c r="ALM1" t="s">
        <v>1041</v>
      </c>
      <c r="ALN1" t="s">
        <v>1042</v>
      </c>
      <c r="ALO1" t="s">
        <v>1043</v>
      </c>
      <c r="ALP1" t="s">
        <v>1044</v>
      </c>
      <c r="ALQ1" t="s">
        <v>1045</v>
      </c>
      <c r="ALR1" t="s">
        <v>1046</v>
      </c>
      <c r="ALS1" t="s">
        <v>1047</v>
      </c>
      <c r="ALT1" t="s">
        <v>1048</v>
      </c>
      <c r="ALU1" t="s">
        <v>1049</v>
      </c>
      <c r="ALV1" t="s">
        <v>1050</v>
      </c>
      <c r="ALW1" t="s">
        <v>1051</v>
      </c>
      <c r="ALX1" t="s">
        <v>1052</v>
      </c>
      <c r="ALY1" t="s">
        <v>1053</v>
      </c>
      <c r="ALZ1" t="s">
        <v>1054</v>
      </c>
      <c r="AMA1" t="s">
        <v>1055</v>
      </c>
      <c r="AMB1" t="s">
        <v>1056</v>
      </c>
      <c r="AMC1" t="s">
        <v>1057</v>
      </c>
      <c r="AMD1" t="s">
        <v>1058</v>
      </c>
      <c r="AME1" t="s">
        <v>1059</v>
      </c>
      <c r="AMF1" t="s">
        <v>1060</v>
      </c>
      <c r="AMG1" t="s">
        <v>1061</v>
      </c>
      <c r="AMH1" t="s">
        <v>1062</v>
      </c>
      <c r="AMI1" t="s">
        <v>1063</v>
      </c>
      <c r="AMJ1" t="s">
        <v>1064</v>
      </c>
      <c r="AMK1" t="s">
        <v>1065</v>
      </c>
      <c r="AML1" t="s">
        <v>1066</v>
      </c>
      <c r="AMM1" t="s">
        <v>1067</v>
      </c>
      <c r="AMN1" t="s">
        <v>1068</v>
      </c>
      <c r="AMO1" t="s">
        <v>1069</v>
      </c>
      <c r="AMP1" t="s">
        <v>1070</v>
      </c>
      <c r="AMQ1" t="s">
        <v>1071</v>
      </c>
      <c r="AMR1" t="s">
        <v>1072</v>
      </c>
      <c r="AMS1" t="s">
        <v>1073</v>
      </c>
      <c r="AMT1" t="s">
        <v>1074</v>
      </c>
      <c r="AMU1" t="s">
        <v>1075</v>
      </c>
      <c r="AMV1" t="s">
        <v>1076</v>
      </c>
      <c r="AMW1" t="s">
        <v>1077</v>
      </c>
      <c r="AMX1" t="s">
        <v>1078</v>
      </c>
      <c r="AMY1" t="s">
        <v>1079</v>
      </c>
      <c r="AMZ1" t="s">
        <v>1080</v>
      </c>
      <c r="ANA1" t="s">
        <v>1081</v>
      </c>
      <c r="ANB1" t="s">
        <v>1082</v>
      </c>
      <c r="ANC1" t="s">
        <v>1083</v>
      </c>
      <c r="AND1" t="s">
        <v>1084</v>
      </c>
      <c r="ANE1" t="s">
        <v>1085</v>
      </c>
      <c r="ANF1" t="s">
        <v>1086</v>
      </c>
      <c r="ANG1" t="s">
        <v>1087</v>
      </c>
      <c r="ANH1" t="s">
        <v>1088</v>
      </c>
      <c r="ANI1" t="s">
        <v>1089</v>
      </c>
      <c r="ANJ1" t="s">
        <v>1090</v>
      </c>
      <c r="ANK1" t="s">
        <v>1091</v>
      </c>
      <c r="ANL1" t="s">
        <v>1092</v>
      </c>
      <c r="ANM1" t="s">
        <v>1093</v>
      </c>
      <c r="ANN1" t="s">
        <v>1094</v>
      </c>
      <c r="ANO1" t="s">
        <v>1095</v>
      </c>
      <c r="ANP1" t="s">
        <v>1096</v>
      </c>
      <c r="ANQ1" t="s">
        <v>1097</v>
      </c>
      <c r="ANR1" t="s">
        <v>1098</v>
      </c>
      <c r="ANS1" t="s">
        <v>1099</v>
      </c>
      <c r="ANT1" t="s">
        <v>1100</v>
      </c>
      <c r="ANU1" t="s">
        <v>1101</v>
      </c>
      <c r="ANV1" t="s">
        <v>1102</v>
      </c>
      <c r="ANW1" t="s">
        <v>1103</v>
      </c>
      <c r="ANX1" t="s">
        <v>1104</v>
      </c>
      <c r="ANY1" t="s">
        <v>1105</v>
      </c>
      <c r="ANZ1" t="s">
        <v>1106</v>
      </c>
      <c r="AOA1" t="s">
        <v>1107</v>
      </c>
      <c r="AOB1" t="s">
        <v>1108</v>
      </c>
      <c r="AOC1" t="s">
        <v>1109</v>
      </c>
      <c r="AOD1" t="s">
        <v>1110</v>
      </c>
      <c r="AOE1" t="s">
        <v>1111</v>
      </c>
      <c r="AOF1" t="s">
        <v>1112</v>
      </c>
      <c r="AOG1" t="s">
        <v>1113</v>
      </c>
      <c r="AOH1" t="s">
        <v>1114</v>
      </c>
      <c r="AOI1" t="s">
        <v>1115</v>
      </c>
      <c r="AOJ1" t="s">
        <v>1116</v>
      </c>
      <c r="AOK1" t="s">
        <v>1117</v>
      </c>
      <c r="AOL1" t="s">
        <v>1118</v>
      </c>
      <c r="AOM1" t="s">
        <v>1119</v>
      </c>
      <c r="AON1" t="s">
        <v>1120</v>
      </c>
      <c r="AOO1" t="s">
        <v>1121</v>
      </c>
      <c r="AOP1" t="s">
        <v>1122</v>
      </c>
      <c r="AOQ1" t="s">
        <v>1123</v>
      </c>
      <c r="AOR1" t="s">
        <v>1124</v>
      </c>
      <c r="AOS1" t="s">
        <v>1125</v>
      </c>
      <c r="AOT1" t="s">
        <v>1126</v>
      </c>
      <c r="AOU1" t="s">
        <v>1127</v>
      </c>
      <c r="AOV1" t="s">
        <v>1128</v>
      </c>
      <c r="AOW1" t="s">
        <v>1129</v>
      </c>
      <c r="AOX1" t="s">
        <v>1130</v>
      </c>
      <c r="AOY1" t="s">
        <v>1131</v>
      </c>
      <c r="AOZ1" t="s">
        <v>1132</v>
      </c>
      <c r="APA1" t="s">
        <v>1133</v>
      </c>
      <c r="APB1" t="s">
        <v>1134</v>
      </c>
      <c r="APC1" t="s">
        <v>1135</v>
      </c>
      <c r="APD1" t="s">
        <v>1136</v>
      </c>
      <c r="APE1" t="s">
        <v>1137</v>
      </c>
      <c r="APF1" t="s">
        <v>1138</v>
      </c>
      <c r="APG1" t="s">
        <v>1139</v>
      </c>
      <c r="APH1" t="s">
        <v>1140</v>
      </c>
      <c r="API1" t="s">
        <v>1141</v>
      </c>
      <c r="APJ1" t="s">
        <v>1142</v>
      </c>
      <c r="APK1" t="s">
        <v>1143</v>
      </c>
      <c r="APL1" t="s">
        <v>1144</v>
      </c>
      <c r="APM1" t="s">
        <v>1145</v>
      </c>
      <c r="APN1" t="s">
        <v>1146</v>
      </c>
      <c r="APO1" t="s">
        <v>1147</v>
      </c>
      <c r="APP1" t="s">
        <v>1148</v>
      </c>
      <c r="APQ1" t="s">
        <v>1149</v>
      </c>
      <c r="APR1" t="s">
        <v>1150</v>
      </c>
      <c r="APS1" t="s">
        <v>1151</v>
      </c>
      <c r="APT1" t="s">
        <v>1152</v>
      </c>
      <c r="APU1" t="s">
        <v>1153</v>
      </c>
      <c r="APV1" t="s">
        <v>1154</v>
      </c>
      <c r="APW1" t="s">
        <v>1155</v>
      </c>
      <c r="APX1" t="s">
        <v>1156</v>
      </c>
      <c r="APY1" t="s">
        <v>1157</v>
      </c>
      <c r="APZ1" t="s">
        <v>1158</v>
      </c>
      <c r="AQA1" t="s">
        <v>1159</v>
      </c>
      <c r="AQB1" t="s">
        <v>1160</v>
      </c>
      <c r="AQC1" t="s">
        <v>1161</v>
      </c>
      <c r="AQD1" t="s">
        <v>1162</v>
      </c>
      <c r="AQE1" t="s">
        <v>1163</v>
      </c>
      <c r="AQF1" t="s">
        <v>1164</v>
      </c>
      <c r="AQG1" t="s">
        <v>1165</v>
      </c>
      <c r="AQH1" t="s">
        <v>1166</v>
      </c>
      <c r="AQI1" t="s">
        <v>1167</v>
      </c>
      <c r="AQJ1" t="s">
        <v>1168</v>
      </c>
      <c r="AQK1" t="s">
        <v>1169</v>
      </c>
      <c r="AQL1" t="s">
        <v>1170</v>
      </c>
      <c r="AQM1" t="s">
        <v>1171</v>
      </c>
      <c r="AQN1" t="s">
        <v>1172</v>
      </c>
      <c r="AQO1" t="s">
        <v>1173</v>
      </c>
      <c r="AQP1" t="s">
        <v>1174</v>
      </c>
      <c r="AQQ1" t="s">
        <v>1175</v>
      </c>
      <c r="AQR1" t="s">
        <v>1176</v>
      </c>
      <c r="AQS1" t="s">
        <v>1177</v>
      </c>
      <c r="AQT1" t="s">
        <v>1178</v>
      </c>
      <c r="AQU1" t="s">
        <v>1179</v>
      </c>
      <c r="AQV1" t="s">
        <v>1180</v>
      </c>
      <c r="AQW1" t="s">
        <v>1181</v>
      </c>
      <c r="AQX1" t="s">
        <v>1182</v>
      </c>
      <c r="AQY1" t="s">
        <v>1183</v>
      </c>
      <c r="AQZ1" t="s">
        <v>1184</v>
      </c>
      <c r="ARA1" t="s">
        <v>1185</v>
      </c>
      <c r="ARB1" t="s">
        <v>1186</v>
      </c>
      <c r="ARC1" t="s">
        <v>1187</v>
      </c>
      <c r="ARD1" t="s">
        <v>1188</v>
      </c>
      <c r="ARE1" t="s">
        <v>1189</v>
      </c>
      <c r="ARF1" t="s">
        <v>1190</v>
      </c>
      <c r="ARG1" t="s">
        <v>1191</v>
      </c>
      <c r="ARH1" t="s">
        <v>1192</v>
      </c>
      <c r="ARI1" t="s">
        <v>1193</v>
      </c>
      <c r="ARJ1" t="s">
        <v>1194</v>
      </c>
      <c r="ARK1" t="s">
        <v>1195</v>
      </c>
      <c r="ARL1" t="s">
        <v>1196</v>
      </c>
      <c r="ARM1" t="s">
        <v>1197</v>
      </c>
      <c r="ARN1" t="s">
        <v>1198</v>
      </c>
      <c r="ARO1" t="s">
        <v>1199</v>
      </c>
      <c r="ARP1" t="s">
        <v>1200</v>
      </c>
      <c r="ARQ1" t="s">
        <v>1201</v>
      </c>
      <c r="ARR1" t="s">
        <v>1202</v>
      </c>
      <c r="ARS1" t="s">
        <v>1203</v>
      </c>
      <c r="ART1" t="s">
        <v>1204</v>
      </c>
      <c r="ARU1" t="s">
        <v>1205</v>
      </c>
      <c r="ARV1" t="s">
        <v>1206</v>
      </c>
      <c r="ARW1" t="s">
        <v>1207</v>
      </c>
      <c r="ARX1" t="s">
        <v>1208</v>
      </c>
      <c r="ARY1" t="s">
        <v>1209</v>
      </c>
      <c r="ARZ1" t="s">
        <v>1210</v>
      </c>
      <c r="ASA1" t="s">
        <v>1211</v>
      </c>
      <c r="ASB1" t="s">
        <v>1212</v>
      </c>
      <c r="ASC1" t="s">
        <v>1213</v>
      </c>
      <c r="ASD1" t="s">
        <v>1214</v>
      </c>
      <c r="ASE1" t="s">
        <v>1215</v>
      </c>
      <c r="ASF1" t="s">
        <v>1216</v>
      </c>
      <c r="ASG1" t="s">
        <v>1217</v>
      </c>
      <c r="ASH1" t="s">
        <v>1218</v>
      </c>
      <c r="ASI1" t="s">
        <v>1219</v>
      </c>
      <c r="ASJ1" t="s">
        <v>1220</v>
      </c>
      <c r="ASK1" t="s">
        <v>1221</v>
      </c>
      <c r="ASL1" t="s">
        <v>1222</v>
      </c>
      <c r="ASM1" t="s">
        <v>1223</v>
      </c>
      <c r="ASN1" t="s">
        <v>1224</v>
      </c>
      <c r="ASO1" t="s">
        <v>1225</v>
      </c>
      <c r="ASP1" t="s">
        <v>1226</v>
      </c>
      <c r="ASQ1" t="s">
        <v>1227</v>
      </c>
      <c r="ASR1" t="s">
        <v>1228</v>
      </c>
      <c r="ASS1" t="s">
        <v>1229</v>
      </c>
      <c r="AST1" t="s">
        <v>1230</v>
      </c>
      <c r="ASU1" t="s">
        <v>1231</v>
      </c>
      <c r="ASV1" t="s">
        <v>1232</v>
      </c>
      <c r="ASW1" t="s">
        <v>1233</v>
      </c>
      <c r="ASX1" t="s">
        <v>1234</v>
      </c>
      <c r="ASY1" t="s">
        <v>1235</v>
      </c>
      <c r="ASZ1" t="s">
        <v>1236</v>
      </c>
      <c r="ATA1" t="s">
        <v>1237</v>
      </c>
      <c r="ATB1" t="s">
        <v>1238</v>
      </c>
      <c r="ATC1" t="s">
        <v>1239</v>
      </c>
      <c r="ATD1" t="s">
        <v>1240</v>
      </c>
      <c r="ATE1" t="s">
        <v>1241</v>
      </c>
      <c r="ATF1" t="s">
        <v>1242</v>
      </c>
      <c r="ATG1" t="s">
        <v>1243</v>
      </c>
      <c r="ATH1" t="s">
        <v>1244</v>
      </c>
      <c r="ATI1" t="s">
        <v>1245</v>
      </c>
      <c r="ATJ1" t="s">
        <v>1246</v>
      </c>
      <c r="ATK1" t="s">
        <v>1247</v>
      </c>
      <c r="ATL1" t="s">
        <v>1248</v>
      </c>
      <c r="ATM1" t="s">
        <v>1249</v>
      </c>
      <c r="ATN1" t="s">
        <v>1250</v>
      </c>
      <c r="ATO1" t="s">
        <v>1251</v>
      </c>
      <c r="ATP1" t="s">
        <v>1252</v>
      </c>
      <c r="ATQ1" t="s">
        <v>1253</v>
      </c>
      <c r="ATR1" t="s">
        <v>1254</v>
      </c>
      <c r="ATS1" t="s">
        <v>1255</v>
      </c>
      <c r="ATT1" t="s">
        <v>1256</v>
      </c>
      <c r="ATU1" t="s">
        <v>1257</v>
      </c>
      <c r="ATV1" t="s">
        <v>1258</v>
      </c>
      <c r="ATW1" t="s">
        <v>1259</v>
      </c>
      <c r="ATX1" t="s">
        <v>1260</v>
      </c>
      <c r="ATY1" t="s">
        <v>1261</v>
      </c>
      <c r="ATZ1" t="s">
        <v>1262</v>
      </c>
      <c r="AUA1" t="s">
        <v>1263</v>
      </c>
      <c r="AUB1" t="s">
        <v>1264</v>
      </c>
      <c r="AUC1" t="s">
        <v>1265</v>
      </c>
      <c r="AUD1" t="s">
        <v>1266</v>
      </c>
      <c r="AUE1" t="s">
        <v>1267</v>
      </c>
      <c r="AUF1" t="s">
        <v>1268</v>
      </c>
      <c r="AUG1" t="s">
        <v>1269</v>
      </c>
      <c r="AUH1" t="s">
        <v>1270</v>
      </c>
      <c r="AUI1" t="s">
        <v>1271</v>
      </c>
      <c r="AUJ1" t="s">
        <v>1272</v>
      </c>
      <c r="AUK1" t="s">
        <v>1273</v>
      </c>
      <c r="AUL1" t="s">
        <v>1274</v>
      </c>
      <c r="AUM1" t="s">
        <v>1275</v>
      </c>
      <c r="AUN1" t="s">
        <v>1276</v>
      </c>
      <c r="AUO1" t="s">
        <v>1277</v>
      </c>
      <c r="AUP1" t="s">
        <v>1278</v>
      </c>
      <c r="AUQ1" t="s">
        <v>1279</v>
      </c>
      <c r="AUR1" t="s">
        <v>1280</v>
      </c>
      <c r="AUS1" t="s">
        <v>1281</v>
      </c>
      <c r="AUT1" t="s">
        <v>1282</v>
      </c>
      <c r="AUU1" t="s">
        <v>1283</v>
      </c>
      <c r="AUV1" t="s">
        <v>1284</v>
      </c>
      <c r="AUW1" t="s">
        <v>1285</v>
      </c>
      <c r="AUX1" t="s">
        <v>1286</v>
      </c>
      <c r="AUY1" t="s">
        <v>1287</v>
      </c>
      <c r="AUZ1" t="s">
        <v>1288</v>
      </c>
      <c r="AVA1" t="s">
        <v>1289</v>
      </c>
      <c r="AVB1" t="s">
        <v>1290</v>
      </c>
      <c r="AVC1" t="s">
        <v>1291</v>
      </c>
      <c r="AVD1" t="s">
        <v>1292</v>
      </c>
      <c r="AVE1" t="s">
        <v>1293</v>
      </c>
      <c r="AVF1" t="s">
        <v>1294</v>
      </c>
      <c r="AVG1" t="s">
        <v>1295</v>
      </c>
      <c r="AVH1" t="s">
        <v>1296</v>
      </c>
      <c r="AVI1" t="s">
        <v>1297</v>
      </c>
      <c r="AVJ1" t="s">
        <v>1298</v>
      </c>
      <c r="AVK1" t="s">
        <v>1299</v>
      </c>
      <c r="AVL1" t="s">
        <v>1300</v>
      </c>
      <c r="AVM1" t="s">
        <v>1301</v>
      </c>
      <c r="AVN1" t="s">
        <v>1302</v>
      </c>
      <c r="AVO1" t="s">
        <v>1303</v>
      </c>
      <c r="AVP1" t="s">
        <v>1304</v>
      </c>
      <c r="AVQ1" t="s">
        <v>1305</v>
      </c>
      <c r="AVR1" t="s">
        <v>1306</v>
      </c>
      <c r="AVS1" t="s">
        <v>1307</v>
      </c>
      <c r="AVT1" t="s">
        <v>1308</v>
      </c>
      <c r="AVU1" t="s">
        <v>1309</v>
      </c>
      <c r="AVV1" t="s">
        <v>1310</v>
      </c>
      <c r="AVW1" t="s">
        <v>1311</v>
      </c>
      <c r="AVX1" t="s">
        <v>1312</v>
      </c>
      <c r="AVY1" t="s">
        <v>1313</v>
      </c>
      <c r="AVZ1" t="s">
        <v>1314</v>
      </c>
      <c r="AWA1" t="s">
        <v>1315</v>
      </c>
      <c r="AWB1" t="s">
        <v>1316</v>
      </c>
      <c r="AWC1" t="s">
        <v>1317</v>
      </c>
      <c r="AWD1" t="s">
        <v>1318</v>
      </c>
      <c r="AWE1" t="s">
        <v>1319</v>
      </c>
      <c r="AWF1" t="s">
        <v>1320</v>
      </c>
      <c r="AWG1" t="s">
        <v>1321</v>
      </c>
      <c r="AWH1" t="s">
        <v>1322</v>
      </c>
      <c r="AWI1" t="s">
        <v>1323</v>
      </c>
      <c r="AWJ1" t="s">
        <v>1324</v>
      </c>
      <c r="AWK1" t="s">
        <v>1325</v>
      </c>
      <c r="AWL1" t="s">
        <v>1326</v>
      </c>
      <c r="AWM1" t="s">
        <v>1327</v>
      </c>
      <c r="AWN1" t="s">
        <v>1328</v>
      </c>
      <c r="AWO1" t="s">
        <v>1329</v>
      </c>
      <c r="AWP1" t="s">
        <v>1330</v>
      </c>
      <c r="AWQ1" t="s">
        <v>1331</v>
      </c>
      <c r="AWR1" t="s">
        <v>1332</v>
      </c>
      <c r="AWS1" t="s">
        <v>1333</v>
      </c>
      <c r="AWT1" t="s">
        <v>1334</v>
      </c>
      <c r="AWU1" t="s">
        <v>1335</v>
      </c>
      <c r="AWV1" t="s">
        <v>1336</v>
      </c>
      <c r="AWW1" t="s">
        <v>1337</v>
      </c>
      <c r="AWX1" t="s">
        <v>1338</v>
      </c>
      <c r="AWY1" t="s">
        <v>1339</v>
      </c>
      <c r="AWZ1" t="s">
        <v>1340</v>
      </c>
      <c r="AXA1" t="s">
        <v>1341</v>
      </c>
      <c r="AXB1" t="s">
        <v>1342</v>
      </c>
      <c r="AXC1" t="s">
        <v>1343</v>
      </c>
      <c r="AXD1" t="s">
        <v>1344</v>
      </c>
      <c r="AXE1" t="s">
        <v>1345</v>
      </c>
      <c r="AXF1" t="s">
        <v>1346</v>
      </c>
      <c r="AXG1" t="s">
        <v>1347</v>
      </c>
      <c r="AXH1" t="s">
        <v>1348</v>
      </c>
      <c r="AXI1" t="s">
        <v>1349</v>
      </c>
      <c r="AXJ1" t="s">
        <v>1350</v>
      </c>
      <c r="AXK1" t="s">
        <v>1351</v>
      </c>
      <c r="AXL1" t="s">
        <v>1352</v>
      </c>
      <c r="AXM1" t="s">
        <v>1353</v>
      </c>
      <c r="AXN1" t="s">
        <v>1354</v>
      </c>
      <c r="AXO1" t="s">
        <v>1355</v>
      </c>
      <c r="AXP1" t="s">
        <v>1356</v>
      </c>
      <c r="AXQ1" t="s">
        <v>1357</v>
      </c>
      <c r="AXR1" t="s">
        <v>1358</v>
      </c>
      <c r="AXS1" t="s">
        <v>1359</v>
      </c>
      <c r="AXT1" t="s">
        <v>1360</v>
      </c>
      <c r="AXU1" t="s">
        <v>1361</v>
      </c>
      <c r="AXV1" t="s">
        <v>1362</v>
      </c>
      <c r="AXW1" t="s">
        <v>1363</v>
      </c>
      <c r="AXX1" t="s">
        <v>1364</v>
      </c>
      <c r="AXY1" t="s">
        <v>1365</v>
      </c>
      <c r="AXZ1" t="s">
        <v>1366</v>
      </c>
      <c r="AYA1" t="s">
        <v>1367</v>
      </c>
      <c r="AYB1" t="s">
        <v>1368</v>
      </c>
      <c r="AYC1" t="s">
        <v>1369</v>
      </c>
      <c r="AYD1" t="s">
        <v>1370</v>
      </c>
      <c r="AYE1" t="s">
        <v>1371</v>
      </c>
      <c r="AYF1" t="s">
        <v>1372</v>
      </c>
      <c r="AYG1" t="s">
        <v>1373</v>
      </c>
      <c r="AYH1" t="s">
        <v>1374</v>
      </c>
      <c r="AYI1" t="s">
        <v>1375</v>
      </c>
      <c r="AYJ1" t="s">
        <v>1376</v>
      </c>
      <c r="AYK1" t="s">
        <v>1377</v>
      </c>
      <c r="AYL1" t="s">
        <v>1378</v>
      </c>
      <c r="AYM1" t="s">
        <v>1379</v>
      </c>
      <c r="AYN1" t="s">
        <v>1380</v>
      </c>
      <c r="AYO1" t="s">
        <v>1381</v>
      </c>
      <c r="AYP1" t="s">
        <v>1382</v>
      </c>
      <c r="AYQ1" t="s">
        <v>1383</v>
      </c>
      <c r="AYR1" t="s">
        <v>1384</v>
      </c>
      <c r="AYS1" t="s">
        <v>1385</v>
      </c>
      <c r="AYT1" t="s">
        <v>1386</v>
      </c>
      <c r="AYU1" t="s">
        <v>1387</v>
      </c>
      <c r="AYV1" t="s">
        <v>1388</v>
      </c>
      <c r="AYW1" t="s">
        <v>1389</v>
      </c>
      <c r="AYX1" t="s">
        <v>1390</v>
      </c>
      <c r="AYY1" t="s">
        <v>1391</v>
      </c>
      <c r="AYZ1" t="s">
        <v>1392</v>
      </c>
      <c r="AZA1" t="s">
        <v>1393</v>
      </c>
      <c r="AZB1" t="s">
        <v>1394</v>
      </c>
      <c r="AZC1" t="s">
        <v>1395</v>
      </c>
      <c r="AZD1" t="s">
        <v>1396</v>
      </c>
      <c r="AZE1" t="s">
        <v>1397</v>
      </c>
      <c r="AZF1" t="s">
        <v>1398</v>
      </c>
      <c r="AZG1" t="s">
        <v>1399</v>
      </c>
      <c r="AZH1" t="s">
        <v>1400</v>
      </c>
      <c r="AZI1" t="s">
        <v>1401</v>
      </c>
      <c r="AZJ1" t="s">
        <v>1402</v>
      </c>
      <c r="AZK1" t="s">
        <v>1403</v>
      </c>
      <c r="AZL1" t="s">
        <v>1404</v>
      </c>
      <c r="AZM1" t="s">
        <v>1405</v>
      </c>
      <c r="AZN1" t="s">
        <v>1406</v>
      </c>
      <c r="AZO1" t="s">
        <v>1407</v>
      </c>
      <c r="AZP1" t="s">
        <v>1408</v>
      </c>
      <c r="AZQ1" t="s">
        <v>1409</v>
      </c>
      <c r="AZR1" t="s">
        <v>1410</v>
      </c>
      <c r="AZS1" t="s">
        <v>1411</v>
      </c>
      <c r="AZT1" t="s">
        <v>1412</v>
      </c>
      <c r="AZU1" t="s">
        <v>1413</v>
      </c>
      <c r="AZV1" t="s">
        <v>1414</v>
      </c>
      <c r="AZW1" t="s">
        <v>1415</v>
      </c>
      <c r="AZX1" t="s">
        <v>1416</v>
      </c>
      <c r="AZY1" t="s">
        <v>1417</v>
      </c>
      <c r="AZZ1" t="s">
        <v>1418</v>
      </c>
      <c r="BAA1" t="s">
        <v>1419</v>
      </c>
      <c r="BAB1" t="s">
        <v>1420</v>
      </c>
      <c r="BAC1" t="s">
        <v>1421</v>
      </c>
      <c r="BAD1" t="s">
        <v>1422</v>
      </c>
      <c r="BAE1" t="s">
        <v>1423</v>
      </c>
      <c r="BAF1" t="s">
        <v>1424</v>
      </c>
      <c r="BAG1" t="s">
        <v>1425</v>
      </c>
      <c r="BAH1" t="s">
        <v>1426</v>
      </c>
      <c r="BAI1" t="s">
        <v>1427</v>
      </c>
      <c r="BAJ1" t="s">
        <v>1428</v>
      </c>
      <c r="BAK1" t="s">
        <v>1429</v>
      </c>
      <c r="BAL1" t="s">
        <v>1430</v>
      </c>
      <c r="BAM1" t="s">
        <v>1431</v>
      </c>
      <c r="BAN1" t="s">
        <v>1432</v>
      </c>
      <c r="BAO1" t="s">
        <v>1433</v>
      </c>
      <c r="BAP1" t="s">
        <v>1434</v>
      </c>
      <c r="BAQ1" t="s">
        <v>1435</v>
      </c>
      <c r="BAR1" t="s">
        <v>1436</v>
      </c>
      <c r="BAS1" t="s">
        <v>1437</v>
      </c>
      <c r="BAT1" t="s">
        <v>1438</v>
      </c>
      <c r="BAU1" t="s">
        <v>1439</v>
      </c>
      <c r="BAV1" t="s">
        <v>1440</v>
      </c>
      <c r="BAW1" t="s">
        <v>1441</v>
      </c>
      <c r="BAX1" t="s">
        <v>1442</v>
      </c>
      <c r="BAY1" t="s">
        <v>1443</v>
      </c>
      <c r="BAZ1" t="s">
        <v>1444</v>
      </c>
      <c r="BBA1" t="s">
        <v>1445</v>
      </c>
      <c r="BBB1" t="s">
        <v>1446</v>
      </c>
      <c r="BBC1" t="s">
        <v>1447</v>
      </c>
      <c r="BBD1" t="s">
        <v>1448</v>
      </c>
      <c r="BBE1" t="s">
        <v>1449</v>
      </c>
      <c r="BBF1" t="s">
        <v>1450</v>
      </c>
      <c r="BBG1" t="s">
        <v>1451</v>
      </c>
      <c r="BBH1" t="s">
        <v>1452</v>
      </c>
      <c r="BBI1" t="s">
        <v>1453</v>
      </c>
      <c r="BBJ1" t="s">
        <v>1454</v>
      </c>
      <c r="BBK1" t="s">
        <v>1455</v>
      </c>
      <c r="BBL1" t="s">
        <v>1456</v>
      </c>
      <c r="BBM1" t="s">
        <v>1457</v>
      </c>
      <c r="BBN1" t="s">
        <v>1458</v>
      </c>
      <c r="BBO1" t="s">
        <v>1459</v>
      </c>
      <c r="BBP1" t="s">
        <v>1460</v>
      </c>
      <c r="BBQ1" t="s">
        <v>1461</v>
      </c>
      <c r="BBR1" t="s">
        <v>1462</v>
      </c>
      <c r="BBS1" t="s">
        <v>1463</v>
      </c>
      <c r="BBT1" t="s">
        <v>1464</v>
      </c>
      <c r="BBU1" t="s">
        <v>1465</v>
      </c>
      <c r="BBV1" t="s">
        <v>1466</v>
      </c>
      <c r="BBW1" t="s">
        <v>1467</v>
      </c>
      <c r="BBX1" t="s">
        <v>1468</v>
      </c>
      <c r="BBY1" t="s">
        <v>1469</v>
      </c>
      <c r="BBZ1" t="s">
        <v>1470</v>
      </c>
      <c r="BCA1" t="s">
        <v>1471</v>
      </c>
      <c r="BCB1" t="s">
        <v>1472</v>
      </c>
      <c r="BCC1" t="s">
        <v>1473</v>
      </c>
      <c r="BCD1" t="s">
        <v>1474</v>
      </c>
      <c r="BCE1" t="s">
        <v>1475</v>
      </c>
      <c r="BCF1" t="s">
        <v>1476</v>
      </c>
      <c r="BCG1" t="s">
        <v>1477</v>
      </c>
      <c r="BCH1" t="s">
        <v>1478</v>
      </c>
      <c r="BCI1" t="s">
        <v>1479</v>
      </c>
      <c r="BCJ1" t="s">
        <v>1480</v>
      </c>
      <c r="BCK1" t="s">
        <v>1481</v>
      </c>
      <c r="BCL1" t="s">
        <v>1482</v>
      </c>
      <c r="BCM1" t="s">
        <v>1483</v>
      </c>
      <c r="BCN1" t="s">
        <v>1484</v>
      </c>
      <c r="BCO1" t="s">
        <v>1485</v>
      </c>
      <c r="BCP1" t="s">
        <v>1486</v>
      </c>
      <c r="BCQ1" t="s">
        <v>1487</v>
      </c>
      <c r="BCR1" t="s">
        <v>1488</v>
      </c>
      <c r="BCS1" t="s">
        <v>1489</v>
      </c>
      <c r="BCT1" t="s">
        <v>1490</v>
      </c>
      <c r="BCU1" t="s">
        <v>1491</v>
      </c>
      <c r="BCV1" t="s">
        <v>1492</v>
      </c>
      <c r="BCW1" t="s">
        <v>1493</v>
      </c>
      <c r="BCX1" t="s">
        <v>1494</v>
      </c>
      <c r="BCY1" t="s">
        <v>1495</v>
      </c>
      <c r="BCZ1" t="s">
        <v>1496</v>
      </c>
      <c r="BDA1" t="s">
        <v>1497</v>
      </c>
      <c r="BDB1" t="s">
        <v>1498</v>
      </c>
      <c r="BDC1" t="s">
        <v>1499</v>
      </c>
      <c r="BDD1" t="s">
        <v>1500</v>
      </c>
      <c r="BDE1" t="s">
        <v>1501</v>
      </c>
      <c r="BDF1" t="s">
        <v>1502</v>
      </c>
      <c r="BDG1" t="s">
        <v>1503</v>
      </c>
      <c r="BDH1" t="s">
        <v>1504</v>
      </c>
      <c r="BDI1" t="s">
        <v>1505</v>
      </c>
      <c r="BDJ1" t="s">
        <v>1506</v>
      </c>
      <c r="BDK1" t="s">
        <v>1507</v>
      </c>
      <c r="BDL1" t="s">
        <v>1508</v>
      </c>
      <c r="BDM1" t="s">
        <v>1509</v>
      </c>
      <c r="BDN1" t="s">
        <v>1510</v>
      </c>
      <c r="BDO1" t="s">
        <v>1511</v>
      </c>
      <c r="BDP1" t="s">
        <v>1512</v>
      </c>
      <c r="BDQ1" t="s">
        <v>1513</v>
      </c>
      <c r="BDR1" t="s">
        <v>1514</v>
      </c>
      <c r="BDS1" t="s">
        <v>1515</v>
      </c>
      <c r="BDT1" t="s">
        <v>1516</v>
      </c>
      <c r="BDU1" t="s">
        <v>1517</v>
      </c>
      <c r="BDV1" t="s">
        <v>1518</v>
      </c>
      <c r="BDW1" t="s">
        <v>1519</v>
      </c>
      <c r="BDX1" t="s">
        <v>1520</v>
      </c>
      <c r="BDY1" t="s">
        <v>1521</v>
      </c>
      <c r="BDZ1" t="s">
        <v>1522</v>
      </c>
      <c r="BEA1" t="s">
        <v>1523</v>
      </c>
      <c r="BEB1" t="s">
        <v>1524</v>
      </c>
      <c r="BEC1" t="s">
        <v>1525</v>
      </c>
      <c r="BED1" t="s">
        <v>1526</v>
      </c>
      <c r="BEE1" t="s">
        <v>1527</v>
      </c>
      <c r="BEF1" t="s">
        <v>1528</v>
      </c>
      <c r="BEG1" t="s">
        <v>1529</v>
      </c>
      <c r="BEH1" t="s">
        <v>1530</v>
      </c>
      <c r="BEI1" t="s">
        <v>1531</v>
      </c>
      <c r="BEJ1" t="s">
        <v>1532</v>
      </c>
      <c r="BEK1" t="s">
        <v>1533</v>
      </c>
      <c r="BEL1" t="s">
        <v>1534</v>
      </c>
      <c r="BEM1" t="s">
        <v>1535</v>
      </c>
      <c r="BEN1" t="s">
        <v>1536</v>
      </c>
      <c r="BEO1" t="s">
        <v>1537</v>
      </c>
      <c r="BEP1" t="s">
        <v>1538</v>
      </c>
      <c r="BEQ1" t="s">
        <v>1539</v>
      </c>
      <c r="BER1" t="s">
        <v>1540</v>
      </c>
      <c r="BES1" t="s">
        <v>1541</v>
      </c>
      <c r="BET1" t="s">
        <v>1542</v>
      </c>
      <c r="BEU1" t="s">
        <v>1543</v>
      </c>
      <c r="BEV1" t="s">
        <v>1544</v>
      </c>
      <c r="BEW1" t="s">
        <v>1545</v>
      </c>
      <c r="BEX1" t="s">
        <v>1546</v>
      </c>
      <c r="BEY1" t="s">
        <v>1547</v>
      </c>
      <c r="BEZ1" t="s">
        <v>1548</v>
      </c>
      <c r="BFA1" t="s">
        <v>1549</v>
      </c>
      <c r="BFB1" t="s">
        <v>1550</v>
      </c>
      <c r="BFC1" t="s">
        <v>1551</v>
      </c>
      <c r="BFD1" t="s">
        <v>1552</v>
      </c>
      <c r="BFE1" t="s">
        <v>1553</v>
      </c>
      <c r="BFF1" t="s">
        <v>1554</v>
      </c>
      <c r="BFG1" t="s">
        <v>1555</v>
      </c>
      <c r="BFH1" t="s">
        <v>1556</v>
      </c>
      <c r="BFI1" t="s">
        <v>1557</v>
      </c>
      <c r="BFJ1" t="s">
        <v>1558</v>
      </c>
      <c r="BFK1" t="s">
        <v>1559</v>
      </c>
      <c r="BFL1" t="s">
        <v>1560</v>
      </c>
      <c r="BFM1" t="s">
        <v>1561</v>
      </c>
      <c r="BFN1" t="s">
        <v>1562</v>
      </c>
      <c r="BFO1" t="s">
        <v>1563</v>
      </c>
      <c r="BFP1" t="s">
        <v>1564</v>
      </c>
      <c r="BFQ1" t="s">
        <v>1565</v>
      </c>
      <c r="BFR1" t="s">
        <v>1566</v>
      </c>
      <c r="BFS1" t="s">
        <v>1567</v>
      </c>
      <c r="BFT1" t="s">
        <v>1568</v>
      </c>
      <c r="BFU1" t="s">
        <v>1569</v>
      </c>
      <c r="BFV1" t="s">
        <v>1570</v>
      </c>
      <c r="BFW1" t="s">
        <v>1571</v>
      </c>
      <c r="BFX1" t="s">
        <v>1572</v>
      </c>
      <c r="BFY1" t="s">
        <v>1573</v>
      </c>
      <c r="BFZ1" t="s">
        <v>1574</v>
      </c>
      <c r="BGA1" t="s">
        <v>1575</v>
      </c>
      <c r="BGB1" t="s">
        <v>1576</v>
      </c>
      <c r="BGC1" t="s">
        <v>1577</v>
      </c>
      <c r="BGD1" t="s">
        <v>1578</v>
      </c>
      <c r="BGE1" t="s">
        <v>1579</v>
      </c>
      <c r="BGF1" t="s">
        <v>1580</v>
      </c>
      <c r="BGG1" t="s">
        <v>1581</v>
      </c>
      <c r="BGH1" t="s">
        <v>1582</v>
      </c>
      <c r="BGI1" t="s">
        <v>1583</v>
      </c>
      <c r="BGJ1" t="s">
        <v>1584</v>
      </c>
      <c r="BGK1" t="s">
        <v>1585</v>
      </c>
      <c r="BGL1" t="s">
        <v>1586</v>
      </c>
      <c r="BGM1" t="s">
        <v>1587</v>
      </c>
      <c r="BGN1" t="s">
        <v>1588</v>
      </c>
      <c r="BGO1" t="s">
        <v>1589</v>
      </c>
      <c r="BGP1" t="s">
        <v>1590</v>
      </c>
      <c r="BGQ1" t="s">
        <v>1591</v>
      </c>
      <c r="BGR1" t="s">
        <v>1592</v>
      </c>
      <c r="BGS1" t="s">
        <v>1593</v>
      </c>
      <c r="BGT1" t="s">
        <v>1594</v>
      </c>
      <c r="BGU1" t="s">
        <v>1595</v>
      </c>
      <c r="BGV1" t="s">
        <v>1596</v>
      </c>
      <c r="BGW1" t="s">
        <v>1597</v>
      </c>
      <c r="BGX1" t="s">
        <v>1598</v>
      </c>
      <c r="BGY1" t="s">
        <v>1599</v>
      </c>
      <c r="BGZ1" t="s">
        <v>1600</v>
      </c>
      <c r="BHA1" t="s">
        <v>1601</v>
      </c>
      <c r="BHB1" t="s">
        <v>1602</v>
      </c>
      <c r="BHC1" t="s">
        <v>1603</v>
      </c>
      <c r="BHD1" t="s">
        <v>1604</v>
      </c>
      <c r="BHE1" t="s">
        <v>1605</v>
      </c>
      <c r="BHF1" t="s">
        <v>1606</v>
      </c>
      <c r="BHG1" t="s">
        <v>1607</v>
      </c>
      <c r="BHH1" t="s">
        <v>1608</v>
      </c>
      <c r="BHI1" t="s">
        <v>1609</v>
      </c>
      <c r="BHJ1" t="s">
        <v>1610</v>
      </c>
      <c r="BHK1" t="s">
        <v>1611</v>
      </c>
      <c r="BHL1" t="s">
        <v>1612</v>
      </c>
      <c r="BHM1" t="s">
        <v>1613</v>
      </c>
      <c r="BHN1" t="s">
        <v>1614</v>
      </c>
      <c r="BHO1" t="s">
        <v>1615</v>
      </c>
      <c r="BHP1" t="s">
        <v>1616</v>
      </c>
      <c r="BHQ1" t="s">
        <v>1617</v>
      </c>
      <c r="BHR1" t="s">
        <v>1618</v>
      </c>
      <c r="BHS1" t="s">
        <v>1619</v>
      </c>
      <c r="BHT1" t="s">
        <v>1620</v>
      </c>
      <c r="BHU1" t="s">
        <v>1621</v>
      </c>
      <c r="BHV1" t="s">
        <v>1622</v>
      </c>
      <c r="BHW1" t="s">
        <v>1623</v>
      </c>
      <c r="BHX1" t="s">
        <v>1624</v>
      </c>
      <c r="BHY1" t="s">
        <v>1625</v>
      </c>
      <c r="BHZ1" t="s">
        <v>1626</v>
      </c>
      <c r="BIA1" t="s">
        <v>1627</v>
      </c>
      <c r="BIB1" t="s">
        <v>1628</v>
      </c>
      <c r="BIC1" t="s">
        <v>1629</v>
      </c>
      <c r="BID1" t="s">
        <v>1630</v>
      </c>
      <c r="BIE1" t="s">
        <v>1631</v>
      </c>
      <c r="BIF1" t="s">
        <v>1632</v>
      </c>
      <c r="BIG1" t="s">
        <v>1633</v>
      </c>
      <c r="BIH1" t="s">
        <v>1634</v>
      </c>
      <c r="BII1" t="s">
        <v>1635</v>
      </c>
      <c r="BIJ1" t="s">
        <v>1636</v>
      </c>
      <c r="BIK1" t="s">
        <v>1637</v>
      </c>
      <c r="BIL1" t="s">
        <v>1638</v>
      </c>
      <c r="BIM1" t="s">
        <v>1639</v>
      </c>
      <c r="BIN1" t="s">
        <v>1640</v>
      </c>
      <c r="BIO1" t="s">
        <v>1641</v>
      </c>
      <c r="BIP1" t="s">
        <v>1642</v>
      </c>
      <c r="BIQ1" t="s">
        <v>1643</v>
      </c>
      <c r="BIR1" t="s">
        <v>1644</v>
      </c>
      <c r="BIS1" t="s">
        <v>1645</v>
      </c>
      <c r="BIT1" t="s">
        <v>1646</v>
      </c>
      <c r="BIU1" t="s">
        <v>1647</v>
      </c>
      <c r="BIV1" t="s">
        <v>1648</v>
      </c>
      <c r="BIW1" t="s">
        <v>1649</v>
      </c>
      <c r="BIX1" t="s">
        <v>1650</v>
      </c>
      <c r="BIY1" t="s">
        <v>1651</v>
      </c>
      <c r="BIZ1" t="s">
        <v>1652</v>
      </c>
      <c r="BJA1" t="s">
        <v>1653</v>
      </c>
      <c r="BJB1" t="s">
        <v>1654</v>
      </c>
      <c r="BJC1" t="s">
        <v>1655</v>
      </c>
      <c r="BJD1" t="s">
        <v>1656</v>
      </c>
      <c r="BJE1" t="s">
        <v>1657</v>
      </c>
      <c r="BJF1" t="s">
        <v>1658</v>
      </c>
      <c r="BJG1" t="s">
        <v>1659</v>
      </c>
      <c r="BJH1" t="s">
        <v>1660</v>
      </c>
      <c r="BJI1" t="s">
        <v>1661</v>
      </c>
      <c r="BJJ1" t="s">
        <v>1662</v>
      </c>
      <c r="BJK1" t="s">
        <v>1663</v>
      </c>
      <c r="BJL1" t="s">
        <v>1664</v>
      </c>
      <c r="BJM1" t="s">
        <v>1665</v>
      </c>
      <c r="BJN1" t="s">
        <v>1666</v>
      </c>
      <c r="BJO1" t="s">
        <v>1667</v>
      </c>
      <c r="BJP1" t="s">
        <v>1668</v>
      </c>
      <c r="BJQ1" t="s">
        <v>1669</v>
      </c>
      <c r="BJR1" t="s">
        <v>1670</v>
      </c>
      <c r="BJS1" t="s">
        <v>1671</v>
      </c>
      <c r="BJT1" t="s">
        <v>1672</v>
      </c>
      <c r="BJU1" t="s">
        <v>1673</v>
      </c>
      <c r="BJV1" t="s">
        <v>1674</v>
      </c>
      <c r="BJW1" t="s">
        <v>1675</v>
      </c>
      <c r="BJX1" t="s">
        <v>1676</v>
      </c>
      <c r="BJY1" t="s">
        <v>1677</v>
      </c>
      <c r="BJZ1" t="s">
        <v>1678</v>
      </c>
      <c r="BKA1" t="s">
        <v>1679</v>
      </c>
      <c r="BKB1" t="s">
        <v>1680</v>
      </c>
      <c r="BKC1" t="s">
        <v>1681</v>
      </c>
      <c r="BKD1" t="s">
        <v>1682</v>
      </c>
      <c r="BKE1" t="s">
        <v>1683</v>
      </c>
      <c r="BKF1" t="s">
        <v>1684</v>
      </c>
      <c r="BKG1" t="s">
        <v>1685</v>
      </c>
      <c r="BKH1" t="s">
        <v>1686</v>
      </c>
      <c r="BKI1" t="s">
        <v>1687</v>
      </c>
      <c r="BKJ1" t="s">
        <v>1688</v>
      </c>
      <c r="BKK1" t="s">
        <v>1689</v>
      </c>
      <c r="BKL1" t="s">
        <v>1690</v>
      </c>
      <c r="BKM1" t="s">
        <v>1691</v>
      </c>
      <c r="BKN1" t="s">
        <v>1692</v>
      </c>
      <c r="BKO1" t="s">
        <v>1693</v>
      </c>
      <c r="BKP1" t="s">
        <v>1694</v>
      </c>
      <c r="BKQ1" t="s">
        <v>1695</v>
      </c>
      <c r="BKR1" t="s">
        <v>1696</v>
      </c>
      <c r="BKS1" t="s">
        <v>1697</v>
      </c>
      <c r="BKT1" t="s">
        <v>1698</v>
      </c>
      <c r="BKU1" t="s">
        <v>1699</v>
      </c>
      <c r="BKV1" t="s">
        <v>1700</v>
      </c>
      <c r="BKW1" t="s">
        <v>1701</v>
      </c>
      <c r="BKX1" t="s">
        <v>1702</v>
      </c>
      <c r="BKY1" t="s">
        <v>1703</v>
      </c>
      <c r="BKZ1" t="s">
        <v>1704</v>
      </c>
      <c r="BLA1" t="s">
        <v>1705</v>
      </c>
      <c r="BLB1" t="s">
        <v>1706</v>
      </c>
      <c r="BLC1" t="s">
        <v>1707</v>
      </c>
      <c r="BLD1" t="s">
        <v>1708</v>
      </c>
      <c r="BLE1" t="s">
        <v>1709</v>
      </c>
      <c r="BLF1" t="s">
        <v>1710</v>
      </c>
      <c r="BLG1" t="s">
        <v>1711</v>
      </c>
      <c r="BLH1" t="s">
        <v>1712</v>
      </c>
      <c r="BLI1" t="s">
        <v>1713</v>
      </c>
      <c r="BLJ1" t="s">
        <v>1714</v>
      </c>
      <c r="BLK1" t="s">
        <v>1715</v>
      </c>
      <c r="BLL1" t="s">
        <v>1716</v>
      </c>
      <c r="BLM1" t="s">
        <v>1717</v>
      </c>
      <c r="BLN1" t="s">
        <v>1718</v>
      </c>
      <c r="BLO1" t="s">
        <v>1719</v>
      </c>
      <c r="BLP1" t="s">
        <v>1720</v>
      </c>
      <c r="BLQ1" t="s">
        <v>1721</v>
      </c>
      <c r="BLR1" t="s">
        <v>1722</v>
      </c>
      <c r="BLS1" t="s">
        <v>1723</v>
      </c>
      <c r="BLT1" t="s">
        <v>1724</v>
      </c>
      <c r="BLU1" t="s">
        <v>1725</v>
      </c>
      <c r="BLV1" t="s">
        <v>1726</v>
      </c>
      <c r="BLW1" t="s">
        <v>1727</v>
      </c>
      <c r="BLX1" t="s">
        <v>1728</v>
      </c>
      <c r="BLY1" t="s">
        <v>1729</v>
      </c>
      <c r="BLZ1" t="s">
        <v>1730</v>
      </c>
      <c r="BMA1" t="s">
        <v>1731</v>
      </c>
      <c r="BMB1" t="s">
        <v>1732</v>
      </c>
      <c r="BMC1" t="s">
        <v>1733</v>
      </c>
      <c r="BMD1" t="s">
        <v>1734</v>
      </c>
      <c r="BME1" t="s">
        <v>1735</v>
      </c>
      <c r="BMF1" t="s">
        <v>1736</v>
      </c>
      <c r="BMG1" t="s">
        <v>1737</v>
      </c>
      <c r="BMH1" t="s">
        <v>1738</v>
      </c>
      <c r="BMI1" t="s">
        <v>1739</v>
      </c>
      <c r="BMJ1" t="s">
        <v>1740</v>
      </c>
      <c r="BMK1" t="s">
        <v>1741</v>
      </c>
      <c r="BML1" t="s">
        <v>1742</v>
      </c>
      <c r="BMM1" t="s">
        <v>1743</v>
      </c>
      <c r="BMN1" t="s">
        <v>1744</v>
      </c>
      <c r="BMO1" t="s">
        <v>1745</v>
      </c>
      <c r="BMP1" t="s">
        <v>1746</v>
      </c>
      <c r="BMQ1" t="s">
        <v>1747</v>
      </c>
      <c r="BMR1" t="s">
        <v>1748</v>
      </c>
      <c r="BMS1" t="s">
        <v>1749</v>
      </c>
      <c r="BMT1" t="s">
        <v>1750</v>
      </c>
      <c r="BMU1" t="s">
        <v>1751</v>
      </c>
      <c r="BMV1" t="s">
        <v>1752</v>
      </c>
      <c r="BMW1" t="s">
        <v>1753</v>
      </c>
      <c r="BMX1" t="s">
        <v>1754</v>
      </c>
      <c r="BMY1" t="s">
        <v>1755</v>
      </c>
      <c r="BMZ1" t="s">
        <v>1756</v>
      </c>
      <c r="BNA1" t="s">
        <v>1757</v>
      </c>
      <c r="BNB1" t="s">
        <v>1758</v>
      </c>
      <c r="BNC1" t="s">
        <v>1759</v>
      </c>
      <c r="BND1" t="s">
        <v>1760</v>
      </c>
      <c r="BNE1" t="s">
        <v>1761</v>
      </c>
      <c r="BNF1" t="s">
        <v>1762</v>
      </c>
      <c r="BNG1" t="s">
        <v>1763</v>
      </c>
      <c r="BNH1" t="s">
        <v>1764</v>
      </c>
      <c r="BNI1" t="s">
        <v>1765</v>
      </c>
      <c r="BNJ1" t="s">
        <v>1766</v>
      </c>
      <c r="BNK1" t="s">
        <v>1767</v>
      </c>
      <c r="BNL1" t="s">
        <v>1768</v>
      </c>
      <c r="BNM1" t="s">
        <v>1769</v>
      </c>
      <c r="BNN1" t="s">
        <v>1770</v>
      </c>
      <c r="BNO1" t="s">
        <v>1771</v>
      </c>
      <c r="BNP1" t="s">
        <v>1772</v>
      </c>
      <c r="BNQ1" t="s">
        <v>1773</v>
      </c>
      <c r="BNR1" t="s">
        <v>1774</v>
      </c>
      <c r="BNS1" t="s">
        <v>1775</v>
      </c>
      <c r="BNT1" t="s">
        <v>1776</v>
      </c>
      <c r="BNU1" t="s">
        <v>1777</v>
      </c>
      <c r="BNV1" t="s">
        <v>1778</v>
      </c>
      <c r="BNW1" t="s">
        <v>1779</v>
      </c>
      <c r="BNX1" t="s">
        <v>1780</v>
      </c>
      <c r="BNY1" t="s">
        <v>1781</v>
      </c>
      <c r="BNZ1" t="s">
        <v>1782</v>
      </c>
      <c r="BOA1" t="s">
        <v>1783</v>
      </c>
      <c r="BOB1" t="s">
        <v>1784</v>
      </c>
      <c r="BOC1" t="s">
        <v>1785</v>
      </c>
      <c r="BOD1" t="s">
        <v>1786</v>
      </c>
      <c r="BOE1" t="s">
        <v>1787</v>
      </c>
      <c r="BOF1" t="s">
        <v>1788</v>
      </c>
      <c r="BOG1" t="s">
        <v>1789</v>
      </c>
      <c r="BOH1" t="s">
        <v>1790</v>
      </c>
      <c r="BOI1" t="s">
        <v>1791</v>
      </c>
      <c r="BOJ1" t="s">
        <v>1792</v>
      </c>
      <c r="BOK1" t="s">
        <v>1793</v>
      </c>
      <c r="BOL1" t="s">
        <v>1794</v>
      </c>
      <c r="BOM1" t="s">
        <v>1795</v>
      </c>
      <c r="BON1" t="s">
        <v>1796</v>
      </c>
      <c r="BOO1" t="s">
        <v>1797</v>
      </c>
      <c r="BOP1" t="s">
        <v>1798</v>
      </c>
      <c r="BOQ1" t="s">
        <v>1799</v>
      </c>
      <c r="BOR1" t="s">
        <v>1800</v>
      </c>
      <c r="BOS1" t="s">
        <v>1801</v>
      </c>
      <c r="BOT1" t="s">
        <v>1802</v>
      </c>
      <c r="BOU1" t="s">
        <v>1803</v>
      </c>
      <c r="BOV1" t="s">
        <v>1804</v>
      </c>
      <c r="BOW1" t="s">
        <v>1805</v>
      </c>
      <c r="BOX1" t="s">
        <v>1806</v>
      </c>
      <c r="BOY1" t="s">
        <v>1807</v>
      </c>
      <c r="BOZ1" t="s">
        <v>1808</v>
      </c>
      <c r="BPA1" t="s">
        <v>1809</v>
      </c>
      <c r="BPB1" t="s">
        <v>1810</v>
      </c>
      <c r="BPC1" t="s">
        <v>1811</v>
      </c>
      <c r="BPD1" t="s">
        <v>1812</v>
      </c>
      <c r="BPE1" t="s">
        <v>1813</v>
      </c>
      <c r="BPF1" t="s">
        <v>1814</v>
      </c>
      <c r="BPG1" t="s">
        <v>1815</v>
      </c>
      <c r="BPH1" t="s">
        <v>1816</v>
      </c>
      <c r="BPI1" t="s">
        <v>1817</v>
      </c>
      <c r="BPJ1" t="s">
        <v>1818</v>
      </c>
      <c r="BPK1" t="s">
        <v>1819</v>
      </c>
      <c r="BPL1" t="s">
        <v>1820</v>
      </c>
      <c r="BPM1" t="s">
        <v>1821</v>
      </c>
      <c r="BPN1" t="s">
        <v>1822</v>
      </c>
      <c r="BPO1" t="s">
        <v>1823</v>
      </c>
      <c r="BPP1" t="s">
        <v>1824</v>
      </c>
      <c r="BPQ1" t="s">
        <v>1825</v>
      </c>
      <c r="BPR1" t="s">
        <v>1826</v>
      </c>
      <c r="BPS1" t="s">
        <v>1827</v>
      </c>
      <c r="BPT1" t="s">
        <v>1828</v>
      </c>
      <c r="BPU1" t="s">
        <v>1829</v>
      </c>
      <c r="BPV1" t="s">
        <v>1830</v>
      </c>
      <c r="BPW1" t="s">
        <v>1831</v>
      </c>
      <c r="BPX1" t="s">
        <v>1832</v>
      </c>
      <c r="BPY1" t="s">
        <v>1833</v>
      </c>
      <c r="BPZ1" t="s">
        <v>1834</v>
      </c>
      <c r="BQA1" t="s">
        <v>1835</v>
      </c>
      <c r="BQB1" t="s">
        <v>1836</v>
      </c>
      <c r="BQC1" t="s">
        <v>1837</v>
      </c>
      <c r="BQD1" t="s">
        <v>1838</v>
      </c>
      <c r="BQE1" t="s">
        <v>1839</v>
      </c>
      <c r="BQF1" t="s">
        <v>1840</v>
      </c>
      <c r="BQG1" t="s">
        <v>1841</v>
      </c>
      <c r="BQH1" t="s">
        <v>1842</v>
      </c>
      <c r="BQI1" t="s">
        <v>1843</v>
      </c>
      <c r="BQJ1" t="s">
        <v>1844</v>
      </c>
      <c r="BQK1" t="s">
        <v>1845</v>
      </c>
      <c r="BQL1" t="s">
        <v>1846</v>
      </c>
      <c r="BQM1" t="s">
        <v>1847</v>
      </c>
      <c r="BQN1" t="s">
        <v>1848</v>
      </c>
      <c r="BQO1" t="s">
        <v>1849</v>
      </c>
      <c r="BQP1" t="s">
        <v>1850</v>
      </c>
      <c r="BQQ1" t="s">
        <v>1851</v>
      </c>
      <c r="BQR1" t="s">
        <v>1852</v>
      </c>
      <c r="BQS1" t="s">
        <v>1853</v>
      </c>
      <c r="BQT1" t="s">
        <v>1854</v>
      </c>
      <c r="BQU1" t="s">
        <v>1855</v>
      </c>
      <c r="BQV1" t="s">
        <v>1856</v>
      </c>
      <c r="BQW1" t="s">
        <v>1857</v>
      </c>
      <c r="BQX1" t="s">
        <v>1858</v>
      </c>
      <c r="BQY1" t="s">
        <v>1859</v>
      </c>
      <c r="BQZ1" t="s">
        <v>1860</v>
      </c>
      <c r="BRA1" t="s">
        <v>1861</v>
      </c>
      <c r="BRB1" t="s">
        <v>1862</v>
      </c>
      <c r="BRC1" t="s">
        <v>1863</v>
      </c>
      <c r="BRD1" t="s">
        <v>1864</v>
      </c>
      <c r="BRE1" t="s">
        <v>1865</v>
      </c>
      <c r="BRF1" t="s">
        <v>1866</v>
      </c>
      <c r="BRG1" t="s">
        <v>1867</v>
      </c>
      <c r="BRH1" t="s">
        <v>1868</v>
      </c>
      <c r="BRI1" t="s">
        <v>1869</v>
      </c>
      <c r="BRJ1" t="s">
        <v>1870</v>
      </c>
      <c r="BRK1" t="s">
        <v>1871</v>
      </c>
      <c r="BRL1" t="s">
        <v>1872</v>
      </c>
      <c r="BRM1" t="s">
        <v>1873</v>
      </c>
      <c r="BRN1" t="s">
        <v>1874</v>
      </c>
      <c r="BRO1" t="s">
        <v>1875</v>
      </c>
      <c r="BRP1" t="s">
        <v>1876</v>
      </c>
      <c r="BRQ1" t="s">
        <v>1877</v>
      </c>
      <c r="BRR1" t="s">
        <v>1878</v>
      </c>
      <c r="BRS1" t="s">
        <v>1879</v>
      </c>
      <c r="BRT1" t="s">
        <v>1880</v>
      </c>
      <c r="BRU1" t="s">
        <v>1881</v>
      </c>
      <c r="BRV1" t="s">
        <v>1882</v>
      </c>
      <c r="BRW1" t="s">
        <v>1883</v>
      </c>
      <c r="BRX1" t="s">
        <v>1884</v>
      </c>
      <c r="BRY1" t="s">
        <v>1885</v>
      </c>
      <c r="BRZ1" t="s">
        <v>1886</v>
      </c>
      <c r="BSA1" t="s">
        <v>1887</v>
      </c>
      <c r="BSB1" t="s">
        <v>1888</v>
      </c>
      <c r="BSC1" t="s">
        <v>1889</v>
      </c>
      <c r="BSD1" t="s">
        <v>1890</v>
      </c>
      <c r="BSE1" t="s">
        <v>1891</v>
      </c>
      <c r="BSF1" t="s">
        <v>1892</v>
      </c>
      <c r="BSG1" t="s">
        <v>1893</v>
      </c>
      <c r="BSH1" t="s">
        <v>1894</v>
      </c>
      <c r="BSI1" t="s">
        <v>1895</v>
      </c>
      <c r="BSJ1" t="s">
        <v>1896</v>
      </c>
      <c r="BSK1" t="s">
        <v>1897</v>
      </c>
      <c r="BSL1" t="s">
        <v>1898</v>
      </c>
      <c r="BSM1" t="s">
        <v>1899</v>
      </c>
      <c r="BSN1" t="s">
        <v>1900</v>
      </c>
      <c r="BSO1" t="s">
        <v>1901</v>
      </c>
      <c r="BSP1" t="s">
        <v>1902</v>
      </c>
      <c r="BSQ1" t="s">
        <v>1903</v>
      </c>
      <c r="BSR1" t="s">
        <v>1904</v>
      </c>
      <c r="BSS1" t="s">
        <v>1905</v>
      </c>
      <c r="BST1" t="s">
        <v>1906</v>
      </c>
      <c r="BSU1" t="s">
        <v>1907</v>
      </c>
      <c r="BSV1" t="s">
        <v>1908</v>
      </c>
      <c r="BSW1" t="s">
        <v>1909</v>
      </c>
      <c r="BSX1" t="s">
        <v>1910</v>
      </c>
      <c r="BSY1" t="s">
        <v>1911</v>
      </c>
      <c r="BSZ1" t="s">
        <v>1912</v>
      </c>
      <c r="BTA1" t="s">
        <v>1913</v>
      </c>
      <c r="BTB1" t="s">
        <v>1914</v>
      </c>
      <c r="BTC1" t="s">
        <v>1915</v>
      </c>
      <c r="BTD1" t="s">
        <v>1916</v>
      </c>
      <c r="BTE1" t="s">
        <v>1917</v>
      </c>
      <c r="BTF1" t="s">
        <v>1918</v>
      </c>
      <c r="BTG1" t="s">
        <v>1919</v>
      </c>
      <c r="BTH1" t="s">
        <v>1920</v>
      </c>
      <c r="BTI1" t="s">
        <v>1921</v>
      </c>
      <c r="BTJ1" t="s">
        <v>1922</v>
      </c>
      <c r="BTK1" t="s">
        <v>1923</v>
      </c>
      <c r="BTL1" t="s">
        <v>1924</v>
      </c>
      <c r="BTM1" t="s">
        <v>1925</v>
      </c>
      <c r="BTN1" t="s">
        <v>1926</v>
      </c>
      <c r="BTO1" t="s">
        <v>1927</v>
      </c>
      <c r="BTP1" t="s">
        <v>1928</v>
      </c>
      <c r="BTQ1" t="s">
        <v>1929</v>
      </c>
      <c r="BTR1" t="s">
        <v>1930</v>
      </c>
      <c r="BTS1" t="s">
        <v>1931</v>
      </c>
      <c r="BTT1" t="s">
        <v>1932</v>
      </c>
      <c r="BTU1" t="s">
        <v>1933</v>
      </c>
      <c r="BTV1" t="s">
        <v>1934</v>
      </c>
      <c r="BTW1" t="s">
        <v>1935</v>
      </c>
      <c r="BTX1" t="s">
        <v>1936</v>
      </c>
      <c r="BTY1" t="s">
        <v>1937</v>
      </c>
      <c r="BTZ1" t="s">
        <v>1938</v>
      </c>
      <c r="BUA1" t="s">
        <v>1939</v>
      </c>
      <c r="BUB1" t="s">
        <v>1940</v>
      </c>
      <c r="BUC1" t="s">
        <v>1941</v>
      </c>
      <c r="BUD1" t="s">
        <v>1942</v>
      </c>
      <c r="BUE1" t="s">
        <v>1943</v>
      </c>
      <c r="BUF1" t="s">
        <v>1944</v>
      </c>
      <c r="BUG1" t="s">
        <v>1945</v>
      </c>
      <c r="BUH1" t="s">
        <v>1946</v>
      </c>
      <c r="BUI1" t="s">
        <v>1947</v>
      </c>
      <c r="BUJ1" t="s">
        <v>1948</v>
      </c>
      <c r="BUK1" t="s">
        <v>1949</v>
      </c>
      <c r="BUL1" t="s">
        <v>1950</v>
      </c>
      <c r="BUM1" t="s">
        <v>1951</v>
      </c>
      <c r="BUN1" t="s">
        <v>1952</v>
      </c>
      <c r="BUO1" t="s">
        <v>1953</v>
      </c>
      <c r="BUP1" t="s">
        <v>1954</v>
      </c>
      <c r="BUQ1" t="s">
        <v>1955</v>
      </c>
      <c r="BUR1" t="s">
        <v>1956</v>
      </c>
      <c r="BUS1" t="s">
        <v>1957</v>
      </c>
      <c r="BUT1" t="s">
        <v>1958</v>
      </c>
      <c r="BUU1" t="s">
        <v>1959</v>
      </c>
      <c r="BUV1" t="s">
        <v>1960</v>
      </c>
      <c r="BUW1" t="s">
        <v>1961</v>
      </c>
      <c r="BUX1" t="s">
        <v>1962</v>
      </c>
      <c r="BUY1" t="s">
        <v>1963</v>
      </c>
      <c r="BUZ1" t="s">
        <v>1964</v>
      </c>
      <c r="BVA1" t="s">
        <v>1965</v>
      </c>
      <c r="BVB1" t="s">
        <v>1966</v>
      </c>
      <c r="BVC1" t="s">
        <v>1967</v>
      </c>
      <c r="BVD1" t="s">
        <v>1968</v>
      </c>
      <c r="BVE1" t="s">
        <v>1969</v>
      </c>
      <c r="BVF1" t="s">
        <v>1970</v>
      </c>
      <c r="BVG1" t="s">
        <v>1971</v>
      </c>
      <c r="BVH1" t="s">
        <v>1972</v>
      </c>
      <c r="BVI1" t="s">
        <v>1973</v>
      </c>
      <c r="BVJ1" t="s">
        <v>1974</v>
      </c>
      <c r="BVK1" t="s">
        <v>1975</v>
      </c>
      <c r="BVL1" t="s">
        <v>1976</v>
      </c>
      <c r="BVM1" t="s">
        <v>1977</v>
      </c>
      <c r="BVN1" t="s">
        <v>1978</v>
      </c>
      <c r="BVO1" t="s">
        <v>1979</v>
      </c>
      <c r="BVP1" t="s">
        <v>1980</v>
      </c>
      <c r="BVQ1" t="s">
        <v>1981</v>
      </c>
      <c r="BVR1" t="s">
        <v>1982</v>
      </c>
      <c r="BVS1" t="s">
        <v>1983</v>
      </c>
      <c r="BVT1" t="s">
        <v>1984</v>
      </c>
      <c r="BVU1" t="s">
        <v>1985</v>
      </c>
      <c r="BVV1" t="s">
        <v>1986</v>
      </c>
      <c r="BVW1" t="s">
        <v>1987</v>
      </c>
      <c r="BVX1" t="s">
        <v>1988</v>
      </c>
      <c r="BVY1" t="s">
        <v>1989</v>
      </c>
      <c r="BVZ1" t="s">
        <v>1990</v>
      </c>
      <c r="BWA1" t="s">
        <v>1991</v>
      </c>
      <c r="BWB1" t="s">
        <v>1992</v>
      </c>
      <c r="BWC1" t="s">
        <v>1993</v>
      </c>
      <c r="BWD1" t="s">
        <v>1994</v>
      </c>
      <c r="BWE1" t="s">
        <v>1995</v>
      </c>
      <c r="BWF1" t="s">
        <v>1996</v>
      </c>
      <c r="BWG1" t="s">
        <v>1997</v>
      </c>
      <c r="BWH1" t="s">
        <v>1998</v>
      </c>
      <c r="BWI1" t="s">
        <v>1999</v>
      </c>
      <c r="BWJ1" t="s">
        <v>2000</v>
      </c>
      <c r="BWK1" t="s">
        <v>2001</v>
      </c>
      <c r="BWL1" t="s">
        <v>2002</v>
      </c>
      <c r="BWM1" t="s">
        <v>2003</v>
      </c>
      <c r="BWN1" t="s">
        <v>2004</v>
      </c>
      <c r="BWO1" t="s">
        <v>2005</v>
      </c>
      <c r="BWP1" t="s">
        <v>2006</v>
      </c>
      <c r="BWQ1" t="s">
        <v>2007</v>
      </c>
      <c r="BWR1" t="s">
        <v>2008</v>
      </c>
      <c r="BWS1" t="s">
        <v>2009</v>
      </c>
      <c r="BWT1" t="s">
        <v>2010</v>
      </c>
      <c r="BWU1" t="s">
        <v>2011</v>
      </c>
      <c r="BWV1" t="s">
        <v>2012</v>
      </c>
      <c r="BWW1" t="s">
        <v>2013</v>
      </c>
      <c r="BWX1" t="s">
        <v>2014</v>
      </c>
      <c r="BWY1" t="s">
        <v>2015</v>
      </c>
      <c r="BWZ1" t="s">
        <v>2016</v>
      </c>
      <c r="BXA1" t="s">
        <v>2017</v>
      </c>
      <c r="BXB1" t="s">
        <v>2018</v>
      </c>
      <c r="BXC1" t="s">
        <v>2019</v>
      </c>
      <c r="BXD1" t="s">
        <v>2020</v>
      </c>
      <c r="BXE1" t="s">
        <v>2021</v>
      </c>
      <c r="BXF1" t="s">
        <v>2022</v>
      </c>
      <c r="BXG1" t="s">
        <v>2023</v>
      </c>
      <c r="BXH1" t="s">
        <v>2024</v>
      </c>
      <c r="BXI1" t="s">
        <v>2025</v>
      </c>
      <c r="BXJ1" t="s">
        <v>2026</v>
      </c>
      <c r="BXK1" t="s">
        <v>2027</v>
      </c>
      <c r="BXL1" t="s">
        <v>2028</v>
      </c>
      <c r="BXM1" t="s">
        <v>2029</v>
      </c>
      <c r="BXN1" t="s">
        <v>2030</v>
      </c>
      <c r="BXO1" t="s">
        <v>2031</v>
      </c>
      <c r="BXP1" t="s">
        <v>2032</v>
      </c>
      <c r="BXQ1" t="s">
        <v>2033</v>
      </c>
      <c r="BXR1" t="s">
        <v>2034</v>
      </c>
      <c r="BXS1" t="s">
        <v>2035</v>
      </c>
      <c r="BXT1" t="s">
        <v>2036</v>
      </c>
      <c r="BXU1" t="s">
        <v>2037</v>
      </c>
      <c r="BXV1" t="s">
        <v>2038</v>
      </c>
      <c r="BXW1" t="s">
        <v>2039</v>
      </c>
      <c r="BXX1" t="s">
        <v>2040</v>
      </c>
      <c r="BXY1" t="s">
        <v>2041</v>
      </c>
      <c r="BXZ1" t="s">
        <v>2042</v>
      </c>
      <c r="BYA1" t="s">
        <v>2043</v>
      </c>
      <c r="BYB1" t="s">
        <v>2044</v>
      </c>
      <c r="BYC1" t="s">
        <v>2045</v>
      </c>
      <c r="BYD1" t="s">
        <v>2046</v>
      </c>
      <c r="BYE1" t="s">
        <v>2047</v>
      </c>
      <c r="BYF1" t="s">
        <v>2048</v>
      </c>
      <c r="BYG1" t="s">
        <v>2049</v>
      </c>
      <c r="BYH1" t="s">
        <v>2050</v>
      </c>
      <c r="BYI1" t="s">
        <v>2051</v>
      </c>
      <c r="BYJ1" t="s">
        <v>2052</v>
      </c>
      <c r="BYK1" t="s">
        <v>2053</v>
      </c>
      <c r="BYL1" t="s">
        <v>2054</v>
      </c>
      <c r="BYM1" t="s">
        <v>2055</v>
      </c>
      <c r="BYN1" t="s">
        <v>2056</v>
      </c>
      <c r="BYO1" t="s">
        <v>2057</v>
      </c>
      <c r="BYP1" t="s">
        <v>2058</v>
      </c>
      <c r="BYQ1" t="s">
        <v>2059</v>
      </c>
      <c r="BYR1" t="s">
        <v>2060</v>
      </c>
      <c r="BYS1" t="s">
        <v>2061</v>
      </c>
      <c r="BYT1" t="s">
        <v>2062</v>
      </c>
      <c r="BYU1" t="s">
        <v>2063</v>
      </c>
      <c r="BYV1" t="s">
        <v>2064</v>
      </c>
      <c r="BYW1" t="s">
        <v>2065</v>
      </c>
      <c r="BYX1" t="s">
        <v>2066</v>
      </c>
      <c r="BYY1" t="s">
        <v>2067</v>
      </c>
      <c r="BYZ1" t="s">
        <v>2068</v>
      </c>
      <c r="BZA1" t="s">
        <v>2069</v>
      </c>
      <c r="BZB1" t="s">
        <v>2070</v>
      </c>
      <c r="BZC1" t="s">
        <v>2071</v>
      </c>
      <c r="BZD1" t="s">
        <v>2072</v>
      </c>
      <c r="BZE1" t="s">
        <v>2073</v>
      </c>
      <c r="BZF1" t="s">
        <v>2074</v>
      </c>
      <c r="BZG1" t="s">
        <v>2075</v>
      </c>
      <c r="BZH1" t="s">
        <v>2076</v>
      </c>
      <c r="BZI1" t="s">
        <v>2077</v>
      </c>
      <c r="BZJ1" t="s">
        <v>2078</v>
      </c>
      <c r="BZK1" t="s">
        <v>2079</v>
      </c>
      <c r="BZL1" t="s">
        <v>2080</v>
      </c>
      <c r="BZM1" t="s">
        <v>2081</v>
      </c>
      <c r="BZN1" t="s">
        <v>2082</v>
      </c>
      <c r="BZO1" t="s">
        <v>2083</v>
      </c>
      <c r="BZP1" t="s">
        <v>2084</v>
      </c>
      <c r="BZQ1" t="s">
        <v>2085</v>
      </c>
      <c r="BZR1" t="s">
        <v>2086</v>
      </c>
      <c r="BZS1" t="s">
        <v>2087</v>
      </c>
      <c r="BZT1" t="s">
        <v>2088</v>
      </c>
      <c r="BZU1" t="s">
        <v>2089</v>
      </c>
      <c r="BZV1" t="s">
        <v>2090</v>
      </c>
      <c r="BZW1" t="s">
        <v>2091</v>
      </c>
      <c r="BZX1" t="s">
        <v>2092</v>
      </c>
      <c r="BZY1" t="s">
        <v>2093</v>
      </c>
      <c r="BZZ1" t="s">
        <v>2094</v>
      </c>
      <c r="CAA1" t="s">
        <v>2095</v>
      </c>
      <c r="CAB1" t="s">
        <v>2096</v>
      </c>
      <c r="CAC1" t="s">
        <v>2097</v>
      </c>
      <c r="CAD1" t="s">
        <v>2098</v>
      </c>
      <c r="CAE1" t="s">
        <v>2099</v>
      </c>
      <c r="CAF1" t="s">
        <v>2100</v>
      </c>
      <c r="CAG1" t="s">
        <v>2101</v>
      </c>
      <c r="CAH1" t="s">
        <v>2102</v>
      </c>
      <c r="CAI1" t="s">
        <v>2103</v>
      </c>
      <c r="CAJ1" t="s">
        <v>2104</v>
      </c>
      <c r="CAK1" t="s">
        <v>2105</v>
      </c>
      <c r="CAL1" t="s">
        <v>2106</v>
      </c>
      <c r="CAM1" t="s">
        <v>2107</v>
      </c>
      <c r="CAN1" t="s">
        <v>2108</v>
      </c>
      <c r="CAO1" t="s">
        <v>2109</v>
      </c>
      <c r="CAP1" t="s">
        <v>2110</v>
      </c>
      <c r="CAQ1" t="s">
        <v>2111</v>
      </c>
      <c r="CAR1" t="s">
        <v>2112</v>
      </c>
      <c r="CAS1" t="s">
        <v>2113</v>
      </c>
      <c r="CAT1" t="s">
        <v>2114</v>
      </c>
      <c r="CAU1" t="s">
        <v>2115</v>
      </c>
      <c r="CAV1" t="s">
        <v>2116</v>
      </c>
      <c r="CAW1" t="s">
        <v>2117</v>
      </c>
      <c r="CAX1" t="s">
        <v>2118</v>
      </c>
      <c r="CAY1" t="s">
        <v>2119</v>
      </c>
      <c r="CAZ1" t="s">
        <v>2120</v>
      </c>
      <c r="CBA1" t="s">
        <v>2121</v>
      </c>
      <c r="CBB1" t="s">
        <v>2122</v>
      </c>
      <c r="CBC1" t="s">
        <v>2123</v>
      </c>
      <c r="CBD1" t="s">
        <v>2124</v>
      </c>
      <c r="CBE1" t="s">
        <v>2125</v>
      </c>
      <c r="CBF1" t="s">
        <v>2126</v>
      </c>
      <c r="CBG1" t="s">
        <v>2127</v>
      </c>
      <c r="CBH1" t="s">
        <v>2128</v>
      </c>
      <c r="CBI1" t="s">
        <v>2129</v>
      </c>
      <c r="CBJ1" t="s">
        <v>2130</v>
      </c>
      <c r="CBK1" t="s">
        <v>2131</v>
      </c>
      <c r="CBL1" t="s">
        <v>2132</v>
      </c>
      <c r="CBM1" t="s">
        <v>2133</v>
      </c>
      <c r="CBN1" t="s">
        <v>2134</v>
      </c>
      <c r="CBO1" t="s">
        <v>2135</v>
      </c>
      <c r="CBP1" t="s">
        <v>2136</v>
      </c>
      <c r="CBQ1" t="s">
        <v>2137</v>
      </c>
      <c r="CBR1" t="s">
        <v>2138</v>
      </c>
      <c r="CBS1" t="s">
        <v>2139</v>
      </c>
      <c r="CBT1" t="s">
        <v>2140</v>
      </c>
      <c r="CBU1" t="s">
        <v>2141</v>
      </c>
      <c r="CBV1" t="s">
        <v>2142</v>
      </c>
      <c r="CBW1" t="s">
        <v>2143</v>
      </c>
      <c r="CBX1" t="s">
        <v>2144</v>
      </c>
      <c r="CBY1" t="s">
        <v>2145</v>
      </c>
      <c r="CBZ1" t="s">
        <v>2146</v>
      </c>
      <c r="CCA1" t="s">
        <v>2147</v>
      </c>
      <c r="CCB1" t="s">
        <v>2148</v>
      </c>
      <c r="CCC1" t="s">
        <v>2149</v>
      </c>
      <c r="CCD1" t="s">
        <v>2150</v>
      </c>
      <c r="CCE1" t="s">
        <v>2151</v>
      </c>
      <c r="CCF1" t="s">
        <v>2152</v>
      </c>
      <c r="CCG1" t="s">
        <v>2153</v>
      </c>
      <c r="CCH1" t="s">
        <v>2154</v>
      </c>
      <c r="CCI1" t="s">
        <v>2155</v>
      </c>
      <c r="CCJ1" t="s">
        <v>2156</v>
      </c>
      <c r="CCK1" t="s">
        <v>2157</v>
      </c>
      <c r="CCL1" t="s">
        <v>2158</v>
      </c>
      <c r="CCM1" t="s">
        <v>2159</v>
      </c>
      <c r="CCN1" t="s">
        <v>2160</v>
      </c>
      <c r="CCO1" t="s">
        <v>2161</v>
      </c>
      <c r="CCP1" t="s">
        <v>2162</v>
      </c>
      <c r="CCQ1" t="s">
        <v>2163</v>
      </c>
      <c r="CCR1" t="s">
        <v>2164</v>
      </c>
      <c r="CCS1" t="s">
        <v>2165</v>
      </c>
      <c r="CCT1" t="s">
        <v>2166</v>
      </c>
      <c r="CCU1" t="s">
        <v>2167</v>
      </c>
      <c r="CCV1" t="s">
        <v>2168</v>
      </c>
      <c r="CCW1" t="s">
        <v>2169</v>
      </c>
      <c r="CCX1" t="s">
        <v>2170</v>
      </c>
      <c r="CCY1" t="s">
        <v>2171</v>
      </c>
      <c r="CCZ1" t="s">
        <v>2172</v>
      </c>
      <c r="CDA1" t="s">
        <v>2173</v>
      </c>
      <c r="CDB1" t="s">
        <v>2174</v>
      </c>
      <c r="CDC1" t="s">
        <v>2175</v>
      </c>
      <c r="CDD1" t="s">
        <v>2176</v>
      </c>
      <c r="CDE1" t="s">
        <v>2177</v>
      </c>
      <c r="CDF1" t="s">
        <v>2178</v>
      </c>
      <c r="CDG1" t="s">
        <v>2179</v>
      </c>
      <c r="CDH1" t="s">
        <v>2180</v>
      </c>
      <c r="CDI1" t="s">
        <v>2181</v>
      </c>
      <c r="CDJ1" t="s">
        <v>2182</v>
      </c>
      <c r="CDK1" t="s">
        <v>2183</v>
      </c>
      <c r="CDL1" t="s">
        <v>2184</v>
      </c>
      <c r="CDM1" t="s">
        <v>2185</v>
      </c>
      <c r="CDN1" t="s">
        <v>2186</v>
      </c>
      <c r="CDO1" t="s">
        <v>2187</v>
      </c>
      <c r="CDP1" t="s">
        <v>2188</v>
      </c>
      <c r="CDQ1" t="s">
        <v>2189</v>
      </c>
      <c r="CDR1" t="s">
        <v>2190</v>
      </c>
      <c r="CDS1" t="s">
        <v>2191</v>
      </c>
      <c r="CDT1" t="s">
        <v>2192</v>
      </c>
      <c r="CDU1" t="s">
        <v>2193</v>
      </c>
      <c r="CDV1" t="s">
        <v>2194</v>
      </c>
      <c r="CDW1" t="s">
        <v>2195</v>
      </c>
      <c r="CDX1" t="s">
        <v>2196</v>
      </c>
      <c r="CDY1" t="s">
        <v>2197</v>
      </c>
      <c r="CDZ1" t="s">
        <v>2198</v>
      </c>
      <c r="CEA1" t="s">
        <v>2199</v>
      </c>
      <c r="CEB1" t="s">
        <v>2200</v>
      </c>
      <c r="CEC1" t="s">
        <v>2201</v>
      </c>
      <c r="CED1" t="s">
        <v>2202</v>
      </c>
      <c r="CEE1" t="s">
        <v>2203</v>
      </c>
      <c r="CEF1" t="s">
        <v>2204</v>
      </c>
      <c r="CEG1" t="s">
        <v>2205</v>
      </c>
      <c r="CEH1" t="s">
        <v>2206</v>
      </c>
      <c r="CEI1" t="s">
        <v>2207</v>
      </c>
      <c r="CEJ1" t="s">
        <v>2208</v>
      </c>
      <c r="CEK1" t="s">
        <v>2209</v>
      </c>
      <c r="CEL1" t="s">
        <v>2210</v>
      </c>
      <c r="CEM1" t="s">
        <v>2211</v>
      </c>
      <c r="CEN1" t="s">
        <v>2212</v>
      </c>
      <c r="CEO1" t="s">
        <v>2213</v>
      </c>
      <c r="CEP1" t="s">
        <v>2214</v>
      </c>
      <c r="CEQ1" t="s">
        <v>2215</v>
      </c>
      <c r="CER1" t="s">
        <v>2216</v>
      </c>
      <c r="CES1" t="s">
        <v>2217</v>
      </c>
      <c r="CET1" t="s">
        <v>2218</v>
      </c>
      <c r="CEU1" t="s">
        <v>2219</v>
      </c>
      <c r="CEV1" t="s">
        <v>2220</v>
      </c>
      <c r="CEW1" t="s">
        <v>2221</v>
      </c>
      <c r="CEX1" t="s">
        <v>2222</v>
      </c>
      <c r="CEY1" t="s">
        <v>2223</v>
      </c>
      <c r="CEZ1" t="s">
        <v>2224</v>
      </c>
      <c r="CFA1" t="s">
        <v>2225</v>
      </c>
      <c r="CFB1" t="s">
        <v>2226</v>
      </c>
      <c r="CFC1" t="s">
        <v>2227</v>
      </c>
      <c r="CFD1" t="s">
        <v>2228</v>
      </c>
      <c r="CFE1" t="s">
        <v>2229</v>
      </c>
      <c r="CFF1" t="s">
        <v>2230</v>
      </c>
      <c r="CFG1" t="s">
        <v>2231</v>
      </c>
      <c r="CFH1" t="s">
        <v>2232</v>
      </c>
      <c r="CFI1" t="s">
        <v>2233</v>
      </c>
      <c r="CFJ1" t="s">
        <v>2234</v>
      </c>
      <c r="CFK1" t="s">
        <v>2235</v>
      </c>
      <c r="CFL1" t="s">
        <v>2236</v>
      </c>
      <c r="CFM1" t="s">
        <v>2237</v>
      </c>
      <c r="CFN1" t="s">
        <v>2238</v>
      </c>
      <c r="CFO1" t="s">
        <v>2239</v>
      </c>
      <c r="CFP1" t="s">
        <v>2240</v>
      </c>
      <c r="CFQ1" t="s">
        <v>2241</v>
      </c>
      <c r="CFR1" t="s">
        <v>2242</v>
      </c>
      <c r="CFS1" t="s">
        <v>2243</v>
      </c>
      <c r="CFT1" t="s">
        <v>2244</v>
      </c>
      <c r="CFU1" t="s">
        <v>2245</v>
      </c>
      <c r="CFV1" t="s">
        <v>2246</v>
      </c>
      <c r="CFW1" t="s">
        <v>2247</v>
      </c>
      <c r="CFX1" t="s">
        <v>2248</v>
      </c>
      <c r="CFY1" t="s">
        <v>2249</v>
      </c>
      <c r="CFZ1" t="s">
        <v>2250</v>
      </c>
      <c r="CGA1" t="s">
        <v>2251</v>
      </c>
      <c r="CGB1" t="s">
        <v>2252</v>
      </c>
      <c r="CGC1" t="s">
        <v>2253</v>
      </c>
      <c r="CGD1" t="s">
        <v>2254</v>
      </c>
      <c r="CGE1" t="s">
        <v>2255</v>
      </c>
      <c r="CGF1" t="s">
        <v>2256</v>
      </c>
      <c r="CGG1" t="s">
        <v>2257</v>
      </c>
      <c r="CGH1" t="s">
        <v>2258</v>
      </c>
      <c r="CGI1" t="s">
        <v>2259</v>
      </c>
      <c r="CGJ1" t="s">
        <v>2260</v>
      </c>
      <c r="CGK1" t="s">
        <v>2261</v>
      </c>
      <c r="CGL1" t="s">
        <v>2262</v>
      </c>
      <c r="CGM1" t="s">
        <v>2263</v>
      </c>
      <c r="CGN1" t="s">
        <v>2264</v>
      </c>
      <c r="CGO1" t="s">
        <v>2265</v>
      </c>
      <c r="CGP1" t="s">
        <v>2266</v>
      </c>
      <c r="CGQ1" t="s">
        <v>2267</v>
      </c>
      <c r="CGR1" t="s">
        <v>2268</v>
      </c>
      <c r="CGS1" t="s">
        <v>2269</v>
      </c>
      <c r="CGT1" t="s">
        <v>2270</v>
      </c>
      <c r="CGU1" t="s">
        <v>2271</v>
      </c>
      <c r="CGV1" t="s">
        <v>2272</v>
      </c>
      <c r="CGW1" t="s">
        <v>2273</v>
      </c>
      <c r="CGX1" t="s">
        <v>2274</v>
      </c>
      <c r="CGY1" t="s">
        <v>2275</v>
      </c>
      <c r="CGZ1" t="s">
        <v>2276</v>
      </c>
      <c r="CHA1" t="s">
        <v>2277</v>
      </c>
      <c r="CHB1" t="s">
        <v>2278</v>
      </c>
      <c r="CHC1" t="s">
        <v>2279</v>
      </c>
      <c r="CHD1" t="s">
        <v>2280</v>
      </c>
      <c r="CHE1" t="s">
        <v>2281</v>
      </c>
      <c r="CHF1" t="s">
        <v>2282</v>
      </c>
      <c r="CHG1" t="s">
        <v>2283</v>
      </c>
      <c r="CHH1" t="s">
        <v>2284</v>
      </c>
      <c r="CHI1" t="s">
        <v>2285</v>
      </c>
      <c r="CHJ1" t="s">
        <v>2286</v>
      </c>
      <c r="CHK1" t="s">
        <v>2287</v>
      </c>
      <c r="CHL1" t="s">
        <v>2288</v>
      </c>
      <c r="CHM1" t="s">
        <v>2289</v>
      </c>
      <c r="CHN1" t="s">
        <v>2290</v>
      </c>
      <c r="CHO1" t="s">
        <v>2291</v>
      </c>
      <c r="CHP1" t="s">
        <v>2292</v>
      </c>
      <c r="CHQ1" t="s">
        <v>2293</v>
      </c>
      <c r="CHR1" t="s">
        <v>2294</v>
      </c>
      <c r="CHS1" t="s">
        <v>2295</v>
      </c>
      <c r="CHT1" t="s">
        <v>2296</v>
      </c>
      <c r="CHU1" t="s">
        <v>2297</v>
      </c>
      <c r="CHV1" t="s">
        <v>2298</v>
      </c>
      <c r="CHW1" t="s">
        <v>2299</v>
      </c>
      <c r="CHX1" t="s">
        <v>2300</v>
      </c>
      <c r="CHY1" t="s">
        <v>2301</v>
      </c>
      <c r="CHZ1" t="s">
        <v>2302</v>
      </c>
      <c r="CIA1" t="s">
        <v>2303</v>
      </c>
      <c r="CIB1" t="s">
        <v>2304</v>
      </c>
      <c r="CIC1" t="s">
        <v>2305</v>
      </c>
      <c r="CID1" t="s">
        <v>2306</v>
      </c>
      <c r="CIE1" t="s">
        <v>2307</v>
      </c>
      <c r="CIF1" t="s">
        <v>2308</v>
      </c>
      <c r="CIG1" t="s">
        <v>2309</v>
      </c>
      <c r="CIH1" t="s">
        <v>2310</v>
      </c>
      <c r="CII1" t="s">
        <v>2311</v>
      </c>
      <c r="CIJ1" t="s">
        <v>2312</v>
      </c>
      <c r="CIK1" t="s">
        <v>2313</v>
      </c>
      <c r="CIL1" t="s">
        <v>2314</v>
      </c>
      <c r="CIM1" t="s">
        <v>2315</v>
      </c>
      <c r="CIN1" t="s">
        <v>2316</v>
      </c>
      <c r="CIO1" t="s">
        <v>2317</v>
      </c>
      <c r="CIP1" t="s">
        <v>2318</v>
      </c>
      <c r="CIQ1" t="s">
        <v>2319</v>
      </c>
      <c r="CIR1" t="s">
        <v>2320</v>
      </c>
      <c r="CIS1" t="s">
        <v>2321</v>
      </c>
      <c r="CIT1" t="s">
        <v>2322</v>
      </c>
      <c r="CIU1" t="s">
        <v>2323</v>
      </c>
      <c r="CIV1" t="s">
        <v>2324</v>
      </c>
      <c r="CIW1" t="s">
        <v>2325</v>
      </c>
      <c r="CIX1" t="s">
        <v>2326</v>
      </c>
      <c r="CIY1" t="s">
        <v>2327</v>
      </c>
      <c r="CIZ1" t="s">
        <v>2328</v>
      </c>
      <c r="CJA1" t="s">
        <v>2329</v>
      </c>
      <c r="CJB1" t="s">
        <v>2330</v>
      </c>
      <c r="CJC1" t="s">
        <v>2331</v>
      </c>
      <c r="CJD1" t="s">
        <v>2332</v>
      </c>
      <c r="CJE1" t="s">
        <v>2333</v>
      </c>
      <c r="CJF1" t="s">
        <v>2334</v>
      </c>
      <c r="CJG1" t="s">
        <v>2335</v>
      </c>
      <c r="CJH1" t="s">
        <v>2336</v>
      </c>
      <c r="CJI1" t="s">
        <v>2337</v>
      </c>
      <c r="CJJ1" t="s">
        <v>2338</v>
      </c>
      <c r="CJK1" t="s">
        <v>2339</v>
      </c>
      <c r="CJL1" t="s">
        <v>2340</v>
      </c>
      <c r="CJM1" t="s">
        <v>2341</v>
      </c>
      <c r="CJN1" t="s">
        <v>2342</v>
      </c>
      <c r="CJO1" t="s">
        <v>2343</v>
      </c>
      <c r="CJP1" t="s">
        <v>2344</v>
      </c>
      <c r="CJQ1" t="s">
        <v>2345</v>
      </c>
      <c r="CJR1" t="s">
        <v>2346</v>
      </c>
      <c r="CJS1" t="s">
        <v>2347</v>
      </c>
      <c r="CJT1" t="s">
        <v>2348</v>
      </c>
      <c r="CJU1" t="s">
        <v>2349</v>
      </c>
      <c r="CJV1" t="s">
        <v>2350</v>
      </c>
      <c r="CJW1" t="s">
        <v>2351</v>
      </c>
      <c r="CJX1" t="s">
        <v>2352</v>
      </c>
      <c r="CJY1" t="s">
        <v>2353</v>
      </c>
      <c r="CJZ1" t="s">
        <v>2354</v>
      </c>
      <c r="CKA1" t="s">
        <v>2355</v>
      </c>
      <c r="CKB1" t="s">
        <v>2356</v>
      </c>
      <c r="CKC1" t="s">
        <v>2357</v>
      </c>
      <c r="CKD1" t="s">
        <v>2358</v>
      </c>
      <c r="CKE1" t="s">
        <v>2359</v>
      </c>
      <c r="CKF1" t="s">
        <v>2360</v>
      </c>
      <c r="CKG1" t="s">
        <v>2361</v>
      </c>
      <c r="CKH1" t="s">
        <v>2362</v>
      </c>
      <c r="CKI1" t="s">
        <v>2363</v>
      </c>
      <c r="CKJ1" t="s">
        <v>2364</v>
      </c>
      <c r="CKK1" t="s">
        <v>2365</v>
      </c>
      <c r="CKL1" t="s">
        <v>2366</v>
      </c>
      <c r="CKM1" t="s">
        <v>2367</v>
      </c>
      <c r="CKN1" t="s">
        <v>2368</v>
      </c>
      <c r="CKO1" t="s">
        <v>2369</v>
      </c>
      <c r="CKP1" t="s">
        <v>2370</v>
      </c>
      <c r="CKQ1" t="s">
        <v>2371</v>
      </c>
      <c r="CKR1" t="s">
        <v>2372</v>
      </c>
      <c r="CKS1" t="s">
        <v>2373</v>
      </c>
      <c r="CKT1" t="s">
        <v>2374</v>
      </c>
      <c r="CKU1" t="s">
        <v>2375</v>
      </c>
      <c r="CKV1" t="s">
        <v>2376</v>
      </c>
      <c r="CKW1" t="s">
        <v>2377</v>
      </c>
      <c r="CKX1" t="s">
        <v>2378</v>
      </c>
      <c r="CKY1" t="s">
        <v>2379</v>
      </c>
      <c r="CKZ1" t="s">
        <v>2380</v>
      </c>
      <c r="CLA1" t="s">
        <v>2381</v>
      </c>
      <c r="CLB1" t="s">
        <v>2382</v>
      </c>
      <c r="CLC1" t="s">
        <v>2383</v>
      </c>
      <c r="CLD1" t="s">
        <v>2384</v>
      </c>
      <c r="CLE1" t="s">
        <v>2385</v>
      </c>
      <c r="CLF1" t="s">
        <v>2386</v>
      </c>
      <c r="CLG1" t="s">
        <v>2387</v>
      </c>
      <c r="CLH1" t="s">
        <v>2388</v>
      </c>
      <c r="CLI1" t="s">
        <v>2389</v>
      </c>
      <c r="CLJ1" t="s">
        <v>2390</v>
      </c>
      <c r="CLK1" t="s">
        <v>2391</v>
      </c>
      <c r="CLL1" t="s">
        <v>2392</v>
      </c>
      <c r="CLM1" t="s">
        <v>2393</v>
      </c>
      <c r="CLN1" t="s">
        <v>2394</v>
      </c>
      <c r="CLO1" t="s">
        <v>2395</v>
      </c>
      <c r="CLP1" t="s">
        <v>2396</v>
      </c>
      <c r="CLQ1" t="s">
        <v>2397</v>
      </c>
      <c r="CLR1" t="s">
        <v>2398</v>
      </c>
      <c r="CLS1" t="s">
        <v>2399</v>
      </c>
      <c r="CLT1" t="s">
        <v>2400</v>
      </c>
      <c r="CLU1" t="s">
        <v>2401</v>
      </c>
      <c r="CLV1" t="s">
        <v>2402</v>
      </c>
      <c r="CLW1" t="s">
        <v>2403</v>
      </c>
      <c r="CLX1" t="s">
        <v>2404</v>
      </c>
      <c r="CLY1" t="s">
        <v>2405</v>
      </c>
      <c r="CLZ1" t="s">
        <v>2406</v>
      </c>
      <c r="CMA1" t="s">
        <v>2407</v>
      </c>
      <c r="CMB1" t="s">
        <v>2408</v>
      </c>
      <c r="CMC1" t="s">
        <v>2409</v>
      </c>
      <c r="CMD1" t="s">
        <v>2410</v>
      </c>
      <c r="CME1" t="s">
        <v>2411</v>
      </c>
      <c r="CMF1" t="s">
        <v>2412</v>
      </c>
      <c r="CMG1" t="s">
        <v>2413</v>
      </c>
      <c r="CMH1" t="s">
        <v>2414</v>
      </c>
      <c r="CMI1" t="s">
        <v>2415</v>
      </c>
      <c r="CMJ1" t="s">
        <v>2416</v>
      </c>
      <c r="CMK1" t="s">
        <v>2417</v>
      </c>
      <c r="CML1" t="s">
        <v>2418</v>
      </c>
      <c r="CMM1" t="s">
        <v>2419</v>
      </c>
      <c r="CMN1" t="s">
        <v>2420</v>
      </c>
      <c r="CMO1" t="s">
        <v>2421</v>
      </c>
      <c r="CMP1" t="s">
        <v>2422</v>
      </c>
      <c r="CMQ1" t="s">
        <v>2423</v>
      </c>
      <c r="CMR1" t="s">
        <v>2424</v>
      </c>
      <c r="CMS1" t="s">
        <v>2425</v>
      </c>
      <c r="CMT1" t="s">
        <v>2426</v>
      </c>
      <c r="CMU1" t="s">
        <v>2427</v>
      </c>
      <c r="CMV1" t="s">
        <v>2428</v>
      </c>
      <c r="CMW1" t="s">
        <v>2429</v>
      </c>
      <c r="CMX1" t="s">
        <v>2430</v>
      </c>
      <c r="CMY1" t="s">
        <v>2431</v>
      </c>
      <c r="CMZ1" t="s">
        <v>2432</v>
      </c>
      <c r="CNA1" t="s">
        <v>2433</v>
      </c>
      <c r="CNB1" t="s">
        <v>2434</v>
      </c>
      <c r="CNC1" t="s">
        <v>2435</v>
      </c>
      <c r="CND1" t="s">
        <v>2436</v>
      </c>
      <c r="CNE1" t="s">
        <v>2437</v>
      </c>
      <c r="CNF1" t="s">
        <v>2438</v>
      </c>
      <c r="CNG1" t="s">
        <v>2439</v>
      </c>
      <c r="CNH1" t="s">
        <v>2440</v>
      </c>
      <c r="CNI1" t="s">
        <v>2441</v>
      </c>
      <c r="CNJ1" t="s">
        <v>2442</v>
      </c>
      <c r="CNK1" t="s">
        <v>2443</v>
      </c>
      <c r="CNL1" t="s">
        <v>2444</v>
      </c>
      <c r="CNM1" t="s">
        <v>2445</v>
      </c>
      <c r="CNN1" t="s">
        <v>2446</v>
      </c>
      <c r="CNO1" t="s">
        <v>2447</v>
      </c>
      <c r="CNP1" t="s">
        <v>2448</v>
      </c>
      <c r="CNQ1" t="s">
        <v>2449</v>
      </c>
      <c r="CNR1" t="s">
        <v>2450</v>
      </c>
      <c r="CNS1" t="s">
        <v>2451</v>
      </c>
      <c r="CNT1" t="s">
        <v>2452</v>
      </c>
      <c r="CNU1" t="s">
        <v>2453</v>
      </c>
      <c r="CNV1" t="s">
        <v>2454</v>
      </c>
      <c r="CNW1" t="s">
        <v>2455</v>
      </c>
      <c r="CNX1" t="s">
        <v>2456</v>
      </c>
      <c r="CNY1" t="s">
        <v>2457</v>
      </c>
      <c r="CNZ1" t="s">
        <v>2458</v>
      </c>
      <c r="COA1" t="s">
        <v>2459</v>
      </c>
      <c r="COB1" t="s">
        <v>2460</v>
      </c>
      <c r="COC1" t="s">
        <v>2461</v>
      </c>
      <c r="COD1" t="s">
        <v>2462</v>
      </c>
      <c r="COE1" t="s">
        <v>2463</v>
      </c>
      <c r="COF1" t="s">
        <v>2464</v>
      </c>
      <c r="COG1" t="s">
        <v>2465</v>
      </c>
      <c r="COH1" t="s">
        <v>2466</v>
      </c>
      <c r="COI1" t="s">
        <v>2467</v>
      </c>
      <c r="COJ1" t="s">
        <v>2468</v>
      </c>
      <c r="COK1" t="s">
        <v>2469</v>
      </c>
      <c r="COL1" t="s">
        <v>2470</v>
      </c>
      <c r="COM1" t="s">
        <v>2471</v>
      </c>
      <c r="CON1" t="s">
        <v>2472</v>
      </c>
      <c r="COO1" t="s">
        <v>2473</v>
      </c>
      <c r="COP1" t="s">
        <v>2474</v>
      </c>
      <c r="COQ1" t="s">
        <v>2475</v>
      </c>
      <c r="COR1" t="s">
        <v>2476</v>
      </c>
      <c r="COS1" t="s">
        <v>2477</v>
      </c>
      <c r="COT1" t="s">
        <v>2478</v>
      </c>
      <c r="COU1" t="s">
        <v>2479</v>
      </c>
      <c r="COV1" t="s">
        <v>2480</v>
      </c>
      <c r="COW1" t="s">
        <v>2481</v>
      </c>
      <c r="COX1" t="s">
        <v>2482</v>
      </c>
      <c r="COY1" t="s">
        <v>2483</v>
      </c>
      <c r="COZ1" t="s">
        <v>2484</v>
      </c>
      <c r="CPA1" t="s">
        <v>2485</v>
      </c>
      <c r="CPB1" t="s">
        <v>2486</v>
      </c>
      <c r="CPC1" t="s">
        <v>2487</v>
      </c>
      <c r="CPD1" t="s">
        <v>2488</v>
      </c>
      <c r="CPE1" t="s">
        <v>2489</v>
      </c>
      <c r="CPF1" t="s">
        <v>2490</v>
      </c>
      <c r="CPG1" t="s">
        <v>2491</v>
      </c>
      <c r="CPH1" t="s">
        <v>2492</v>
      </c>
      <c r="CPI1" t="s">
        <v>2493</v>
      </c>
      <c r="CPJ1" t="s">
        <v>2494</v>
      </c>
      <c r="CPK1" t="s">
        <v>2495</v>
      </c>
      <c r="CPL1" t="s">
        <v>2496</v>
      </c>
      <c r="CPM1" t="s">
        <v>2497</v>
      </c>
      <c r="CPN1" t="s">
        <v>2498</v>
      </c>
      <c r="CPO1" t="s">
        <v>2499</v>
      </c>
      <c r="CPP1" t="s">
        <v>2500</v>
      </c>
      <c r="CPQ1" t="s">
        <v>2501</v>
      </c>
      <c r="CPR1" t="s">
        <v>2502</v>
      </c>
      <c r="CPS1" t="s">
        <v>2503</v>
      </c>
      <c r="CPT1" t="s">
        <v>2504</v>
      </c>
      <c r="CPU1" t="s">
        <v>2505</v>
      </c>
      <c r="CPV1" t="s">
        <v>2506</v>
      </c>
      <c r="CPW1" t="s">
        <v>2507</v>
      </c>
      <c r="CPX1" t="s">
        <v>2508</v>
      </c>
      <c r="CPY1" t="s">
        <v>2509</v>
      </c>
      <c r="CPZ1" t="s">
        <v>2510</v>
      </c>
      <c r="CQA1" t="s">
        <v>2511</v>
      </c>
      <c r="CQB1" t="s">
        <v>2512</v>
      </c>
      <c r="CQC1" t="s">
        <v>2513</v>
      </c>
      <c r="CQD1" t="s">
        <v>2514</v>
      </c>
      <c r="CQE1" t="s">
        <v>2515</v>
      </c>
      <c r="CQF1" t="s">
        <v>2516</v>
      </c>
      <c r="CQG1" t="s">
        <v>2517</v>
      </c>
      <c r="CQH1" t="s">
        <v>2518</v>
      </c>
      <c r="CQI1" t="s">
        <v>2519</v>
      </c>
      <c r="CQJ1" t="s">
        <v>2520</v>
      </c>
      <c r="CQK1" t="s">
        <v>2521</v>
      </c>
      <c r="CQL1" t="s">
        <v>2522</v>
      </c>
      <c r="CQM1" t="s">
        <v>2523</v>
      </c>
      <c r="CQN1" t="s">
        <v>2524</v>
      </c>
      <c r="CQO1" t="s">
        <v>2525</v>
      </c>
      <c r="CQP1" t="s">
        <v>2526</v>
      </c>
      <c r="CQQ1" t="s">
        <v>2527</v>
      </c>
      <c r="CQR1" t="s">
        <v>2528</v>
      </c>
      <c r="CQS1" t="s">
        <v>2529</v>
      </c>
      <c r="CQT1" t="s">
        <v>2530</v>
      </c>
      <c r="CQU1" t="s">
        <v>2531</v>
      </c>
      <c r="CQV1" t="s">
        <v>2532</v>
      </c>
      <c r="CQW1" t="s">
        <v>2533</v>
      </c>
      <c r="CQX1" t="s">
        <v>2534</v>
      </c>
      <c r="CQY1" t="s">
        <v>2535</v>
      </c>
      <c r="CQZ1" t="s">
        <v>2536</v>
      </c>
      <c r="CRA1" t="s">
        <v>2537</v>
      </c>
      <c r="CRB1" t="s">
        <v>2538</v>
      </c>
      <c r="CRC1" t="s">
        <v>2539</v>
      </c>
      <c r="CRD1" t="s">
        <v>2540</v>
      </c>
      <c r="CRE1" t="s">
        <v>2541</v>
      </c>
      <c r="CRF1" t="s">
        <v>2542</v>
      </c>
      <c r="CRG1" t="s">
        <v>2543</v>
      </c>
      <c r="CRH1" t="s">
        <v>2544</v>
      </c>
      <c r="CRI1" t="s">
        <v>2545</v>
      </c>
      <c r="CRJ1" t="s">
        <v>2546</v>
      </c>
      <c r="CRK1" t="s">
        <v>2547</v>
      </c>
      <c r="CRL1" t="s">
        <v>2548</v>
      </c>
      <c r="CRM1" t="s">
        <v>2549</v>
      </c>
      <c r="CRN1" t="s">
        <v>2550</v>
      </c>
      <c r="CRO1" t="s">
        <v>2551</v>
      </c>
      <c r="CRP1" t="s">
        <v>2552</v>
      </c>
      <c r="CRQ1" t="s">
        <v>2553</v>
      </c>
      <c r="CRR1" t="s">
        <v>2554</v>
      </c>
      <c r="CRS1" t="s">
        <v>2555</v>
      </c>
      <c r="CRT1" t="s">
        <v>2556</v>
      </c>
      <c r="CRU1" t="s">
        <v>2557</v>
      </c>
      <c r="CRV1" t="s">
        <v>2558</v>
      </c>
      <c r="CRW1" t="s">
        <v>2559</v>
      </c>
      <c r="CRX1" t="s">
        <v>2560</v>
      </c>
      <c r="CRY1" t="s">
        <v>2561</v>
      </c>
      <c r="CRZ1" t="s">
        <v>2562</v>
      </c>
      <c r="CSA1" t="s">
        <v>2563</v>
      </c>
      <c r="CSB1" t="s">
        <v>2564</v>
      </c>
      <c r="CSC1" t="s">
        <v>2565</v>
      </c>
      <c r="CSD1" t="s">
        <v>2566</v>
      </c>
      <c r="CSE1" t="s">
        <v>2567</v>
      </c>
      <c r="CSF1" t="s">
        <v>2568</v>
      </c>
      <c r="CSG1" t="s">
        <v>2569</v>
      </c>
      <c r="CSH1" t="s">
        <v>2570</v>
      </c>
      <c r="CSI1" t="s">
        <v>2571</v>
      </c>
      <c r="CSJ1" t="s">
        <v>2572</v>
      </c>
      <c r="CSK1" t="s">
        <v>2573</v>
      </c>
      <c r="CSL1" t="s">
        <v>2574</v>
      </c>
      <c r="CSM1" t="s">
        <v>2575</v>
      </c>
      <c r="CSN1" t="s">
        <v>2576</v>
      </c>
      <c r="CSO1" t="s">
        <v>2577</v>
      </c>
      <c r="CSP1" t="s">
        <v>2578</v>
      </c>
      <c r="CSQ1" t="s">
        <v>2579</v>
      </c>
      <c r="CSR1" t="s">
        <v>2580</v>
      </c>
      <c r="CSS1" t="s">
        <v>2581</v>
      </c>
      <c r="CST1" t="s">
        <v>2582</v>
      </c>
      <c r="CSU1" t="s">
        <v>2583</v>
      </c>
      <c r="CSV1" t="s">
        <v>2584</v>
      </c>
      <c r="CSW1" t="s">
        <v>2585</v>
      </c>
      <c r="CSX1" t="s">
        <v>2586</v>
      </c>
      <c r="CSY1" t="s">
        <v>2587</v>
      </c>
      <c r="CSZ1" t="s">
        <v>2588</v>
      </c>
      <c r="CTA1" t="s">
        <v>2589</v>
      </c>
      <c r="CTB1" t="s">
        <v>2590</v>
      </c>
      <c r="CTC1" t="s">
        <v>2591</v>
      </c>
      <c r="CTD1" t="s">
        <v>2592</v>
      </c>
      <c r="CTE1" t="s">
        <v>2593</v>
      </c>
      <c r="CTF1" t="s">
        <v>2594</v>
      </c>
      <c r="CTG1" t="s">
        <v>2595</v>
      </c>
      <c r="CTH1" t="s">
        <v>2596</v>
      </c>
      <c r="CTI1" t="s">
        <v>2597</v>
      </c>
      <c r="CTJ1" t="s">
        <v>2598</v>
      </c>
      <c r="CTK1" t="s">
        <v>2599</v>
      </c>
      <c r="CTL1" t="s">
        <v>2600</v>
      </c>
      <c r="CTM1" t="s">
        <v>2601</v>
      </c>
      <c r="CTN1" t="s">
        <v>2602</v>
      </c>
      <c r="CTO1" t="s">
        <v>2603</v>
      </c>
      <c r="CTP1" t="s">
        <v>2604</v>
      </c>
      <c r="CTQ1" t="s">
        <v>2605</v>
      </c>
      <c r="CTR1" t="s">
        <v>2606</v>
      </c>
      <c r="CTS1" t="s">
        <v>2607</v>
      </c>
      <c r="CTT1" t="s">
        <v>2608</v>
      </c>
      <c r="CTU1" t="s">
        <v>2609</v>
      </c>
      <c r="CTV1" t="s">
        <v>2610</v>
      </c>
      <c r="CTW1" t="s">
        <v>2611</v>
      </c>
      <c r="CTX1" t="s">
        <v>2612</v>
      </c>
      <c r="CTY1" t="s">
        <v>2613</v>
      </c>
      <c r="CTZ1" t="s">
        <v>2614</v>
      </c>
      <c r="CUA1" t="s">
        <v>2615</v>
      </c>
      <c r="CUB1" t="s">
        <v>2616</v>
      </c>
      <c r="CUC1" t="s">
        <v>2617</v>
      </c>
      <c r="CUD1" t="s">
        <v>2618</v>
      </c>
      <c r="CUE1" t="s">
        <v>2619</v>
      </c>
      <c r="CUF1" t="s">
        <v>2620</v>
      </c>
      <c r="CUG1" t="s">
        <v>2621</v>
      </c>
      <c r="CUH1" t="s">
        <v>2622</v>
      </c>
      <c r="CUI1" t="s">
        <v>2623</v>
      </c>
      <c r="CUJ1" t="s">
        <v>2624</v>
      </c>
      <c r="CUK1" t="s">
        <v>2625</v>
      </c>
      <c r="CUL1" t="s">
        <v>2626</v>
      </c>
      <c r="CUM1" t="s">
        <v>2627</v>
      </c>
      <c r="CUN1" t="s">
        <v>2628</v>
      </c>
      <c r="CUO1" t="s">
        <v>2629</v>
      </c>
      <c r="CUP1" t="s">
        <v>2630</v>
      </c>
      <c r="CUQ1" t="s">
        <v>2631</v>
      </c>
      <c r="CUR1" t="s">
        <v>2632</v>
      </c>
      <c r="CUS1" t="s">
        <v>2633</v>
      </c>
      <c r="CUT1" t="s">
        <v>2634</v>
      </c>
      <c r="CUU1" t="s">
        <v>2635</v>
      </c>
      <c r="CUV1" t="s">
        <v>2636</v>
      </c>
      <c r="CUW1" t="s">
        <v>2637</v>
      </c>
      <c r="CUX1" t="s">
        <v>2638</v>
      </c>
      <c r="CUY1" t="s">
        <v>2639</v>
      </c>
      <c r="CUZ1" t="s">
        <v>2640</v>
      </c>
      <c r="CVA1" t="s">
        <v>2641</v>
      </c>
      <c r="CVB1" t="s">
        <v>2642</v>
      </c>
      <c r="CVC1" t="s">
        <v>2643</v>
      </c>
      <c r="CVD1" t="s">
        <v>2644</v>
      </c>
      <c r="CVE1" t="s">
        <v>2645</v>
      </c>
      <c r="CVF1" t="s">
        <v>2646</v>
      </c>
      <c r="CVG1" t="s">
        <v>2647</v>
      </c>
      <c r="CVH1" t="s">
        <v>2648</v>
      </c>
      <c r="CVI1" t="s">
        <v>2649</v>
      </c>
      <c r="CVJ1" t="s">
        <v>2650</v>
      </c>
      <c r="CVK1" t="s">
        <v>2651</v>
      </c>
      <c r="CVL1" t="s">
        <v>2652</v>
      </c>
      <c r="CVM1" t="s">
        <v>2653</v>
      </c>
      <c r="CVN1" t="s">
        <v>2654</v>
      </c>
      <c r="CVO1" t="s">
        <v>2655</v>
      </c>
      <c r="CVP1" t="s">
        <v>2656</v>
      </c>
      <c r="CVQ1" t="s">
        <v>2657</v>
      </c>
      <c r="CVR1" t="s">
        <v>2658</v>
      </c>
      <c r="CVS1" t="s">
        <v>2659</v>
      </c>
      <c r="CVT1" t="s">
        <v>2660</v>
      </c>
      <c r="CVU1" t="s">
        <v>2661</v>
      </c>
      <c r="CVV1" t="s">
        <v>2662</v>
      </c>
      <c r="CVW1" t="s">
        <v>2663</v>
      </c>
      <c r="CVX1" t="s">
        <v>2664</v>
      </c>
      <c r="CVY1" t="s">
        <v>2665</v>
      </c>
      <c r="CVZ1" t="s">
        <v>2666</v>
      </c>
      <c r="CWA1" t="s">
        <v>2667</v>
      </c>
      <c r="CWB1" t="s">
        <v>2668</v>
      </c>
      <c r="CWC1" t="s">
        <v>2669</v>
      </c>
      <c r="CWD1" t="s">
        <v>2670</v>
      </c>
      <c r="CWE1" t="s">
        <v>2671</v>
      </c>
      <c r="CWF1" t="s">
        <v>2672</v>
      </c>
      <c r="CWG1" t="s">
        <v>2673</v>
      </c>
      <c r="CWH1" t="s">
        <v>2674</v>
      </c>
      <c r="CWI1" t="s">
        <v>2675</v>
      </c>
      <c r="CWJ1" t="s">
        <v>2676</v>
      </c>
      <c r="CWK1" t="s">
        <v>2677</v>
      </c>
      <c r="CWL1" t="s">
        <v>2678</v>
      </c>
      <c r="CWM1" t="s">
        <v>2679</v>
      </c>
      <c r="CWN1" t="s">
        <v>2680</v>
      </c>
      <c r="CWO1" t="s">
        <v>2681</v>
      </c>
      <c r="CWP1" t="s">
        <v>2682</v>
      </c>
      <c r="CWQ1" t="s">
        <v>2683</v>
      </c>
      <c r="CWR1" t="s">
        <v>2684</v>
      </c>
      <c r="CWS1" t="s">
        <v>2685</v>
      </c>
      <c r="CWT1" t="s">
        <v>2686</v>
      </c>
      <c r="CWU1" t="s">
        <v>2687</v>
      </c>
      <c r="CWV1" t="s">
        <v>2688</v>
      </c>
      <c r="CWW1" t="s">
        <v>2689</v>
      </c>
      <c r="CWX1" t="s">
        <v>2690</v>
      </c>
      <c r="CWY1" t="s">
        <v>2691</v>
      </c>
      <c r="CWZ1" t="s">
        <v>2692</v>
      </c>
      <c r="CXA1" t="s">
        <v>2693</v>
      </c>
      <c r="CXB1" t="s">
        <v>2694</v>
      </c>
      <c r="CXC1" t="s">
        <v>2695</v>
      </c>
      <c r="CXD1" t="s">
        <v>2696</v>
      </c>
      <c r="CXE1" t="s">
        <v>2697</v>
      </c>
      <c r="CXF1" t="s">
        <v>2698</v>
      </c>
      <c r="CXG1" t="s">
        <v>2699</v>
      </c>
      <c r="CXH1" t="s">
        <v>2700</v>
      </c>
      <c r="CXI1" t="s">
        <v>2701</v>
      </c>
      <c r="CXJ1" t="s">
        <v>2702</v>
      </c>
      <c r="CXK1" t="s">
        <v>2703</v>
      </c>
      <c r="CXL1" t="s">
        <v>2704</v>
      </c>
      <c r="CXM1" t="s">
        <v>2705</v>
      </c>
      <c r="CXN1" t="s">
        <v>2706</v>
      </c>
      <c r="CXO1" t="s">
        <v>2707</v>
      </c>
      <c r="CXP1" t="s">
        <v>2708</v>
      </c>
      <c r="CXQ1" t="s">
        <v>2709</v>
      </c>
      <c r="CXR1" t="s">
        <v>2710</v>
      </c>
      <c r="CXS1" t="s">
        <v>2711</v>
      </c>
      <c r="CXT1" t="s">
        <v>2712</v>
      </c>
      <c r="CXU1" t="s">
        <v>2713</v>
      </c>
      <c r="CXV1" t="s">
        <v>2714</v>
      </c>
      <c r="CXW1" t="s">
        <v>2715</v>
      </c>
      <c r="CXX1" t="s">
        <v>2716</v>
      </c>
      <c r="CXY1" t="s">
        <v>2717</v>
      </c>
      <c r="CXZ1" t="s">
        <v>2718</v>
      </c>
      <c r="CYA1" t="s">
        <v>2719</v>
      </c>
      <c r="CYB1" t="s">
        <v>2720</v>
      </c>
      <c r="CYC1" t="s">
        <v>2721</v>
      </c>
      <c r="CYD1" t="s">
        <v>2722</v>
      </c>
      <c r="CYE1" t="s">
        <v>2723</v>
      </c>
      <c r="CYF1" t="s">
        <v>2724</v>
      </c>
      <c r="CYG1" t="s">
        <v>2725</v>
      </c>
      <c r="CYH1" t="s">
        <v>2726</v>
      </c>
      <c r="CYI1" t="s">
        <v>2727</v>
      </c>
      <c r="CYJ1" t="s">
        <v>2728</v>
      </c>
      <c r="CYK1" t="s">
        <v>2729</v>
      </c>
      <c r="CYL1" t="s">
        <v>2730</v>
      </c>
      <c r="CYM1" t="s">
        <v>2731</v>
      </c>
      <c r="CYN1" t="s">
        <v>2732</v>
      </c>
      <c r="CYO1" t="s">
        <v>2733</v>
      </c>
      <c r="CYP1" t="s">
        <v>2734</v>
      </c>
      <c r="CYQ1" t="s">
        <v>2735</v>
      </c>
      <c r="CYR1" t="s">
        <v>2736</v>
      </c>
      <c r="CYS1" t="s">
        <v>2737</v>
      </c>
      <c r="CYT1" t="s">
        <v>2738</v>
      </c>
      <c r="CYU1" t="s">
        <v>2739</v>
      </c>
      <c r="CYV1" t="s">
        <v>2740</v>
      </c>
      <c r="CYW1" t="s">
        <v>2741</v>
      </c>
      <c r="CYX1" t="s">
        <v>2742</v>
      </c>
      <c r="CYY1" t="s">
        <v>2743</v>
      </c>
      <c r="CYZ1" t="s">
        <v>2744</v>
      </c>
      <c r="CZA1" t="s">
        <v>2745</v>
      </c>
      <c r="CZB1" t="s">
        <v>2746</v>
      </c>
      <c r="CZC1" t="s">
        <v>2747</v>
      </c>
      <c r="CZD1" t="s">
        <v>2748</v>
      </c>
      <c r="CZE1" t="s">
        <v>2749</v>
      </c>
      <c r="CZF1" t="s">
        <v>2750</v>
      </c>
      <c r="CZG1" t="s">
        <v>2751</v>
      </c>
      <c r="CZH1" t="s">
        <v>2752</v>
      </c>
      <c r="CZI1" t="s">
        <v>2753</v>
      </c>
      <c r="CZJ1" t="s">
        <v>2754</v>
      </c>
      <c r="CZK1" t="s">
        <v>2755</v>
      </c>
      <c r="CZL1" t="s">
        <v>2756</v>
      </c>
      <c r="CZM1" t="s">
        <v>2757</v>
      </c>
      <c r="CZN1" t="s">
        <v>2758</v>
      </c>
      <c r="CZO1" t="s">
        <v>2759</v>
      </c>
      <c r="CZP1" t="s">
        <v>2760</v>
      </c>
      <c r="CZQ1" t="s">
        <v>2761</v>
      </c>
      <c r="CZR1" t="s">
        <v>2762</v>
      </c>
      <c r="CZS1" t="s">
        <v>2763</v>
      </c>
      <c r="CZT1" t="s">
        <v>2764</v>
      </c>
      <c r="CZU1" t="s">
        <v>2765</v>
      </c>
      <c r="CZV1" t="s">
        <v>2766</v>
      </c>
      <c r="CZW1" t="s">
        <v>2767</v>
      </c>
      <c r="CZX1" t="s">
        <v>2768</v>
      </c>
      <c r="CZY1" t="s">
        <v>2769</v>
      </c>
      <c r="CZZ1" t="s">
        <v>2770</v>
      </c>
      <c r="DAA1" t="s">
        <v>2771</v>
      </c>
      <c r="DAB1" t="s">
        <v>2772</v>
      </c>
      <c r="DAC1" t="s">
        <v>2773</v>
      </c>
      <c r="DAD1" t="s">
        <v>2774</v>
      </c>
      <c r="DAE1" t="s">
        <v>2775</v>
      </c>
      <c r="DAF1" t="s">
        <v>2776</v>
      </c>
      <c r="DAG1" t="s">
        <v>2777</v>
      </c>
      <c r="DAH1" t="s">
        <v>2778</v>
      </c>
      <c r="DAI1" t="s">
        <v>2779</v>
      </c>
      <c r="DAJ1" t="s">
        <v>2780</v>
      </c>
      <c r="DAK1" t="s">
        <v>2781</v>
      </c>
      <c r="DAL1" t="s">
        <v>2782</v>
      </c>
      <c r="DAM1" t="s">
        <v>2783</v>
      </c>
      <c r="DAN1" t="s">
        <v>2784</v>
      </c>
      <c r="DAO1" t="s">
        <v>2785</v>
      </c>
      <c r="DAP1" t="s">
        <v>2786</v>
      </c>
      <c r="DAQ1" t="s">
        <v>2787</v>
      </c>
      <c r="DAR1" t="s">
        <v>2788</v>
      </c>
      <c r="DAS1" t="s">
        <v>2789</v>
      </c>
      <c r="DAT1" t="s">
        <v>2790</v>
      </c>
      <c r="DAU1" t="s">
        <v>2791</v>
      </c>
      <c r="DAV1" t="s">
        <v>2792</v>
      </c>
      <c r="DAW1" t="s">
        <v>2793</v>
      </c>
      <c r="DAX1" t="s">
        <v>2794</v>
      </c>
      <c r="DAY1" t="s">
        <v>2795</v>
      </c>
      <c r="DAZ1" t="s">
        <v>2796</v>
      </c>
      <c r="DBA1" t="s">
        <v>2797</v>
      </c>
      <c r="DBB1" t="s">
        <v>2798</v>
      </c>
      <c r="DBC1" t="s">
        <v>2799</v>
      </c>
      <c r="DBD1" t="s">
        <v>2800</v>
      </c>
      <c r="DBE1" t="s">
        <v>2801</v>
      </c>
      <c r="DBF1" t="s">
        <v>2802</v>
      </c>
      <c r="DBG1" t="s">
        <v>2803</v>
      </c>
      <c r="DBH1" t="s">
        <v>2804</v>
      </c>
      <c r="DBI1" t="s">
        <v>2805</v>
      </c>
      <c r="DBJ1" t="s">
        <v>2806</v>
      </c>
      <c r="DBK1" t="s">
        <v>2807</v>
      </c>
      <c r="DBL1" t="s">
        <v>2808</v>
      </c>
      <c r="DBM1" t="s">
        <v>2809</v>
      </c>
      <c r="DBN1" t="s">
        <v>2810</v>
      </c>
      <c r="DBO1" t="s">
        <v>2811</v>
      </c>
      <c r="DBP1" t="s">
        <v>2812</v>
      </c>
      <c r="DBQ1" t="s">
        <v>2813</v>
      </c>
      <c r="DBR1" t="s">
        <v>2814</v>
      </c>
      <c r="DBS1" t="s">
        <v>2815</v>
      </c>
      <c r="DBT1" t="s">
        <v>2816</v>
      </c>
      <c r="DBU1" t="s">
        <v>2817</v>
      </c>
      <c r="DBV1" t="s">
        <v>2818</v>
      </c>
      <c r="DBW1" t="s">
        <v>2819</v>
      </c>
      <c r="DBX1" t="s">
        <v>2820</v>
      </c>
      <c r="DBY1" t="s">
        <v>2821</v>
      </c>
      <c r="DBZ1" t="s">
        <v>2822</v>
      </c>
      <c r="DCA1" t="s">
        <v>2823</v>
      </c>
      <c r="DCB1" t="s">
        <v>2824</v>
      </c>
      <c r="DCC1" t="s">
        <v>2825</v>
      </c>
      <c r="DCD1" t="s">
        <v>2826</v>
      </c>
      <c r="DCE1" t="s">
        <v>2827</v>
      </c>
      <c r="DCF1" t="s">
        <v>2828</v>
      </c>
      <c r="DCG1" t="s">
        <v>2829</v>
      </c>
      <c r="DCH1" t="s">
        <v>2830</v>
      </c>
      <c r="DCI1" t="s">
        <v>2831</v>
      </c>
      <c r="DCJ1" t="s">
        <v>2832</v>
      </c>
      <c r="DCK1" t="s">
        <v>2833</v>
      </c>
      <c r="DCL1" t="s">
        <v>2834</v>
      </c>
      <c r="DCM1" t="s">
        <v>2835</v>
      </c>
      <c r="DCN1" t="s">
        <v>2836</v>
      </c>
      <c r="DCO1" t="s">
        <v>2837</v>
      </c>
      <c r="DCP1" t="s">
        <v>2838</v>
      </c>
      <c r="DCQ1" t="s">
        <v>2839</v>
      </c>
      <c r="DCR1" t="s">
        <v>2840</v>
      </c>
      <c r="DCS1" t="s">
        <v>2841</v>
      </c>
      <c r="DCT1" t="s">
        <v>2842</v>
      </c>
      <c r="DCU1" t="s">
        <v>2843</v>
      </c>
      <c r="DCV1" t="s">
        <v>2844</v>
      </c>
      <c r="DCW1" t="s">
        <v>2845</v>
      </c>
      <c r="DCX1" t="s">
        <v>2846</v>
      </c>
      <c r="DCY1" t="s">
        <v>2847</v>
      </c>
      <c r="DCZ1" t="s">
        <v>2848</v>
      </c>
      <c r="DDA1" t="s">
        <v>2849</v>
      </c>
      <c r="DDB1" t="s">
        <v>2850</v>
      </c>
      <c r="DDC1" t="s">
        <v>2851</v>
      </c>
      <c r="DDD1" t="s">
        <v>2852</v>
      </c>
      <c r="DDE1" t="s">
        <v>2853</v>
      </c>
      <c r="DDF1" t="s">
        <v>2854</v>
      </c>
      <c r="DDG1" t="s">
        <v>2855</v>
      </c>
      <c r="DDH1" t="s">
        <v>2856</v>
      </c>
      <c r="DDI1" t="s">
        <v>2857</v>
      </c>
      <c r="DDJ1" t="s">
        <v>2858</v>
      </c>
      <c r="DDK1" t="s">
        <v>2859</v>
      </c>
      <c r="DDL1" t="s">
        <v>2860</v>
      </c>
      <c r="DDM1" t="s">
        <v>2861</v>
      </c>
      <c r="DDN1" t="s">
        <v>2862</v>
      </c>
      <c r="DDO1" t="s">
        <v>2863</v>
      </c>
      <c r="DDP1" t="s">
        <v>2864</v>
      </c>
      <c r="DDQ1" t="s">
        <v>2865</v>
      </c>
      <c r="DDR1" t="s">
        <v>2866</v>
      </c>
      <c r="DDS1" t="s">
        <v>2867</v>
      </c>
      <c r="DDT1" t="s">
        <v>2868</v>
      </c>
      <c r="DDU1" t="s">
        <v>2869</v>
      </c>
      <c r="DDV1" t="s">
        <v>2870</v>
      </c>
      <c r="DDW1" t="s">
        <v>2871</v>
      </c>
      <c r="DDX1" t="s">
        <v>2872</v>
      </c>
      <c r="DDY1" t="s">
        <v>2873</v>
      </c>
      <c r="DDZ1" t="s">
        <v>2874</v>
      </c>
      <c r="DEA1" t="s">
        <v>2875</v>
      </c>
      <c r="DEB1" t="s">
        <v>2876</v>
      </c>
      <c r="DEC1" t="s">
        <v>2877</v>
      </c>
      <c r="DED1" t="s">
        <v>2878</v>
      </c>
      <c r="DEE1" t="s">
        <v>2879</v>
      </c>
      <c r="DEF1" t="s">
        <v>2880</v>
      </c>
      <c r="DEG1" t="s">
        <v>2881</v>
      </c>
      <c r="DEH1" t="s">
        <v>2882</v>
      </c>
      <c r="DEI1" t="s">
        <v>2883</v>
      </c>
      <c r="DEJ1" t="s">
        <v>2884</v>
      </c>
      <c r="DEK1" t="s">
        <v>2885</v>
      </c>
      <c r="DEL1" t="s">
        <v>2886</v>
      </c>
      <c r="DEM1" t="s">
        <v>2887</v>
      </c>
      <c r="DEN1" t="s">
        <v>2888</v>
      </c>
      <c r="DEO1" t="s">
        <v>2889</v>
      </c>
      <c r="DEP1" t="s">
        <v>2890</v>
      </c>
      <c r="DEQ1" t="s">
        <v>2891</v>
      </c>
      <c r="DER1" t="s">
        <v>2892</v>
      </c>
      <c r="DES1" t="s">
        <v>2893</v>
      </c>
      <c r="DET1" t="s">
        <v>2894</v>
      </c>
      <c r="DEU1" t="s">
        <v>2895</v>
      </c>
      <c r="DEV1" t="s">
        <v>2896</v>
      </c>
      <c r="DEW1" t="s">
        <v>2897</v>
      </c>
      <c r="DEX1" t="s">
        <v>2898</v>
      </c>
      <c r="DEY1" t="s">
        <v>2899</v>
      </c>
      <c r="DEZ1" t="s">
        <v>2900</v>
      </c>
      <c r="DFA1" t="s">
        <v>2901</v>
      </c>
      <c r="DFB1" t="s">
        <v>2902</v>
      </c>
      <c r="DFC1" t="s">
        <v>2903</v>
      </c>
      <c r="DFD1" t="s">
        <v>2904</v>
      </c>
      <c r="DFE1" t="s">
        <v>2905</v>
      </c>
      <c r="DFF1" t="s">
        <v>2906</v>
      </c>
      <c r="DFG1" t="s">
        <v>2907</v>
      </c>
      <c r="DFH1" t="s">
        <v>2908</v>
      </c>
      <c r="DFI1" t="s">
        <v>2909</v>
      </c>
      <c r="DFJ1" t="s">
        <v>2910</v>
      </c>
      <c r="DFK1" t="s">
        <v>2911</v>
      </c>
      <c r="DFL1" t="s">
        <v>2912</v>
      </c>
      <c r="DFM1" t="s">
        <v>2913</v>
      </c>
      <c r="DFN1" t="s">
        <v>2914</v>
      </c>
      <c r="DFO1" t="s">
        <v>2915</v>
      </c>
      <c r="DFP1" t="s">
        <v>2916</v>
      </c>
      <c r="DFQ1" t="s">
        <v>2917</v>
      </c>
      <c r="DFR1" t="s">
        <v>2918</v>
      </c>
      <c r="DFS1" t="s">
        <v>2919</v>
      </c>
      <c r="DFT1" t="s">
        <v>2920</v>
      </c>
      <c r="DFU1" t="s">
        <v>2921</v>
      </c>
      <c r="DFV1" t="s">
        <v>2922</v>
      </c>
      <c r="DFW1" t="s">
        <v>2923</v>
      </c>
      <c r="DFX1" t="s">
        <v>2924</v>
      </c>
      <c r="DFY1" t="s">
        <v>2925</v>
      </c>
      <c r="DFZ1" t="s">
        <v>2926</v>
      </c>
      <c r="DGA1" t="s">
        <v>2927</v>
      </c>
      <c r="DGB1" t="s">
        <v>2928</v>
      </c>
      <c r="DGC1" t="s">
        <v>2929</v>
      </c>
      <c r="DGD1" t="s">
        <v>2930</v>
      </c>
      <c r="DGE1" t="s">
        <v>2931</v>
      </c>
      <c r="DGF1" t="s">
        <v>2932</v>
      </c>
      <c r="DGG1" t="s">
        <v>2933</v>
      </c>
      <c r="DGH1" t="s">
        <v>2934</v>
      </c>
      <c r="DGI1" t="s">
        <v>2935</v>
      </c>
      <c r="DGJ1" t="s">
        <v>2936</v>
      </c>
      <c r="DGK1" t="s">
        <v>2937</v>
      </c>
      <c r="DGL1" t="s">
        <v>2938</v>
      </c>
      <c r="DGM1" t="s">
        <v>2939</v>
      </c>
      <c r="DGN1" t="s">
        <v>2940</v>
      </c>
      <c r="DGO1" t="s">
        <v>2941</v>
      </c>
      <c r="DGP1" t="s">
        <v>2942</v>
      </c>
      <c r="DGQ1" t="s">
        <v>2943</v>
      </c>
      <c r="DGR1" t="s">
        <v>2944</v>
      </c>
      <c r="DGS1" t="s">
        <v>2945</v>
      </c>
      <c r="DGT1" t="s">
        <v>2946</v>
      </c>
      <c r="DGU1" t="s">
        <v>2947</v>
      </c>
      <c r="DGV1" t="s">
        <v>2948</v>
      </c>
      <c r="DGW1" t="s">
        <v>2949</v>
      </c>
      <c r="DGX1" t="s">
        <v>2950</v>
      </c>
      <c r="DGY1" t="s">
        <v>2951</v>
      </c>
      <c r="DGZ1" t="s">
        <v>2952</v>
      </c>
      <c r="DHA1" t="s">
        <v>2953</v>
      </c>
      <c r="DHB1" t="s">
        <v>2954</v>
      </c>
      <c r="DHC1" t="s">
        <v>2955</v>
      </c>
      <c r="DHD1" t="s">
        <v>2956</v>
      </c>
      <c r="DHE1" t="s">
        <v>2957</v>
      </c>
      <c r="DHF1" t="s">
        <v>2958</v>
      </c>
      <c r="DHG1" t="s">
        <v>2959</v>
      </c>
      <c r="DHH1" t="s">
        <v>2960</v>
      </c>
      <c r="DHI1" t="s">
        <v>2961</v>
      </c>
      <c r="DHJ1" t="s">
        <v>2962</v>
      </c>
      <c r="DHK1" t="s">
        <v>2963</v>
      </c>
      <c r="DHL1" t="s">
        <v>2964</v>
      </c>
      <c r="DHM1" t="s">
        <v>2965</v>
      </c>
      <c r="DHN1" t="s">
        <v>2966</v>
      </c>
      <c r="DHO1" t="s">
        <v>2967</v>
      </c>
      <c r="DHP1" t="s">
        <v>2968</v>
      </c>
      <c r="DHQ1" t="s">
        <v>2969</v>
      </c>
      <c r="DHR1" t="s">
        <v>2970</v>
      </c>
      <c r="DHS1" t="s">
        <v>2971</v>
      </c>
      <c r="DHT1" t="s">
        <v>2972</v>
      </c>
      <c r="DHU1" t="s">
        <v>2973</v>
      </c>
      <c r="DHV1" t="s">
        <v>2974</v>
      </c>
      <c r="DHW1" t="s">
        <v>2975</v>
      </c>
      <c r="DHX1" t="s">
        <v>2976</v>
      </c>
      <c r="DHY1" t="s">
        <v>2977</v>
      </c>
      <c r="DHZ1" t="s">
        <v>2978</v>
      </c>
      <c r="DIA1" t="s">
        <v>2979</v>
      </c>
      <c r="DIB1" t="s">
        <v>2980</v>
      </c>
      <c r="DIC1" t="s">
        <v>2981</v>
      </c>
      <c r="DID1" t="s">
        <v>2982</v>
      </c>
      <c r="DIE1" t="s">
        <v>2983</v>
      </c>
      <c r="DIF1" t="s">
        <v>2984</v>
      </c>
      <c r="DIG1" t="s">
        <v>2985</v>
      </c>
      <c r="DIH1" t="s">
        <v>2986</v>
      </c>
      <c r="DII1" t="s">
        <v>2987</v>
      </c>
      <c r="DIJ1" t="s">
        <v>2988</v>
      </c>
      <c r="DIK1" t="s">
        <v>2989</v>
      </c>
      <c r="DIL1" t="s">
        <v>2990</v>
      </c>
      <c r="DIM1" t="s">
        <v>2991</v>
      </c>
      <c r="DIN1" t="s">
        <v>2992</v>
      </c>
      <c r="DIO1" t="s">
        <v>2993</v>
      </c>
      <c r="DIP1" t="s">
        <v>2994</v>
      </c>
      <c r="DIQ1" t="s">
        <v>2995</v>
      </c>
      <c r="DIR1" t="s">
        <v>2996</v>
      </c>
      <c r="DIS1" t="s">
        <v>2997</v>
      </c>
      <c r="DIT1" t="s">
        <v>2998</v>
      </c>
      <c r="DIU1" t="s">
        <v>2999</v>
      </c>
      <c r="DIV1" t="s">
        <v>3000</v>
      </c>
      <c r="DIW1" t="s">
        <v>3001</v>
      </c>
      <c r="DIX1" t="s">
        <v>3002</v>
      </c>
      <c r="DIY1" t="s">
        <v>3003</v>
      </c>
      <c r="DIZ1" t="s">
        <v>3004</v>
      </c>
      <c r="DJA1" t="s">
        <v>3005</v>
      </c>
      <c r="DJB1" t="s">
        <v>3006</v>
      </c>
      <c r="DJC1" t="s">
        <v>3007</v>
      </c>
      <c r="DJD1" t="s">
        <v>3008</v>
      </c>
      <c r="DJE1" t="s">
        <v>3009</v>
      </c>
      <c r="DJF1" t="s">
        <v>3010</v>
      </c>
      <c r="DJG1" t="s">
        <v>3011</v>
      </c>
      <c r="DJH1" t="s">
        <v>3012</v>
      </c>
      <c r="DJI1" t="s">
        <v>3013</v>
      </c>
      <c r="DJJ1" t="s">
        <v>3014</v>
      </c>
      <c r="DJK1" t="s">
        <v>3015</v>
      </c>
      <c r="DJL1" t="s">
        <v>3016</v>
      </c>
      <c r="DJM1" t="s">
        <v>3017</v>
      </c>
      <c r="DJN1" t="s">
        <v>3018</v>
      </c>
      <c r="DJO1" t="s">
        <v>3019</v>
      </c>
      <c r="DJP1" t="s">
        <v>3020</v>
      </c>
      <c r="DJQ1" t="s">
        <v>3021</v>
      </c>
      <c r="DJR1" t="s">
        <v>3022</v>
      </c>
      <c r="DJS1" t="s">
        <v>3023</v>
      </c>
      <c r="DJT1" t="s">
        <v>3024</v>
      </c>
      <c r="DJU1" t="s">
        <v>3025</v>
      </c>
      <c r="DJV1" t="s">
        <v>3026</v>
      </c>
      <c r="DJW1" t="s">
        <v>3027</v>
      </c>
      <c r="DJX1" t="s">
        <v>3028</v>
      </c>
      <c r="DJY1" t="s">
        <v>3029</v>
      </c>
      <c r="DJZ1" t="s">
        <v>3030</v>
      </c>
      <c r="DKA1" t="s">
        <v>3031</v>
      </c>
      <c r="DKB1" t="s">
        <v>3032</v>
      </c>
      <c r="DKC1" t="s">
        <v>3033</v>
      </c>
      <c r="DKD1" t="s">
        <v>3034</v>
      </c>
      <c r="DKE1" t="s">
        <v>3035</v>
      </c>
      <c r="DKF1" t="s">
        <v>3036</v>
      </c>
      <c r="DKG1" t="s">
        <v>3037</v>
      </c>
      <c r="DKH1" t="s">
        <v>3038</v>
      </c>
      <c r="DKI1" t="s">
        <v>3039</v>
      </c>
      <c r="DKJ1" t="s">
        <v>3040</v>
      </c>
      <c r="DKK1" t="s">
        <v>3041</v>
      </c>
      <c r="DKL1" t="s">
        <v>3042</v>
      </c>
      <c r="DKM1" t="s">
        <v>3043</v>
      </c>
      <c r="DKN1" t="s">
        <v>3044</v>
      </c>
      <c r="DKO1" t="s">
        <v>3045</v>
      </c>
      <c r="DKP1" t="s">
        <v>3046</v>
      </c>
      <c r="DKQ1" t="s">
        <v>3047</v>
      </c>
      <c r="DKR1" t="s">
        <v>3048</v>
      </c>
      <c r="DKS1" t="s">
        <v>3049</v>
      </c>
      <c r="DKT1" t="s">
        <v>3050</v>
      </c>
      <c r="DKU1" t="s">
        <v>3051</v>
      </c>
      <c r="DKV1" t="s">
        <v>3052</v>
      </c>
      <c r="DKW1" t="s">
        <v>3053</v>
      </c>
      <c r="DKX1" t="s">
        <v>3054</v>
      </c>
      <c r="DKY1" t="s">
        <v>3055</v>
      </c>
      <c r="DKZ1" t="s">
        <v>3056</v>
      </c>
      <c r="DLA1" t="s">
        <v>3057</v>
      </c>
      <c r="DLB1" t="s">
        <v>3058</v>
      </c>
      <c r="DLC1" t="s">
        <v>3059</v>
      </c>
      <c r="DLD1" t="s">
        <v>3060</v>
      </c>
      <c r="DLE1" t="s">
        <v>3061</v>
      </c>
      <c r="DLF1" t="s">
        <v>3062</v>
      </c>
      <c r="DLG1" t="s">
        <v>3063</v>
      </c>
      <c r="DLH1" t="s">
        <v>3064</v>
      </c>
      <c r="DLI1" t="s">
        <v>3065</v>
      </c>
      <c r="DLJ1" t="s">
        <v>3066</v>
      </c>
      <c r="DLK1" t="s">
        <v>3067</v>
      </c>
      <c r="DLL1" t="s">
        <v>3068</v>
      </c>
      <c r="DLM1" t="s">
        <v>3069</v>
      </c>
      <c r="DLN1" t="s">
        <v>3070</v>
      </c>
      <c r="DLO1" t="s">
        <v>3071</v>
      </c>
      <c r="DLP1" t="s">
        <v>3072</v>
      </c>
      <c r="DLQ1" t="s">
        <v>3073</v>
      </c>
      <c r="DLR1" t="s">
        <v>3074</v>
      </c>
      <c r="DLS1" t="s">
        <v>3075</v>
      </c>
      <c r="DLT1" t="s">
        <v>3076</v>
      </c>
      <c r="DLU1" t="s">
        <v>3077</v>
      </c>
      <c r="DLV1" t="s">
        <v>3078</v>
      </c>
      <c r="DLW1" t="s">
        <v>3079</v>
      </c>
      <c r="DLX1" t="s">
        <v>3080</v>
      </c>
      <c r="DLY1" t="s">
        <v>3081</v>
      </c>
      <c r="DLZ1" t="s">
        <v>3082</v>
      </c>
      <c r="DMA1" t="s">
        <v>3083</v>
      </c>
      <c r="DMB1" t="s">
        <v>3084</v>
      </c>
      <c r="DMC1" t="s">
        <v>3085</v>
      </c>
      <c r="DMD1" t="s">
        <v>3086</v>
      </c>
      <c r="DME1" t="s">
        <v>3087</v>
      </c>
      <c r="DMF1" t="s">
        <v>3088</v>
      </c>
      <c r="DMG1" t="s">
        <v>3089</v>
      </c>
      <c r="DMH1" t="s">
        <v>3090</v>
      </c>
      <c r="DMI1" t="s">
        <v>3091</v>
      </c>
      <c r="DMJ1" t="s">
        <v>3092</v>
      </c>
      <c r="DMK1" t="s">
        <v>3093</v>
      </c>
      <c r="DML1" t="s">
        <v>3094</v>
      </c>
      <c r="DMM1" t="s">
        <v>3095</v>
      </c>
      <c r="DMN1" t="s">
        <v>3096</v>
      </c>
      <c r="DMO1" t="s">
        <v>3097</v>
      </c>
      <c r="DMP1" t="s">
        <v>3098</v>
      </c>
      <c r="DMQ1" t="s">
        <v>3099</v>
      </c>
      <c r="DMR1" t="s">
        <v>3100</v>
      </c>
      <c r="DMS1" t="s">
        <v>3101</v>
      </c>
      <c r="DMT1" t="s">
        <v>3102</v>
      </c>
      <c r="DMU1" t="s">
        <v>3103</v>
      </c>
      <c r="DMV1" t="s">
        <v>3104</v>
      </c>
      <c r="DMW1" t="s">
        <v>3105</v>
      </c>
      <c r="DMX1" t="s">
        <v>3106</v>
      </c>
      <c r="DMY1" t="s">
        <v>3107</v>
      </c>
      <c r="DMZ1" t="s">
        <v>3108</v>
      </c>
      <c r="DNA1" t="s">
        <v>3109</v>
      </c>
      <c r="DNB1" t="s">
        <v>3110</v>
      </c>
      <c r="DNC1" t="s">
        <v>3111</v>
      </c>
      <c r="DND1" t="s">
        <v>3112</v>
      </c>
      <c r="DNE1" t="s">
        <v>3113</v>
      </c>
      <c r="DNF1" t="s">
        <v>3114</v>
      </c>
      <c r="DNG1" t="s">
        <v>3115</v>
      </c>
      <c r="DNH1" t="s">
        <v>3116</v>
      </c>
      <c r="DNI1" t="s">
        <v>3117</v>
      </c>
      <c r="DNJ1" t="s">
        <v>3118</v>
      </c>
      <c r="DNK1" t="s">
        <v>3119</v>
      </c>
      <c r="DNL1" t="s">
        <v>3120</v>
      </c>
      <c r="DNM1" t="s">
        <v>3121</v>
      </c>
      <c r="DNN1" t="s">
        <v>3122</v>
      </c>
      <c r="DNO1" t="s">
        <v>3123</v>
      </c>
      <c r="DNP1" t="s">
        <v>3124</v>
      </c>
      <c r="DNQ1" t="s">
        <v>3125</v>
      </c>
      <c r="DNR1" t="s">
        <v>3126</v>
      </c>
      <c r="DNS1" t="s">
        <v>3127</v>
      </c>
      <c r="DNT1" t="s">
        <v>3128</v>
      </c>
      <c r="DNU1" t="s">
        <v>3129</v>
      </c>
      <c r="DNV1" t="s">
        <v>3130</v>
      </c>
      <c r="DNW1" t="s">
        <v>3131</v>
      </c>
      <c r="DNX1" t="s">
        <v>3132</v>
      </c>
      <c r="DNY1" t="s">
        <v>3133</v>
      </c>
      <c r="DNZ1" t="s">
        <v>3134</v>
      </c>
      <c r="DOA1" t="s">
        <v>3135</v>
      </c>
      <c r="DOB1" t="s">
        <v>3136</v>
      </c>
      <c r="DOC1" t="s">
        <v>3137</v>
      </c>
      <c r="DOD1" t="s">
        <v>3138</v>
      </c>
      <c r="DOE1" t="s">
        <v>3139</v>
      </c>
      <c r="DOF1" t="s">
        <v>3140</v>
      </c>
      <c r="DOG1" t="s">
        <v>3141</v>
      </c>
      <c r="DOH1" t="s">
        <v>3142</v>
      </c>
      <c r="DOI1" t="s">
        <v>3143</v>
      </c>
      <c r="DOJ1" t="s">
        <v>3144</v>
      </c>
      <c r="DOK1" t="s">
        <v>3145</v>
      </c>
      <c r="DOL1" t="s">
        <v>3146</v>
      </c>
      <c r="DOM1" t="s">
        <v>3147</v>
      </c>
      <c r="DON1" t="s">
        <v>3148</v>
      </c>
      <c r="DOO1" t="s">
        <v>3149</v>
      </c>
      <c r="DOP1" t="s">
        <v>3150</v>
      </c>
      <c r="DOQ1" t="s">
        <v>3151</v>
      </c>
      <c r="DOR1" t="s">
        <v>3152</v>
      </c>
      <c r="DOS1" t="s">
        <v>3153</v>
      </c>
      <c r="DOT1" t="s">
        <v>3154</v>
      </c>
      <c r="DOU1" t="s">
        <v>3155</v>
      </c>
      <c r="DOV1" t="s">
        <v>3156</v>
      </c>
      <c r="DOW1" t="s">
        <v>3157</v>
      </c>
      <c r="DOX1" t="s">
        <v>3158</v>
      </c>
      <c r="DOY1" t="s">
        <v>3159</v>
      </c>
      <c r="DOZ1" t="s">
        <v>3160</v>
      </c>
      <c r="DPA1" t="s">
        <v>3161</v>
      </c>
      <c r="DPB1" t="s">
        <v>3162</v>
      </c>
      <c r="DPC1" t="s">
        <v>3163</v>
      </c>
      <c r="DPD1" t="s">
        <v>3164</v>
      </c>
      <c r="DPE1" t="s">
        <v>3165</v>
      </c>
      <c r="DPF1" t="s">
        <v>3166</v>
      </c>
      <c r="DPG1" t="s">
        <v>3167</v>
      </c>
      <c r="DPH1" t="s">
        <v>3168</v>
      </c>
      <c r="DPI1" t="s">
        <v>3169</v>
      </c>
      <c r="DPJ1" t="s">
        <v>3170</v>
      </c>
      <c r="DPK1" t="s">
        <v>3171</v>
      </c>
      <c r="DPL1" t="s">
        <v>3172</v>
      </c>
      <c r="DPM1" t="s">
        <v>3173</v>
      </c>
      <c r="DPN1" t="s">
        <v>3174</v>
      </c>
      <c r="DPO1" t="s">
        <v>3175</v>
      </c>
      <c r="DPP1" t="s">
        <v>3176</v>
      </c>
      <c r="DPQ1" t="s">
        <v>3177</v>
      </c>
      <c r="DPR1" t="s">
        <v>3178</v>
      </c>
      <c r="DPS1" t="s">
        <v>3179</v>
      </c>
      <c r="DPT1" t="s">
        <v>3180</v>
      </c>
      <c r="DPU1" t="s">
        <v>3181</v>
      </c>
      <c r="DPV1" t="s">
        <v>3182</v>
      </c>
      <c r="DPW1" t="s">
        <v>3183</v>
      </c>
      <c r="DPX1" t="s">
        <v>3184</v>
      </c>
      <c r="DPY1" t="s">
        <v>3185</v>
      </c>
      <c r="DPZ1" t="s">
        <v>3186</v>
      </c>
      <c r="DQA1" t="s">
        <v>3187</v>
      </c>
      <c r="DQB1" t="s">
        <v>3188</v>
      </c>
      <c r="DQC1" t="s">
        <v>3189</v>
      </c>
      <c r="DQD1" t="s">
        <v>3190</v>
      </c>
      <c r="DQE1" t="s">
        <v>3191</v>
      </c>
      <c r="DQF1" t="s">
        <v>3192</v>
      </c>
      <c r="DQG1" t="s">
        <v>3193</v>
      </c>
      <c r="DQH1" t="s">
        <v>3194</v>
      </c>
      <c r="DQI1" t="s">
        <v>3195</v>
      </c>
      <c r="DQJ1" t="s">
        <v>3196</v>
      </c>
      <c r="DQK1" t="s">
        <v>3197</v>
      </c>
      <c r="DQL1" t="s">
        <v>3198</v>
      </c>
      <c r="DQM1" t="s">
        <v>3199</v>
      </c>
      <c r="DQN1" t="s">
        <v>3200</v>
      </c>
      <c r="DQO1" t="s">
        <v>3201</v>
      </c>
      <c r="DQP1" t="s">
        <v>3202</v>
      </c>
      <c r="DQQ1" t="s">
        <v>3203</v>
      </c>
      <c r="DQR1" t="s">
        <v>3204</v>
      </c>
      <c r="DQS1" t="s">
        <v>3205</v>
      </c>
      <c r="DQT1" t="s">
        <v>3206</v>
      </c>
      <c r="DQU1" t="s">
        <v>3207</v>
      </c>
      <c r="DQV1" t="s">
        <v>3208</v>
      </c>
      <c r="DQW1" t="s">
        <v>3209</v>
      </c>
      <c r="DQX1" t="s">
        <v>3210</v>
      </c>
      <c r="DQY1" t="s">
        <v>3211</v>
      </c>
      <c r="DQZ1" t="s">
        <v>3212</v>
      </c>
      <c r="DRA1" t="s">
        <v>3213</v>
      </c>
      <c r="DRB1" t="s">
        <v>3214</v>
      </c>
      <c r="DRC1" t="s">
        <v>3215</v>
      </c>
      <c r="DRD1" t="s">
        <v>3216</v>
      </c>
      <c r="DRE1" t="s">
        <v>3217</v>
      </c>
      <c r="DRF1" t="s">
        <v>3218</v>
      </c>
      <c r="DRG1" t="s">
        <v>3219</v>
      </c>
      <c r="DRH1" t="s">
        <v>3220</v>
      </c>
      <c r="DRI1" t="s">
        <v>3221</v>
      </c>
      <c r="DRJ1" t="s">
        <v>3222</v>
      </c>
      <c r="DRK1" t="s">
        <v>3223</v>
      </c>
      <c r="DRL1" t="s">
        <v>3224</v>
      </c>
      <c r="DRM1" t="s">
        <v>3225</v>
      </c>
      <c r="DRN1" t="s">
        <v>3226</v>
      </c>
      <c r="DRO1" t="s">
        <v>3227</v>
      </c>
      <c r="DRP1" t="s">
        <v>3228</v>
      </c>
      <c r="DRQ1" t="s">
        <v>3229</v>
      </c>
      <c r="DRR1" t="s">
        <v>3230</v>
      </c>
      <c r="DRS1" t="s">
        <v>3231</v>
      </c>
      <c r="DRT1" t="s">
        <v>3232</v>
      </c>
      <c r="DRU1" t="s">
        <v>3233</v>
      </c>
      <c r="DRV1" t="s">
        <v>3234</v>
      </c>
      <c r="DRW1" t="s">
        <v>3235</v>
      </c>
      <c r="DRX1" t="s">
        <v>3236</v>
      </c>
      <c r="DRY1" t="s">
        <v>3237</v>
      </c>
      <c r="DRZ1" t="s">
        <v>3238</v>
      </c>
      <c r="DSA1" t="s">
        <v>3239</v>
      </c>
      <c r="DSB1" t="s">
        <v>3240</v>
      </c>
      <c r="DSC1" t="s">
        <v>3241</v>
      </c>
      <c r="DSD1" t="s">
        <v>3242</v>
      </c>
      <c r="DSE1" t="s">
        <v>3243</v>
      </c>
      <c r="DSF1" t="s">
        <v>3244</v>
      </c>
      <c r="DSG1" t="s">
        <v>3245</v>
      </c>
      <c r="DSH1" t="s">
        <v>3246</v>
      </c>
      <c r="DSI1" t="s">
        <v>3247</v>
      </c>
      <c r="DSJ1" t="s">
        <v>3248</v>
      </c>
      <c r="DSK1" t="s">
        <v>3249</v>
      </c>
      <c r="DSL1" t="s">
        <v>3250</v>
      </c>
      <c r="DSM1" t="s">
        <v>3251</v>
      </c>
      <c r="DSN1" t="s">
        <v>3252</v>
      </c>
      <c r="DSO1" t="s">
        <v>3253</v>
      </c>
      <c r="DSP1" t="s">
        <v>3254</v>
      </c>
      <c r="DSQ1" t="s">
        <v>3255</v>
      </c>
      <c r="DSR1" t="s">
        <v>3256</v>
      </c>
      <c r="DSS1" t="s">
        <v>3257</v>
      </c>
      <c r="DST1" t="s">
        <v>3258</v>
      </c>
      <c r="DSU1" t="s">
        <v>3259</v>
      </c>
      <c r="DSV1" t="s">
        <v>3260</v>
      </c>
      <c r="DSW1" t="s">
        <v>3261</v>
      </c>
      <c r="DSX1" t="s">
        <v>3262</v>
      </c>
      <c r="DSY1" t="s">
        <v>3263</v>
      </c>
      <c r="DSZ1" t="s">
        <v>3264</v>
      </c>
      <c r="DTA1" t="s">
        <v>3265</v>
      </c>
      <c r="DTB1" t="s">
        <v>3266</v>
      </c>
      <c r="DTC1" t="s">
        <v>3267</v>
      </c>
      <c r="DTD1" t="s">
        <v>3268</v>
      </c>
      <c r="DTE1" t="s">
        <v>3269</v>
      </c>
      <c r="DTF1" t="s">
        <v>3270</v>
      </c>
      <c r="DTG1" t="s">
        <v>3271</v>
      </c>
      <c r="DTH1" t="s">
        <v>3272</v>
      </c>
      <c r="DTI1" t="s">
        <v>3273</v>
      </c>
      <c r="DTJ1" t="s">
        <v>3274</v>
      </c>
      <c r="DTK1" t="s">
        <v>3275</v>
      </c>
      <c r="DTL1" t="s">
        <v>3276</v>
      </c>
      <c r="DTM1" t="s">
        <v>3277</v>
      </c>
      <c r="DTN1" t="s">
        <v>3278</v>
      </c>
      <c r="DTO1" t="s">
        <v>3279</v>
      </c>
      <c r="DTP1" t="s">
        <v>3280</v>
      </c>
      <c r="DTQ1" t="s">
        <v>3281</v>
      </c>
      <c r="DTR1" t="s">
        <v>3282</v>
      </c>
      <c r="DTS1" t="s">
        <v>3283</v>
      </c>
      <c r="DTT1" t="s">
        <v>3284</v>
      </c>
      <c r="DTU1" t="s">
        <v>3285</v>
      </c>
      <c r="DTV1" t="s">
        <v>3286</v>
      </c>
      <c r="DTW1" t="s">
        <v>3287</v>
      </c>
      <c r="DTX1" t="s">
        <v>3288</v>
      </c>
      <c r="DTY1" t="s">
        <v>3289</v>
      </c>
      <c r="DTZ1" t="s">
        <v>3290</v>
      </c>
      <c r="DUA1" t="s">
        <v>3291</v>
      </c>
      <c r="DUB1" t="s">
        <v>3292</v>
      </c>
      <c r="DUC1" t="s">
        <v>3293</v>
      </c>
      <c r="DUD1" t="s">
        <v>3294</v>
      </c>
      <c r="DUE1" t="s">
        <v>3295</v>
      </c>
      <c r="DUF1" t="s">
        <v>3296</v>
      </c>
      <c r="DUG1" t="s">
        <v>3297</v>
      </c>
      <c r="DUH1" t="s">
        <v>3298</v>
      </c>
      <c r="DUI1" t="s">
        <v>3299</v>
      </c>
      <c r="DUJ1" t="s">
        <v>3300</v>
      </c>
      <c r="DUK1" t="s">
        <v>3301</v>
      </c>
      <c r="DUL1" t="s">
        <v>3302</v>
      </c>
      <c r="DUM1" t="s">
        <v>3303</v>
      </c>
      <c r="DUN1" t="s">
        <v>3304</v>
      </c>
      <c r="DUO1" t="s">
        <v>3305</v>
      </c>
      <c r="DUP1" t="s">
        <v>3306</v>
      </c>
      <c r="DUQ1" t="s">
        <v>3307</v>
      </c>
      <c r="DUR1" t="s">
        <v>3308</v>
      </c>
      <c r="DUS1" t="s">
        <v>3309</v>
      </c>
      <c r="DUT1" t="s">
        <v>3310</v>
      </c>
      <c r="DUU1" t="s">
        <v>3311</v>
      </c>
      <c r="DUV1" t="s">
        <v>3312</v>
      </c>
      <c r="DUW1" t="s">
        <v>3313</v>
      </c>
      <c r="DUX1" t="s">
        <v>3314</v>
      </c>
      <c r="DUY1" t="s">
        <v>3315</v>
      </c>
      <c r="DUZ1" t="s">
        <v>3316</v>
      </c>
      <c r="DVA1" t="s">
        <v>3317</v>
      </c>
      <c r="DVB1" t="s">
        <v>3318</v>
      </c>
      <c r="DVC1" t="s">
        <v>3319</v>
      </c>
      <c r="DVD1" t="s">
        <v>3320</v>
      </c>
      <c r="DVE1" t="s">
        <v>3321</v>
      </c>
      <c r="DVF1" t="s">
        <v>3322</v>
      </c>
      <c r="DVG1" t="s">
        <v>3323</v>
      </c>
      <c r="DVH1" t="s">
        <v>3324</v>
      </c>
      <c r="DVI1" t="s">
        <v>3325</v>
      </c>
      <c r="DVJ1" t="s">
        <v>3326</v>
      </c>
      <c r="DVK1" t="s">
        <v>3327</v>
      </c>
      <c r="DVL1" t="s">
        <v>3328</v>
      </c>
      <c r="DVM1" t="s">
        <v>3329</v>
      </c>
      <c r="DVN1" t="s">
        <v>3330</v>
      </c>
      <c r="DVO1" t="s">
        <v>3331</v>
      </c>
      <c r="DVP1" t="s">
        <v>3332</v>
      </c>
      <c r="DVQ1" t="s">
        <v>3333</v>
      </c>
      <c r="DVR1" t="s">
        <v>3334</v>
      </c>
      <c r="DVS1" t="s">
        <v>3335</v>
      </c>
      <c r="DVT1" t="s">
        <v>3336</v>
      </c>
      <c r="DVU1" t="s">
        <v>3337</v>
      </c>
      <c r="DVV1" t="s">
        <v>3338</v>
      </c>
      <c r="DVW1" t="s">
        <v>3339</v>
      </c>
      <c r="DVX1" t="s">
        <v>3340</v>
      </c>
      <c r="DVY1" t="s">
        <v>3341</v>
      </c>
      <c r="DVZ1" t="s">
        <v>3342</v>
      </c>
      <c r="DWA1" t="s">
        <v>3343</v>
      </c>
      <c r="DWB1" t="s">
        <v>3344</v>
      </c>
      <c r="DWC1" t="s">
        <v>3345</v>
      </c>
      <c r="DWD1" t="s">
        <v>3346</v>
      </c>
      <c r="DWE1" t="s">
        <v>3347</v>
      </c>
      <c r="DWF1" t="s">
        <v>3348</v>
      </c>
      <c r="DWG1" t="s">
        <v>3349</v>
      </c>
      <c r="DWH1" t="s">
        <v>3350</v>
      </c>
      <c r="DWI1" t="s">
        <v>3351</v>
      </c>
      <c r="DWJ1" t="s">
        <v>3352</v>
      </c>
      <c r="DWK1" t="s">
        <v>3353</v>
      </c>
      <c r="DWL1" t="s">
        <v>3354</v>
      </c>
      <c r="DWM1" t="s">
        <v>3355</v>
      </c>
      <c r="DWN1" t="s">
        <v>3356</v>
      </c>
      <c r="DWO1" t="s">
        <v>3357</v>
      </c>
      <c r="DWP1" t="s">
        <v>3358</v>
      </c>
      <c r="DWQ1" t="s">
        <v>3359</v>
      </c>
      <c r="DWR1" t="s">
        <v>3360</v>
      </c>
      <c r="DWS1" t="s">
        <v>3361</v>
      </c>
      <c r="DWT1" t="s">
        <v>3362</v>
      </c>
      <c r="DWU1" t="s">
        <v>3363</v>
      </c>
      <c r="DWV1" t="s">
        <v>3364</v>
      </c>
      <c r="DWW1" t="s">
        <v>3365</v>
      </c>
      <c r="DWX1" t="s">
        <v>3366</v>
      </c>
      <c r="DWY1" t="s">
        <v>3367</v>
      </c>
      <c r="DWZ1" t="s">
        <v>3368</v>
      </c>
      <c r="DXA1" t="s">
        <v>3369</v>
      </c>
      <c r="DXB1" t="s">
        <v>3370</v>
      </c>
      <c r="DXC1" t="s">
        <v>3371</v>
      </c>
      <c r="DXD1" t="s">
        <v>3372</v>
      </c>
      <c r="DXE1" t="s">
        <v>3373</v>
      </c>
      <c r="DXF1" t="s">
        <v>3374</v>
      </c>
      <c r="DXG1" t="s">
        <v>3375</v>
      </c>
      <c r="DXH1" t="s">
        <v>3376</v>
      </c>
      <c r="DXI1" t="s">
        <v>3377</v>
      </c>
      <c r="DXJ1" t="s">
        <v>3378</v>
      </c>
      <c r="DXK1" t="s">
        <v>3379</v>
      </c>
      <c r="DXL1" t="s">
        <v>3380</v>
      </c>
      <c r="DXM1" t="s">
        <v>3381</v>
      </c>
      <c r="DXN1" t="s">
        <v>3382</v>
      </c>
      <c r="DXO1" t="s">
        <v>3383</v>
      </c>
      <c r="DXP1" t="s">
        <v>3384</v>
      </c>
      <c r="DXQ1" t="s">
        <v>3385</v>
      </c>
      <c r="DXR1" t="s">
        <v>3386</v>
      </c>
      <c r="DXS1" t="s">
        <v>3387</v>
      </c>
      <c r="DXT1" t="s">
        <v>3388</v>
      </c>
      <c r="DXU1" t="s">
        <v>3389</v>
      </c>
      <c r="DXV1" t="s">
        <v>3390</v>
      </c>
      <c r="DXW1" t="s">
        <v>3391</v>
      </c>
      <c r="DXX1" t="s">
        <v>3392</v>
      </c>
      <c r="DXY1" t="s">
        <v>3393</v>
      </c>
      <c r="DXZ1" t="s">
        <v>3394</v>
      </c>
      <c r="DYA1" t="s">
        <v>3395</v>
      </c>
      <c r="DYB1" t="s">
        <v>3396</v>
      </c>
      <c r="DYC1" t="s">
        <v>3397</v>
      </c>
      <c r="DYD1" t="s">
        <v>3398</v>
      </c>
      <c r="DYE1" t="s">
        <v>3399</v>
      </c>
      <c r="DYF1" t="s">
        <v>3400</v>
      </c>
      <c r="DYG1" t="s">
        <v>3401</v>
      </c>
      <c r="DYH1" t="s">
        <v>3402</v>
      </c>
      <c r="DYI1" t="s">
        <v>3403</v>
      </c>
      <c r="DYJ1" t="s">
        <v>3404</v>
      </c>
      <c r="DYK1" t="s">
        <v>3405</v>
      </c>
      <c r="DYL1" t="s">
        <v>3406</v>
      </c>
      <c r="DYM1" t="s">
        <v>3407</v>
      </c>
      <c r="DYN1" t="s">
        <v>3408</v>
      </c>
      <c r="DYO1" t="s">
        <v>3409</v>
      </c>
      <c r="DYP1" t="s">
        <v>3410</v>
      </c>
      <c r="DYQ1" t="s">
        <v>3411</v>
      </c>
      <c r="DYR1" t="s">
        <v>3412</v>
      </c>
      <c r="DYS1" t="s">
        <v>3413</v>
      </c>
      <c r="DYT1" t="s">
        <v>3414</v>
      </c>
      <c r="DYU1" t="s">
        <v>3415</v>
      </c>
      <c r="DYV1" t="s">
        <v>3416</v>
      </c>
      <c r="DYW1" t="s">
        <v>3417</v>
      </c>
      <c r="DYX1" t="s">
        <v>3418</v>
      </c>
      <c r="DYY1" t="s">
        <v>3419</v>
      </c>
      <c r="DYZ1" t="s">
        <v>3420</v>
      </c>
      <c r="DZA1" t="s">
        <v>3421</v>
      </c>
      <c r="DZB1" t="s">
        <v>3422</v>
      </c>
      <c r="DZC1" t="s">
        <v>3423</v>
      </c>
      <c r="DZD1" t="s">
        <v>3424</v>
      </c>
      <c r="DZE1" t="s">
        <v>3425</v>
      </c>
      <c r="DZF1" t="s">
        <v>3426</v>
      </c>
      <c r="DZG1" t="s">
        <v>3427</v>
      </c>
      <c r="DZH1" t="s">
        <v>3428</v>
      </c>
      <c r="DZI1" t="s">
        <v>3429</v>
      </c>
      <c r="DZJ1" t="s">
        <v>3430</v>
      </c>
      <c r="DZK1" t="s">
        <v>3431</v>
      </c>
      <c r="DZL1" t="s">
        <v>3432</v>
      </c>
      <c r="DZM1" t="s">
        <v>3433</v>
      </c>
      <c r="DZN1" t="s">
        <v>3434</v>
      </c>
      <c r="DZO1" t="s">
        <v>3435</v>
      </c>
      <c r="DZP1" t="s">
        <v>3436</v>
      </c>
      <c r="DZQ1" t="s">
        <v>3437</v>
      </c>
      <c r="DZR1" t="s">
        <v>3438</v>
      </c>
      <c r="DZS1" t="s">
        <v>3439</v>
      </c>
      <c r="DZT1" t="s">
        <v>3440</v>
      </c>
      <c r="DZU1" t="s">
        <v>3441</v>
      </c>
      <c r="DZV1" t="s">
        <v>3442</v>
      </c>
      <c r="DZW1" t="s">
        <v>3443</v>
      </c>
      <c r="DZX1" t="s">
        <v>3444</v>
      </c>
      <c r="DZY1" t="s">
        <v>3445</v>
      </c>
      <c r="DZZ1" t="s">
        <v>3446</v>
      </c>
      <c r="EAA1" t="s">
        <v>3447</v>
      </c>
      <c r="EAB1" t="s">
        <v>3448</v>
      </c>
      <c r="EAC1" t="s">
        <v>3449</v>
      </c>
      <c r="EAD1" t="s">
        <v>3450</v>
      </c>
      <c r="EAE1" t="s">
        <v>3451</v>
      </c>
      <c r="EAF1" t="s">
        <v>3452</v>
      </c>
      <c r="EAG1" t="s">
        <v>3453</v>
      </c>
      <c r="EAH1" t="s">
        <v>3454</v>
      </c>
      <c r="EAI1" t="s">
        <v>3455</v>
      </c>
      <c r="EAJ1" t="s">
        <v>3456</v>
      </c>
      <c r="EAK1" t="s">
        <v>3457</v>
      </c>
      <c r="EAL1" t="s">
        <v>3458</v>
      </c>
      <c r="EAM1" t="s">
        <v>3459</v>
      </c>
      <c r="EAN1" t="s">
        <v>3460</v>
      </c>
      <c r="EAO1" t="s">
        <v>3461</v>
      </c>
      <c r="EAP1" t="s">
        <v>3462</v>
      </c>
      <c r="EAQ1" t="s">
        <v>3463</v>
      </c>
      <c r="EAR1" t="s">
        <v>3464</v>
      </c>
      <c r="EAS1" t="s">
        <v>3465</v>
      </c>
      <c r="EAT1" t="s">
        <v>3466</v>
      </c>
      <c r="EAU1" t="s">
        <v>3467</v>
      </c>
      <c r="EAV1" t="s">
        <v>3468</v>
      </c>
      <c r="EAW1" t="s">
        <v>3469</v>
      </c>
      <c r="EAX1" t="s">
        <v>3470</v>
      </c>
      <c r="EAY1" t="s">
        <v>3471</v>
      </c>
      <c r="EAZ1" t="s">
        <v>3472</v>
      </c>
      <c r="EBA1" t="s">
        <v>3473</v>
      </c>
      <c r="EBB1" t="s">
        <v>3474</v>
      </c>
      <c r="EBC1" t="s">
        <v>3475</v>
      </c>
      <c r="EBD1" t="s">
        <v>3476</v>
      </c>
      <c r="EBE1" t="s">
        <v>3477</v>
      </c>
      <c r="EBF1" t="s">
        <v>3478</v>
      </c>
      <c r="EBG1" t="s">
        <v>3479</v>
      </c>
      <c r="EBH1" t="s">
        <v>3480</v>
      </c>
      <c r="EBI1" t="s">
        <v>3481</v>
      </c>
      <c r="EBJ1" t="s">
        <v>3482</v>
      </c>
      <c r="EBK1" t="s">
        <v>3483</v>
      </c>
      <c r="EBL1" t="s">
        <v>3484</v>
      </c>
      <c r="EBM1" t="s">
        <v>3485</v>
      </c>
      <c r="EBN1" t="s">
        <v>3486</v>
      </c>
      <c r="EBO1" t="s">
        <v>3487</v>
      </c>
      <c r="EBP1" t="s">
        <v>3488</v>
      </c>
      <c r="EBQ1" t="s">
        <v>3489</v>
      </c>
      <c r="EBR1" t="s">
        <v>3490</v>
      </c>
      <c r="EBS1" t="s">
        <v>3491</v>
      </c>
      <c r="EBT1" t="s">
        <v>3492</v>
      </c>
      <c r="EBU1" t="s">
        <v>3493</v>
      </c>
      <c r="EBV1" t="s">
        <v>3494</v>
      </c>
      <c r="EBW1" t="s">
        <v>3495</v>
      </c>
      <c r="EBX1" t="s">
        <v>3496</v>
      </c>
      <c r="EBY1" t="s">
        <v>3497</v>
      </c>
      <c r="EBZ1" t="s">
        <v>3498</v>
      </c>
      <c r="ECA1" t="s">
        <v>3499</v>
      </c>
      <c r="ECB1" t="s">
        <v>3500</v>
      </c>
      <c r="ECC1" t="s">
        <v>3501</v>
      </c>
      <c r="ECD1" t="s">
        <v>3502</v>
      </c>
      <c r="ECE1" t="s">
        <v>3503</v>
      </c>
      <c r="ECF1" t="s">
        <v>3504</v>
      </c>
      <c r="ECG1" t="s">
        <v>3505</v>
      </c>
      <c r="ECH1" t="s">
        <v>3506</v>
      </c>
      <c r="ECI1" t="s">
        <v>3507</v>
      </c>
      <c r="ECJ1" t="s">
        <v>3508</v>
      </c>
      <c r="ECK1" t="s">
        <v>3509</v>
      </c>
      <c r="ECL1" t="s">
        <v>3510</v>
      </c>
      <c r="ECM1" t="s">
        <v>3511</v>
      </c>
      <c r="ECN1" t="s">
        <v>3512</v>
      </c>
      <c r="ECO1" t="s">
        <v>3513</v>
      </c>
      <c r="ECP1" t="s">
        <v>3514</v>
      </c>
      <c r="ECQ1" t="s">
        <v>3515</v>
      </c>
      <c r="ECR1" t="s">
        <v>3516</v>
      </c>
      <c r="ECS1" t="s">
        <v>3517</v>
      </c>
      <c r="ECT1" t="s">
        <v>3518</v>
      </c>
      <c r="ECU1" t="s">
        <v>3519</v>
      </c>
      <c r="ECV1" t="s">
        <v>3520</v>
      </c>
      <c r="ECW1" t="s">
        <v>3521</v>
      </c>
      <c r="ECX1" t="s">
        <v>3522</v>
      </c>
      <c r="ECY1" t="s">
        <v>3523</v>
      </c>
      <c r="ECZ1" t="s">
        <v>3524</v>
      </c>
      <c r="EDA1" t="s">
        <v>3525</v>
      </c>
      <c r="EDB1" t="s">
        <v>3526</v>
      </c>
      <c r="EDC1" t="s">
        <v>3527</v>
      </c>
      <c r="EDD1" t="s">
        <v>3528</v>
      </c>
      <c r="EDE1" t="s">
        <v>3529</v>
      </c>
      <c r="EDF1" t="s">
        <v>3530</v>
      </c>
      <c r="EDG1" t="s">
        <v>3531</v>
      </c>
      <c r="EDH1" t="s">
        <v>3532</v>
      </c>
      <c r="EDI1" t="s">
        <v>3533</v>
      </c>
      <c r="EDJ1" t="s">
        <v>3534</v>
      </c>
      <c r="EDK1" t="s">
        <v>3535</v>
      </c>
      <c r="EDL1" t="s">
        <v>3536</v>
      </c>
      <c r="EDM1" t="s">
        <v>3537</v>
      </c>
      <c r="EDN1" t="s">
        <v>3538</v>
      </c>
      <c r="EDO1" t="s">
        <v>3539</v>
      </c>
      <c r="EDP1" t="s">
        <v>3540</v>
      </c>
      <c r="EDQ1" t="s">
        <v>3541</v>
      </c>
      <c r="EDR1" t="s">
        <v>3542</v>
      </c>
      <c r="EDS1" t="s">
        <v>3543</v>
      </c>
      <c r="EDT1" t="s">
        <v>3544</v>
      </c>
      <c r="EDU1" t="s">
        <v>3545</v>
      </c>
      <c r="EDV1" t="s">
        <v>3546</v>
      </c>
      <c r="EDW1" t="s">
        <v>3547</v>
      </c>
      <c r="EDX1" t="s">
        <v>3548</v>
      </c>
      <c r="EDY1" t="s">
        <v>3549</v>
      </c>
      <c r="EDZ1" t="s">
        <v>3550</v>
      </c>
      <c r="EEA1" t="s">
        <v>3551</v>
      </c>
      <c r="EEB1" t="s">
        <v>3552</v>
      </c>
      <c r="EEC1" t="s">
        <v>3553</v>
      </c>
      <c r="EED1" t="s">
        <v>3554</v>
      </c>
      <c r="EEE1" t="s">
        <v>3555</v>
      </c>
      <c r="EEF1" t="s">
        <v>3556</v>
      </c>
      <c r="EEG1" t="s">
        <v>3557</v>
      </c>
      <c r="EEH1" t="s">
        <v>3558</v>
      </c>
      <c r="EEI1" t="s">
        <v>3559</v>
      </c>
      <c r="EEJ1" t="s">
        <v>3560</v>
      </c>
      <c r="EEK1" t="s">
        <v>3561</v>
      </c>
      <c r="EEL1" t="s">
        <v>3562</v>
      </c>
      <c r="EEM1" t="s">
        <v>3563</v>
      </c>
      <c r="EEN1" t="s">
        <v>3564</v>
      </c>
      <c r="EEO1" t="s">
        <v>3565</v>
      </c>
      <c r="EEP1" t="s">
        <v>3566</v>
      </c>
      <c r="EEQ1" t="s">
        <v>3567</v>
      </c>
      <c r="EER1" t="s">
        <v>3568</v>
      </c>
      <c r="EES1" t="s">
        <v>3569</v>
      </c>
      <c r="EET1" t="s">
        <v>3570</v>
      </c>
      <c r="EEU1" t="s">
        <v>3571</v>
      </c>
      <c r="EEV1" t="s">
        <v>3572</v>
      </c>
      <c r="EEW1" t="s">
        <v>3573</v>
      </c>
      <c r="EEX1" t="s">
        <v>3574</v>
      </c>
      <c r="EEY1" t="s">
        <v>3575</v>
      </c>
      <c r="EEZ1" t="s">
        <v>3576</v>
      </c>
      <c r="EFA1" t="s">
        <v>3577</v>
      </c>
      <c r="EFB1" t="s">
        <v>3578</v>
      </c>
      <c r="EFC1" t="s">
        <v>3579</v>
      </c>
      <c r="EFD1" t="s">
        <v>3580</v>
      </c>
      <c r="EFE1" t="s">
        <v>3581</v>
      </c>
      <c r="EFF1" t="s">
        <v>3582</v>
      </c>
      <c r="EFG1" t="s">
        <v>3583</v>
      </c>
      <c r="EFH1" t="s">
        <v>3584</v>
      </c>
      <c r="EFI1" t="s">
        <v>3585</v>
      </c>
      <c r="EFJ1" t="s">
        <v>3586</v>
      </c>
      <c r="EFK1" t="s">
        <v>3587</v>
      </c>
      <c r="EFL1" t="s">
        <v>3588</v>
      </c>
      <c r="EFM1" t="s">
        <v>3589</v>
      </c>
      <c r="EFN1" t="s">
        <v>3590</v>
      </c>
      <c r="EFO1" t="s">
        <v>3591</v>
      </c>
      <c r="EFP1" t="s">
        <v>3592</v>
      </c>
      <c r="EFQ1" t="s">
        <v>3593</v>
      </c>
      <c r="EFR1" t="s">
        <v>3594</v>
      </c>
      <c r="EFS1" t="s">
        <v>3595</v>
      </c>
      <c r="EFT1" t="s">
        <v>3596</v>
      </c>
      <c r="EFU1" t="s">
        <v>3597</v>
      </c>
      <c r="EFV1" t="s">
        <v>3598</v>
      </c>
      <c r="EFW1" t="s">
        <v>3599</v>
      </c>
      <c r="EFX1" t="s">
        <v>3600</v>
      </c>
      <c r="EFY1" t="s">
        <v>3601</v>
      </c>
      <c r="EFZ1" t="s">
        <v>3602</v>
      </c>
      <c r="EGA1" t="s">
        <v>3603</v>
      </c>
      <c r="EGB1" t="s">
        <v>3604</v>
      </c>
      <c r="EGC1" t="s">
        <v>3605</v>
      </c>
      <c r="EGD1" t="s">
        <v>3606</v>
      </c>
      <c r="EGE1" t="s">
        <v>3607</v>
      </c>
      <c r="EGF1" t="s">
        <v>3608</v>
      </c>
      <c r="EGG1" t="s">
        <v>3609</v>
      </c>
      <c r="EGH1" t="s">
        <v>3610</v>
      </c>
      <c r="EGI1" t="s">
        <v>3611</v>
      </c>
      <c r="EGJ1" t="s">
        <v>3612</v>
      </c>
      <c r="EGK1" t="s">
        <v>3613</v>
      </c>
      <c r="EGL1" t="s">
        <v>3614</v>
      </c>
      <c r="EGM1" t="s">
        <v>3615</v>
      </c>
      <c r="EGN1" t="s">
        <v>3616</v>
      </c>
      <c r="EGO1" t="s">
        <v>3617</v>
      </c>
      <c r="EGP1" t="s">
        <v>3618</v>
      </c>
      <c r="EGQ1" t="s">
        <v>3619</v>
      </c>
      <c r="EGR1" t="s">
        <v>3620</v>
      </c>
      <c r="EGS1" t="s">
        <v>3621</v>
      </c>
      <c r="EGT1" t="s">
        <v>3622</v>
      </c>
      <c r="EGU1" t="s">
        <v>3623</v>
      </c>
      <c r="EGV1" t="s">
        <v>3624</v>
      </c>
      <c r="EGW1" t="s">
        <v>3625</v>
      </c>
      <c r="EGX1" t="s">
        <v>3626</v>
      </c>
      <c r="EGY1" t="s">
        <v>3627</v>
      </c>
      <c r="EGZ1" t="s">
        <v>3628</v>
      </c>
      <c r="EHA1" t="s">
        <v>3629</v>
      </c>
      <c r="EHB1" t="s">
        <v>3630</v>
      </c>
      <c r="EHC1" t="s">
        <v>3631</v>
      </c>
      <c r="EHD1" t="s">
        <v>3632</v>
      </c>
      <c r="EHE1" t="s">
        <v>3633</v>
      </c>
      <c r="EHF1" t="s">
        <v>3634</v>
      </c>
      <c r="EHG1" t="s">
        <v>3635</v>
      </c>
      <c r="EHH1" t="s">
        <v>3636</v>
      </c>
      <c r="EHI1" t="s">
        <v>3637</v>
      </c>
      <c r="EHJ1" t="s">
        <v>3638</v>
      </c>
      <c r="EHK1" t="s">
        <v>3639</v>
      </c>
      <c r="EHL1" t="s">
        <v>3640</v>
      </c>
      <c r="EHM1" t="s">
        <v>3641</v>
      </c>
      <c r="EHN1" t="s">
        <v>3642</v>
      </c>
      <c r="EHO1" t="s">
        <v>3643</v>
      </c>
      <c r="EHP1" t="s">
        <v>3644</v>
      </c>
      <c r="EHQ1" t="s">
        <v>3645</v>
      </c>
      <c r="EHR1" t="s">
        <v>3646</v>
      </c>
      <c r="EHS1" t="s">
        <v>3647</v>
      </c>
      <c r="EHT1" t="s">
        <v>3648</v>
      </c>
      <c r="EHU1" t="s">
        <v>3649</v>
      </c>
      <c r="EHV1" t="s">
        <v>3650</v>
      </c>
      <c r="EHW1" t="s">
        <v>3651</v>
      </c>
      <c r="EHX1" t="s">
        <v>3652</v>
      </c>
      <c r="EHY1" t="s">
        <v>3653</v>
      </c>
      <c r="EHZ1" t="s">
        <v>3654</v>
      </c>
      <c r="EIA1" t="s">
        <v>3655</v>
      </c>
      <c r="EIB1" t="s">
        <v>3656</v>
      </c>
      <c r="EIC1" t="s">
        <v>3657</v>
      </c>
      <c r="EID1" t="s">
        <v>3658</v>
      </c>
      <c r="EIE1" t="s">
        <v>3659</v>
      </c>
      <c r="EIF1" t="s">
        <v>3660</v>
      </c>
      <c r="EIG1" t="s">
        <v>3661</v>
      </c>
      <c r="EIH1" t="s">
        <v>3662</v>
      </c>
      <c r="EII1" t="s">
        <v>3663</v>
      </c>
      <c r="EIJ1" t="s">
        <v>3664</v>
      </c>
      <c r="EIK1" t="s">
        <v>3665</v>
      </c>
      <c r="EIL1" t="s">
        <v>3666</v>
      </c>
      <c r="EIM1" t="s">
        <v>3667</v>
      </c>
      <c r="EIN1" t="s">
        <v>3668</v>
      </c>
      <c r="EIO1" t="s">
        <v>3669</v>
      </c>
      <c r="EIP1" t="s">
        <v>3670</v>
      </c>
      <c r="EIQ1" t="s">
        <v>3671</v>
      </c>
      <c r="EIR1" t="s">
        <v>3672</v>
      </c>
      <c r="EIS1" t="s">
        <v>3673</v>
      </c>
      <c r="EIT1" t="s">
        <v>3674</v>
      </c>
      <c r="EIU1" t="s">
        <v>3675</v>
      </c>
      <c r="EIV1" t="s">
        <v>3676</v>
      </c>
      <c r="EIW1" t="s">
        <v>3677</v>
      </c>
      <c r="EIX1" t="s">
        <v>3678</v>
      </c>
      <c r="EIY1" t="s">
        <v>3679</v>
      </c>
      <c r="EIZ1" t="s">
        <v>3680</v>
      </c>
      <c r="EJA1" t="s">
        <v>3681</v>
      </c>
      <c r="EJB1" t="s">
        <v>3682</v>
      </c>
      <c r="EJC1" t="s">
        <v>3683</v>
      </c>
      <c r="EJD1" t="s">
        <v>3684</v>
      </c>
      <c r="EJE1" t="s">
        <v>3685</v>
      </c>
      <c r="EJF1" t="s">
        <v>3686</v>
      </c>
      <c r="EJG1" t="s">
        <v>3687</v>
      </c>
      <c r="EJH1" t="s">
        <v>3688</v>
      </c>
      <c r="EJI1" t="s">
        <v>3689</v>
      </c>
      <c r="EJJ1" t="s">
        <v>3690</v>
      </c>
      <c r="EJK1" t="s">
        <v>3691</v>
      </c>
      <c r="EJL1" t="s">
        <v>3692</v>
      </c>
      <c r="EJM1" t="s">
        <v>3693</v>
      </c>
      <c r="EJN1" t="s">
        <v>3694</v>
      </c>
      <c r="EJO1" t="s">
        <v>3695</v>
      </c>
      <c r="EJP1" t="s">
        <v>3696</v>
      </c>
      <c r="EJQ1" t="s">
        <v>3697</v>
      </c>
      <c r="EJR1" t="s">
        <v>3698</v>
      </c>
      <c r="EJS1" t="s">
        <v>3699</v>
      </c>
      <c r="EJT1" t="s">
        <v>3700</v>
      </c>
      <c r="EJU1" t="s">
        <v>3701</v>
      </c>
      <c r="EJV1" t="s">
        <v>3702</v>
      </c>
      <c r="EJW1" t="s">
        <v>3703</v>
      </c>
      <c r="EJX1" t="s">
        <v>3704</v>
      </c>
      <c r="EJY1" t="s">
        <v>3705</v>
      </c>
      <c r="EJZ1" t="s">
        <v>3706</v>
      </c>
      <c r="EKA1" t="s">
        <v>3707</v>
      </c>
      <c r="EKB1" t="s">
        <v>3708</v>
      </c>
      <c r="EKC1" t="s">
        <v>3709</v>
      </c>
      <c r="EKD1" t="s">
        <v>3710</v>
      </c>
      <c r="EKE1" t="s">
        <v>3711</v>
      </c>
      <c r="EKF1" t="s">
        <v>3712</v>
      </c>
      <c r="EKG1" t="s">
        <v>3713</v>
      </c>
      <c r="EKH1" t="s">
        <v>3714</v>
      </c>
      <c r="EKI1" t="s">
        <v>3715</v>
      </c>
      <c r="EKJ1" t="s">
        <v>3716</v>
      </c>
      <c r="EKK1" t="s">
        <v>3717</v>
      </c>
      <c r="EKL1" t="s">
        <v>3718</v>
      </c>
      <c r="EKM1" t="s">
        <v>3719</v>
      </c>
      <c r="EKN1" t="s">
        <v>3720</v>
      </c>
      <c r="EKO1" t="s">
        <v>3721</v>
      </c>
      <c r="EKP1" t="s">
        <v>3722</v>
      </c>
      <c r="EKQ1" t="s">
        <v>3723</v>
      </c>
      <c r="EKR1" t="s">
        <v>3724</v>
      </c>
      <c r="EKS1" t="s">
        <v>3725</v>
      </c>
      <c r="EKT1" t="s">
        <v>3726</v>
      </c>
      <c r="EKU1" t="s">
        <v>3727</v>
      </c>
      <c r="EKV1" t="s">
        <v>3728</v>
      </c>
      <c r="EKW1" t="s">
        <v>3729</v>
      </c>
      <c r="EKX1" t="s">
        <v>3730</v>
      </c>
      <c r="EKY1" t="s">
        <v>3731</v>
      </c>
      <c r="EKZ1" t="s">
        <v>3732</v>
      </c>
      <c r="ELA1" t="s">
        <v>3733</v>
      </c>
      <c r="ELB1" t="s">
        <v>3734</v>
      </c>
      <c r="ELC1" t="s">
        <v>3735</v>
      </c>
      <c r="ELD1" t="s">
        <v>3736</v>
      </c>
      <c r="ELE1" t="s">
        <v>3737</v>
      </c>
      <c r="ELF1" t="s">
        <v>3738</v>
      </c>
      <c r="ELG1" t="s">
        <v>3739</v>
      </c>
      <c r="ELH1" t="s">
        <v>3740</v>
      </c>
      <c r="ELI1" t="s">
        <v>3741</v>
      </c>
      <c r="ELJ1" t="s">
        <v>3742</v>
      </c>
      <c r="ELK1" t="s">
        <v>3743</v>
      </c>
      <c r="ELL1" t="s">
        <v>3744</v>
      </c>
      <c r="ELM1" t="s">
        <v>3745</v>
      </c>
      <c r="ELN1" t="s">
        <v>3746</v>
      </c>
      <c r="ELO1" t="s">
        <v>3747</v>
      </c>
      <c r="ELP1" t="s">
        <v>3748</v>
      </c>
      <c r="ELQ1" t="s">
        <v>3749</v>
      </c>
      <c r="ELR1" t="s">
        <v>3750</v>
      </c>
      <c r="ELS1" t="s">
        <v>3751</v>
      </c>
      <c r="ELT1" t="s">
        <v>3752</v>
      </c>
      <c r="ELU1" t="s">
        <v>3753</v>
      </c>
      <c r="ELV1" t="s">
        <v>3754</v>
      </c>
      <c r="ELW1" t="s">
        <v>3755</v>
      </c>
      <c r="ELX1" t="s">
        <v>3756</v>
      </c>
      <c r="ELY1" t="s">
        <v>3757</v>
      </c>
      <c r="ELZ1" t="s">
        <v>3758</v>
      </c>
      <c r="EMA1" t="s">
        <v>3759</v>
      </c>
      <c r="EMB1" t="s">
        <v>3760</v>
      </c>
      <c r="EMC1" t="s">
        <v>3761</v>
      </c>
      <c r="EMD1" t="s">
        <v>3762</v>
      </c>
      <c r="EME1" t="s">
        <v>3763</v>
      </c>
      <c r="EMF1" t="s">
        <v>3764</v>
      </c>
      <c r="EMG1" t="s">
        <v>3765</v>
      </c>
      <c r="EMH1" t="s">
        <v>3766</v>
      </c>
      <c r="EMI1" t="s">
        <v>3767</v>
      </c>
      <c r="EMJ1" t="s">
        <v>3768</v>
      </c>
      <c r="EMK1" t="s">
        <v>3769</v>
      </c>
      <c r="EML1" t="s">
        <v>3770</v>
      </c>
      <c r="EMM1" t="s">
        <v>3771</v>
      </c>
      <c r="EMN1" t="s">
        <v>3772</v>
      </c>
      <c r="EMO1" t="s">
        <v>3773</v>
      </c>
      <c r="EMP1" t="s">
        <v>3774</v>
      </c>
      <c r="EMQ1" t="s">
        <v>3775</v>
      </c>
      <c r="EMR1" t="s">
        <v>3776</v>
      </c>
      <c r="EMS1" t="s">
        <v>3777</v>
      </c>
      <c r="EMT1" t="s">
        <v>3778</v>
      </c>
      <c r="EMU1" t="s">
        <v>3779</v>
      </c>
      <c r="EMV1" t="s">
        <v>3780</v>
      </c>
      <c r="EMW1" t="s">
        <v>3781</v>
      </c>
      <c r="EMX1" t="s">
        <v>3782</v>
      </c>
      <c r="EMY1" t="s">
        <v>3783</v>
      </c>
      <c r="EMZ1" t="s">
        <v>3784</v>
      </c>
      <c r="ENA1" t="s">
        <v>3785</v>
      </c>
      <c r="ENB1" t="s">
        <v>3786</v>
      </c>
      <c r="ENC1" t="s">
        <v>3787</v>
      </c>
      <c r="END1" t="s">
        <v>3788</v>
      </c>
      <c r="ENE1" t="s">
        <v>3789</v>
      </c>
      <c r="ENF1" t="s">
        <v>3790</v>
      </c>
      <c r="ENG1" t="s">
        <v>3791</v>
      </c>
      <c r="ENH1" t="s">
        <v>3792</v>
      </c>
      <c r="ENI1" t="s">
        <v>3793</v>
      </c>
      <c r="ENJ1" t="s">
        <v>3794</v>
      </c>
      <c r="ENK1" t="s">
        <v>3795</v>
      </c>
      <c r="ENL1" t="s">
        <v>3796</v>
      </c>
      <c r="ENM1" t="s">
        <v>3797</v>
      </c>
      <c r="ENN1" t="s">
        <v>3798</v>
      </c>
      <c r="ENO1" t="s">
        <v>3799</v>
      </c>
      <c r="ENP1" t="s">
        <v>3800</v>
      </c>
      <c r="ENQ1" t="s">
        <v>3801</v>
      </c>
      <c r="ENR1" t="s">
        <v>3802</v>
      </c>
      <c r="ENS1" t="s">
        <v>3803</v>
      </c>
      <c r="ENT1" t="s">
        <v>3804</v>
      </c>
      <c r="ENU1" t="s">
        <v>3805</v>
      </c>
      <c r="ENV1" t="s">
        <v>3806</v>
      </c>
      <c r="ENW1" t="s">
        <v>3807</v>
      </c>
      <c r="ENX1" t="s">
        <v>3808</v>
      </c>
      <c r="ENY1" t="s">
        <v>3809</v>
      </c>
      <c r="ENZ1" t="s">
        <v>3810</v>
      </c>
      <c r="EOA1" t="s">
        <v>3811</v>
      </c>
      <c r="EOB1" t="s">
        <v>3812</v>
      </c>
      <c r="EOC1" t="s">
        <v>3813</v>
      </c>
      <c r="EOD1" t="s">
        <v>3814</v>
      </c>
      <c r="EOE1" t="s">
        <v>3815</v>
      </c>
      <c r="EOF1" t="s">
        <v>3816</v>
      </c>
      <c r="EOG1" t="s">
        <v>3817</v>
      </c>
      <c r="EOH1" t="s">
        <v>3818</v>
      </c>
      <c r="EOI1" t="s">
        <v>3819</v>
      </c>
      <c r="EOJ1" t="s">
        <v>3820</v>
      </c>
      <c r="EOK1" t="s">
        <v>3821</v>
      </c>
      <c r="EOL1" t="s">
        <v>3822</v>
      </c>
      <c r="EOM1" t="s">
        <v>3823</v>
      </c>
      <c r="EON1" t="s">
        <v>3824</v>
      </c>
      <c r="EOO1" t="s">
        <v>3825</v>
      </c>
      <c r="EOP1" t="s">
        <v>3826</v>
      </c>
      <c r="EOQ1" t="s">
        <v>3827</v>
      </c>
      <c r="EOR1" t="s">
        <v>3828</v>
      </c>
      <c r="EOS1" t="s">
        <v>3829</v>
      </c>
      <c r="EOT1" t="s">
        <v>3830</v>
      </c>
      <c r="EOU1" t="s">
        <v>3831</v>
      </c>
      <c r="EOV1" t="s">
        <v>3832</v>
      </c>
      <c r="EOW1" t="s">
        <v>3833</v>
      </c>
      <c r="EOX1" t="s">
        <v>3834</v>
      </c>
      <c r="EOY1" t="s">
        <v>3835</v>
      </c>
      <c r="EOZ1" t="s">
        <v>3836</v>
      </c>
      <c r="EPA1" t="s">
        <v>3837</v>
      </c>
      <c r="EPB1" t="s">
        <v>3838</v>
      </c>
      <c r="EPC1" t="s">
        <v>3839</v>
      </c>
      <c r="EPD1" t="s">
        <v>3840</v>
      </c>
      <c r="EPE1" t="s">
        <v>3841</v>
      </c>
      <c r="EPF1" t="s">
        <v>3842</v>
      </c>
      <c r="EPG1" t="s">
        <v>3843</v>
      </c>
      <c r="EPH1" t="s">
        <v>3844</v>
      </c>
      <c r="EPI1" t="s">
        <v>3845</v>
      </c>
      <c r="EPJ1" t="s">
        <v>3846</v>
      </c>
      <c r="EPK1" t="s">
        <v>3847</v>
      </c>
      <c r="EPL1" t="s">
        <v>3848</v>
      </c>
      <c r="EPM1" t="s">
        <v>3849</v>
      </c>
      <c r="EPN1" t="s">
        <v>3850</v>
      </c>
      <c r="EPO1" t="s">
        <v>3851</v>
      </c>
      <c r="EPP1" t="s">
        <v>3852</v>
      </c>
      <c r="EPQ1" t="s">
        <v>3853</v>
      </c>
      <c r="EPR1" t="s">
        <v>3854</v>
      </c>
      <c r="EPS1" t="s">
        <v>3855</v>
      </c>
      <c r="EPT1" t="s">
        <v>3856</v>
      </c>
      <c r="EPU1" t="s">
        <v>3857</v>
      </c>
      <c r="EPV1" t="s">
        <v>3858</v>
      </c>
      <c r="EPW1" t="s">
        <v>3859</v>
      </c>
      <c r="EPX1" t="s">
        <v>3860</v>
      </c>
      <c r="EPY1" t="s">
        <v>3861</v>
      </c>
      <c r="EPZ1" t="s">
        <v>3862</v>
      </c>
      <c r="EQA1" t="s">
        <v>3863</v>
      </c>
      <c r="EQB1" t="s">
        <v>3864</v>
      </c>
      <c r="EQC1" t="s">
        <v>3865</v>
      </c>
      <c r="EQD1" t="s">
        <v>3866</v>
      </c>
      <c r="EQE1" t="s">
        <v>3867</v>
      </c>
      <c r="EQF1" t="s">
        <v>3868</v>
      </c>
      <c r="EQG1" t="s">
        <v>3869</v>
      </c>
      <c r="EQH1" t="s">
        <v>3870</v>
      </c>
      <c r="EQI1" t="s">
        <v>3871</v>
      </c>
      <c r="EQJ1" t="s">
        <v>3872</v>
      </c>
      <c r="EQK1" t="s">
        <v>3873</v>
      </c>
      <c r="EQL1" t="s">
        <v>3874</v>
      </c>
      <c r="EQM1" t="s">
        <v>3875</v>
      </c>
      <c r="EQN1" t="s">
        <v>3876</v>
      </c>
      <c r="EQO1" t="s">
        <v>3877</v>
      </c>
      <c r="EQP1" t="s">
        <v>3878</v>
      </c>
      <c r="EQQ1" t="s">
        <v>3879</v>
      </c>
      <c r="EQR1" t="s">
        <v>3880</v>
      </c>
      <c r="EQS1" t="s">
        <v>3881</v>
      </c>
      <c r="EQT1" t="s">
        <v>3882</v>
      </c>
      <c r="EQU1" t="s">
        <v>3883</v>
      </c>
      <c r="EQV1" t="s">
        <v>3884</v>
      </c>
      <c r="EQW1" t="s">
        <v>3885</v>
      </c>
      <c r="EQX1" t="s">
        <v>3886</v>
      </c>
      <c r="EQY1" t="s">
        <v>3887</v>
      </c>
      <c r="EQZ1" t="s">
        <v>3888</v>
      </c>
      <c r="ERA1" t="s">
        <v>3889</v>
      </c>
      <c r="ERB1" t="s">
        <v>3890</v>
      </c>
      <c r="ERC1" t="s">
        <v>3891</v>
      </c>
      <c r="ERD1" t="s">
        <v>3892</v>
      </c>
      <c r="ERE1" t="s">
        <v>3893</v>
      </c>
      <c r="ERF1" t="s">
        <v>3894</v>
      </c>
      <c r="ERG1" t="s">
        <v>3895</v>
      </c>
      <c r="ERH1" t="s">
        <v>3896</v>
      </c>
      <c r="ERI1" t="s">
        <v>3897</v>
      </c>
      <c r="ERJ1" t="s">
        <v>3898</v>
      </c>
      <c r="ERK1" t="s">
        <v>3899</v>
      </c>
      <c r="ERL1" t="s">
        <v>3900</v>
      </c>
      <c r="ERM1" t="s">
        <v>3901</v>
      </c>
      <c r="ERN1" t="s">
        <v>3902</v>
      </c>
      <c r="ERO1" t="s">
        <v>3903</v>
      </c>
      <c r="ERP1" t="s">
        <v>3904</v>
      </c>
      <c r="ERQ1" t="s">
        <v>3905</v>
      </c>
      <c r="ERR1" t="s">
        <v>3906</v>
      </c>
      <c r="ERS1" t="s">
        <v>3907</v>
      </c>
      <c r="ERT1" t="s">
        <v>3908</v>
      </c>
      <c r="ERU1" t="s">
        <v>3909</v>
      </c>
      <c r="ERV1" t="s">
        <v>3910</v>
      </c>
      <c r="ERW1" t="s">
        <v>3911</v>
      </c>
      <c r="ERX1" t="s">
        <v>3912</v>
      </c>
      <c r="ERY1" t="s">
        <v>3913</v>
      </c>
      <c r="ERZ1" t="s">
        <v>3914</v>
      </c>
      <c r="ESA1" t="s">
        <v>3915</v>
      </c>
      <c r="ESB1" t="s">
        <v>3916</v>
      </c>
      <c r="ESC1" t="s">
        <v>3917</v>
      </c>
      <c r="ESD1" t="s">
        <v>3918</v>
      </c>
      <c r="ESE1" t="s">
        <v>3919</v>
      </c>
      <c r="ESF1" t="s">
        <v>3920</v>
      </c>
      <c r="ESG1" t="s">
        <v>3921</v>
      </c>
      <c r="ESH1" t="s">
        <v>3922</v>
      </c>
      <c r="ESI1" t="s">
        <v>3923</v>
      </c>
      <c r="ESJ1" t="s">
        <v>3924</v>
      </c>
      <c r="ESK1" t="s">
        <v>3925</v>
      </c>
      <c r="ESL1" t="s">
        <v>3926</v>
      </c>
      <c r="ESM1" t="s">
        <v>3927</v>
      </c>
      <c r="ESN1" t="s">
        <v>3928</v>
      </c>
      <c r="ESO1" t="s">
        <v>3929</v>
      </c>
      <c r="ESP1" t="s">
        <v>3930</v>
      </c>
      <c r="ESQ1" t="s">
        <v>3931</v>
      </c>
      <c r="ESR1" t="s">
        <v>3932</v>
      </c>
      <c r="ESS1" t="s">
        <v>3933</v>
      </c>
      <c r="EST1" t="s">
        <v>3934</v>
      </c>
      <c r="ESU1" t="s">
        <v>3935</v>
      </c>
      <c r="ESV1" t="s">
        <v>3936</v>
      </c>
      <c r="ESW1" t="s">
        <v>3937</v>
      </c>
      <c r="ESX1" t="s">
        <v>3938</v>
      </c>
      <c r="ESY1" t="s">
        <v>3939</v>
      </c>
      <c r="ESZ1" t="s">
        <v>3940</v>
      </c>
      <c r="ETA1" t="s">
        <v>3941</v>
      </c>
      <c r="ETB1" t="s">
        <v>3942</v>
      </c>
      <c r="ETC1" t="s">
        <v>3943</v>
      </c>
      <c r="ETD1" t="s">
        <v>3944</v>
      </c>
      <c r="ETE1" t="s">
        <v>3945</v>
      </c>
      <c r="ETF1" t="s">
        <v>3946</v>
      </c>
      <c r="ETG1" t="s">
        <v>3947</v>
      </c>
      <c r="ETH1" t="s">
        <v>3948</v>
      </c>
      <c r="ETI1" t="s">
        <v>3949</v>
      </c>
      <c r="ETJ1" t="s">
        <v>3950</v>
      </c>
      <c r="ETK1" t="s">
        <v>3951</v>
      </c>
      <c r="ETL1" t="s">
        <v>3952</v>
      </c>
      <c r="ETM1" t="s">
        <v>3953</v>
      </c>
      <c r="ETN1" t="s">
        <v>3954</v>
      </c>
      <c r="ETO1" t="s">
        <v>3955</v>
      </c>
      <c r="ETP1" t="s">
        <v>3956</v>
      </c>
      <c r="ETQ1" t="s">
        <v>3957</v>
      </c>
      <c r="ETR1" t="s">
        <v>3958</v>
      </c>
      <c r="ETS1" t="s">
        <v>3959</v>
      </c>
      <c r="ETT1" t="s">
        <v>3960</v>
      </c>
      <c r="ETU1" t="s">
        <v>3961</v>
      </c>
      <c r="ETV1" t="s">
        <v>3962</v>
      </c>
      <c r="ETW1" t="s">
        <v>3963</v>
      </c>
      <c r="ETX1" t="s">
        <v>3964</v>
      </c>
      <c r="ETY1" t="s">
        <v>3965</v>
      </c>
      <c r="ETZ1" t="s">
        <v>3966</v>
      </c>
      <c r="EUA1" t="s">
        <v>3967</v>
      </c>
      <c r="EUB1" t="s">
        <v>3968</v>
      </c>
      <c r="EUC1" t="s">
        <v>3969</v>
      </c>
      <c r="EUD1" t="s">
        <v>3970</v>
      </c>
      <c r="EUE1" t="s">
        <v>3971</v>
      </c>
      <c r="EUF1" t="s">
        <v>3972</v>
      </c>
      <c r="EUG1" t="s">
        <v>3973</v>
      </c>
      <c r="EUH1" t="s">
        <v>3974</v>
      </c>
      <c r="EUI1" t="s">
        <v>3975</v>
      </c>
      <c r="EUJ1" t="s">
        <v>3976</v>
      </c>
      <c r="EUK1" t="s">
        <v>3977</v>
      </c>
      <c r="EUL1" t="s">
        <v>3978</v>
      </c>
      <c r="EUM1" t="s">
        <v>3979</v>
      </c>
      <c r="EUN1" t="s">
        <v>3980</v>
      </c>
      <c r="EUO1" t="s">
        <v>3981</v>
      </c>
      <c r="EUP1" t="s">
        <v>3982</v>
      </c>
      <c r="EUQ1" t="s">
        <v>3983</v>
      </c>
      <c r="EUR1" t="s">
        <v>3984</v>
      </c>
      <c r="EUS1" t="s">
        <v>3985</v>
      </c>
      <c r="EUT1" t="s">
        <v>3986</v>
      </c>
      <c r="EUU1" t="s">
        <v>3987</v>
      </c>
      <c r="EUV1" t="s">
        <v>3988</v>
      </c>
      <c r="EUW1" t="s">
        <v>3989</v>
      </c>
      <c r="EUX1" t="s">
        <v>3990</v>
      </c>
      <c r="EUY1" t="s">
        <v>3991</v>
      </c>
      <c r="EUZ1" t="s">
        <v>3992</v>
      </c>
      <c r="EVA1" t="s">
        <v>3993</v>
      </c>
      <c r="EVB1" t="s">
        <v>3994</v>
      </c>
      <c r="EVC1" t="s">
        <v>3995</v>
      </c>
      <c r="EVD1" t="s">
        <v>3996</v>
      </c>
      <c r="EVE1" t="s">
        <v>3997</v>
      </c>
      <c r="EVF1" t="s">
        <v>3998</v>
      </c>
      <c r="EVG1" t="s">
        <v>3999</v>
      </c>
      <c r="EVH1" t="s">
        <v>4000</v>
      </c>
      <c r="EVI1" t="s">
        <v>4001</v>
      </c>
      <c r="EVJ1" t="s">
        <v>4002</v>
      </c>
      <c r="EVK1" t="s">
        <v>4003</v>
      </c>
      <c r="EVL1" t="s">
        <v>4004</v>
      </c>
      <c r="EVM1" t="s">
        <v>4005</v>
      </c>
      <c r="EVN1" t="s">
        <v>4006</v>
      </c>
      <c r="EVO1" t="s">
        <v>4007</v>
      </c>
      <c r="EVP1" t="s">
        <v>4008</v>
      </c>
      <c r="EVQ1" t="s">
        <v>4009</v>
      </c>
      <c r="EVR1" t="s">
        <v>4010</v>
      </c>
      <c r="EVS1" t="s">
        <v>4011</v>
      </c>
      <c r="EVT1" t="s">
        <v>4012</v>
      </c>
      <c r="EVU1" t="s">
        <v>4013</v>
      </c>
      <c r="EVV1" t="s">
        <v>4014</v>
      </c>
      <c r="EVW1" t="s">
        <v>4015</v>
      </c>
      <c r="EVX1" t="s">
        <v>4016</v>
      </c>
      <c r="EVY1" t="s">
        <v>4017</v>
      </c>
      <c r="EVZ1" t="s">
        <v>4018</v>
      </c>
      <c r="EWA1" t="s">
        <v>4019</v>
      </c>
      <c r="EWB1" t="s">
        <v>4020</v>
      </c>
      <c r="EWC1" t="s">
        <v>4021</v>
      </c>
      <c r="EWD1" t="s">
        <v>4022</v>
      </c>
      <c r="EWE1" t="s">
        <v>4023</v>
      </c>
      <c r="EWF1" t="s">
        <v>4024</v>
      </c>
      <c r="EWG1" t="s">
        <v>4025</v>
      </c>
      <c r="EWH1" t="s">
        <v>4026</v>
      </c>
      <c r="EWI1" t="s">
        <v>4027</v>
      </c>
      <c r="EWJ1" t="s">
        <v>4028</v>
      </c>
      <c r="EWK1" t="s">
        <v>4029</v>
      </c>
      <c r="EWL1" t="s">
        <v>4030</v>
      </c>
      <c r="EWM1" t="s">
        <v>4031</v>
      </c>
      <c r="EWN1" t="s">
        <v>4032</v>
      </c>
      <c r="EWO1" t="s">
        <v>4033</v>
      </c>
      <c r="EWP1" t="s">
        <v>4034</v>
      </c>
      <c r="EWQ1" t="s">
        <v>4035</v>
      </c>
      <c r="EWR1" t="s">
        <v>4036</v>
      </c>
      <c r="EWS1" t="s">
        <v>4037</v>
      </c>
      <c r="EWT1" t="s">
        <v>4038</v>
      </c>
      <c r="EWU1" t="s">
        <v>4039</v>
      </c>
      <c r="EWV1" t="s">
        <v>4040</v>
      </c>
      <c r="EWW1" t="s">
        <v>4041</v>
      </c>
      <c r="EWX1" t="s">
        <v>4042</v>
      </c>
      <c r="EWY1" t="s">
        <v>4043</v>
      </c>
      <c r="EWZ1" t="s">
        <v>4044</v>
      </c>
      <c r="EXA1" t="s">
        <v>4045</v>
      </c>
      <c r="EXB1" t="s">
        <v>4046</v>
      </c>
      <c r="EXC1" t="s">
        <v>4047</v>
      </c>
      <c r="EXD1" t="s">
        <v>4048</v>
      </c>
      <c r="EXE1" t="s">
        <v>4049</v>
      </c>
      <c r="EXF1" t="s">
        <v>4050</v>
      </c>
      <c r="EXG1" t="s">
        <v>4051</v>
      </c>
      <c r="EXH1" t="s">
        <v>4052</v>
      </c>
      <c r="EXI1" t="s">
        <v>4053</v>
      </c>
      <c r="EXJ1" t="s">
        <v>4054</v>
      </c>
      <c r="EXK1" t="s">
        <v>4055</v>
      </c>
      <c r="EXL1" t="s">
        <v>4056</v>
      </c>
      <c r="EXM1" t="s">
        <v>4057</v>
      </c>
      <c r="EXN1" t="s">
        <v>4058</v>
      </c>
      <c r="EXO1" t="s">
        <v>4059</v>
      </c>
      <c r="EXP1" t="s">
        <v>4060</v>
      </c>
      <c r="EXQ1" t="s">
        <v>4061</v>
      </c>
      <c r="EXR1" t="s">
        <v>4062</v>
      </c>
      <c r="EXS1" t="s">
        <v>4063</v>
      </c>
      <c r="EXT1" t="s">
        <v>4064</v>
      </c>
      <c r="EXU1" t="s">
        <v>4065</v>
      </c>
      <c r="EXV1" t="s">
        <v>4066</v>
      </c>
      <c r="EXW1" t="s">
        <v>4067</v>
      </c>
      <c r="EXX1" t="s">
        <v>4068</v>
      </c>
      <c r="EXY1" t="s">
        <v>4069</v>
      </c>
      <c r="EXZ1" t="s">
        <v>4070</v>
      </c>
      <c r="EYA1" t="s">
        <v>4071</v>
      </c>
      <c r="EYB1" t="s">
        <v>4072</v>
      </c>
      <c r="EYC1" t="s">
        <v>4073</v>
      </c>
      <c r="EYD1" t="s">
        <v>4074</v>
      </c>
      <c r="EYE1" t="s">
        <v>4075</v>
      </c>
      <c r="EYF1" t="s">
        <v>4076</v>
      </c>
      <c r="EYG1" t="s">
        <v>4077</v>
      </c>
      <c r="EYH1" t="s">
        <v>4078</v>
      </c>
      <c r="EYI1" t="s">
        <v>4079</v>
      </c>
      <c r="EYJ1" t="s">
        <v>4080</v>
      </c>
      <c r="EYK1" t="s">
        <v>4081</v>
      </c>
      <c r="EYL1" t="s">
        <v>4082</v>
      </c>
      <c r="EYM1" t="s">
        <v>4083</v>
      </c>
      <c r="EYN1" t="s">
        <v>4084</v>
      </c>
      <c r="EYO1" t="s">
        <v>4085</v>
      </c>
      <c r="EYP1" t="s">
        <v>4086</v>
      </c>
      <c r="EYQ1" t="s">
        <v>4087</v>
      </c>
      <c r="EYR1" t="s">
        <v>4088</v>
      </c>
      <c r="EYS1" t="s">
        <v>4089</v>
      </c>
      <c r="EYT1" t="s">
        <v>4090</v>
      </c>
      <c r="EYU1" t="s">
        <v>4091</v>
      </c>
      <c r="EYV1" t="s">
        <v>4092</v>
      </c>
      <c r="EYW1" t="s">
        <v>4093</v>
      </c>
      <c r="EYX1" t="s">
        <v>4094</v>
      </c>
      <c r="EYY1" t="s">
        <v>4095</v>
      </c>
      <c r="EYZ1" t="s">
        <v>4096</v>
      </c>
      <c r="EZA1" t="s">
        <v>4097</v>
      </c>
      <c r="EZB1" t="s">
        <v>4098</v>
      </c>
      <c r="EZC1" t="s">
        <v>4099</v>
      </c>
      <c r="EZD1" t="s">
        <v>4100</v>
      </c>
      <c r="EZE1" t="s">
        <v>4101</v>
      </c>
      <c r="EZF1" t="s">
        <v>4102</v>
      </c>
      <c r="EZG1" t="s">
        <v>4103</v>
      </c>
      <c r="EZH1" t="s">
        <v>4104</v>
      </c>
      <c r="EZI1" t="s">
        <v>4105</v>
      </c>
      <c r="EZJ1" t="s">
        <v>4106</v>
      </c>
      <c r="EZK1" t="s">
        <v>4107</v>
      </c>
      <c r="EZL1" t="s">
        <v>4108</v>
      </c>
      <c r="EZM1" t="s">
        <v>4109</v>
      </c>
      <c r="EZN1" t="s">
        <v>4110</v>
      </c>
      <c r="EZO1" t="s">
        <v>4111</v>
      </c>
      <c r="EZP1" t="s">
        <v>4112</v>
      </c>
      <c r="EZQ1" t="s">
        <v>4113</v>
      </c>
      <c r="EZR1" t="s">
        <v>4114</v>
      </c>
      <c r="EZS1" t="s">
        <v>4115</v>
      </c>
      <c r="EZT1" t="s">
        <v>4116</v>
      </c>
      <c r="EZU1" t="s">
        <v>4117</v>
      </c>
      <c r="EZV1" t="s">
        <v>4118</v>
      </c>
      <c r="EZW1" t="s">
        <v>4119</v>
      </c>
      <c r="EZX1" t="s">
        <v>4120</v>
      </c>
      <c r="EZY1" t="s">
        <v>4121</v>
      </c>
      <c r="EZZ1" t="s">
        <v>4122</v>
      </c>
      <c r="FAA1" t="s">
        <v>4123</v>
      </c>
      <c r="FAB1" t="s">
        <v>4124</v>
      </c>
      <c r="FAC1" t="s">
        <v>4125</v>
      </c>
      <c r="FAD1" t="s">
        <v>4126</v>
      </c>
      <c r="FAE1" t="s">
        <v>4127</v>
      </c>
      <c r="FAF1" t="s">
        <v>4128</v>
      </c>
      <c r="FAG1" t="s">
        <v>4129</v>
      </c>
      <c r="FAH1" t="s">
        <v>4130</v>
      </c>
      <c r="FAI1" t="s">
        <v>4131</v>
      </c>
      <c r="FAJ1" t="s">
        <v>4132</v>
      </c>
      <c r="FAK1" t="s">
        <v>4133</v>
      </c>
      <c r="FAL1" t="s">
        <v>4134</v>
      </c>
      <c r="FAM1" t="s">
        <v>4135</v>
      </c>
      <c r="FAN1" t="s">
        <v>4136</v>
      </c>
      <c r="FAO1" t="s">
        <v>4137</v>
      </c>
      <c r="FAP1" t="s">
        <v>4138</v>
      </c>
      <c r="FAQ1" t="s">
        <v>4139</v>
      </c>
      <c r="FAR1" t="s">
        <v>4140</v>
      </c>
      <c r="FAS1" t="s">
        <v>4141</v>
      </c>
      <c r="FAT1" t="s">
        <v>4142</v>
      </c>
      <c r="FAU1" t="s">
        <v>4143</v>
      </c>
      <c r="FAV1" t="s">
        <v>4144</v>
      </c>
      <c r="FAW1" t="s">
        <v>4145</v>
      </c>
      <c r="FAX1" t="s">
        <v>4146</v>
      </c>
      <c r="FAY1" t="s">
        <v>4147</v>
      </c>
      <c r="FAZ1" t="s">
        <v>4148</v>
      </c>
      <c r="FBA1" t="s">
        <v>4149</v>
      </c>
      <c r="FBB1" t="s">
        <v>4150</v>
      </c>
      <c r="FBC1" t="s">
        <v>4151</v>
      </c>
      <c r="FBD1" t="s">
        <v>4152</v>
      </c>
      <c r="FBE1" t="s">
        <v>4153</v>
      </c>
      <c r="FBF1" t="s">
        <v>4154</v>
      </c>
      <c r="FBG1" t="s">
        <v>4155</v>
      </c>
      <c r="FBH1" t="s">
        <v>4156</v>
      </c>
      <c r="FBI1" t="s">
        <v>4157</v>
      </c>
      <c r="FBJ1" t="s">
        <v>4158</v>
      </c>
      <c r="FBK1" t="s">
        <v>4159</v>
      </c>
      <c r="FBL1" t="s">
        <v>4160</v>
      </c>
      <c r="FBM1" t="s">
        <v>4161</v>
      </c>
      <c r="FBN1" t="s">
        <v>4162</v>
      </c>
      <c r="FBO1" t="s">
        <v>4163</v>
      </c>
      <c r="FBP1" t="s">
        <v>4164</v>
      </c>
      <c r="FBQ1" t="s">
        <v>4165</v>
      </c>
      <c r="FBR1" t="s">
        <v>4166</v>
      </c>
      <c r="FBS1" t="s">
        <v>4167</v>
      </c>
      <c r="FBT1" t="s">
        <v>4168</v>
      </c>
      <c r="FBU1" t="s">
        <v>4169</v>
      </c>
      <c r="FBV1" t="s">
        <v>4170</v>
      </c>
      <c r="FBW1" t="s">
        <v>4171</v>
      </c>
      <c r="FBX1" t="s">
        <v>4172</v>
      </c>
      <c r="FBY1" t="s">
        <v>4173</v>
      </c>
      <c r="FBZ1" t="s">
        <v>4174</v>
      </c>
      <c r="FCA1" t="s">
        <v>4175</v>
      </c>
      <c r="FCB1" t="s">
        <v>4176</v>
      </c>
      <c r="FCC1" t="s">
        <v>4177</v>
      </c>
      <c r="FCD1" t="s">
        <v>4178</v>
      </c>
      <c r="FCE1" t="s">
        <v>4179</v>
      </c>
      <c r="FCF1" t="s">
        <v>4180</v>
      </c>
      <c r="FCG1" t="s">
        <v>4181</v>
      </c>
      <c r="FCH1" t="s">
        <v>4182</v>
      </c>
      <c r="FCI1" t="s">
        <v>4183</v>
      </c>
      <c r="FCJ1" t="s">
        <v>4184</v>
      </c>
      <c r="FCK1" t="s">
        <v>4185</v>
      </c>
      <c r="FCL1" t="s">
        <v>4186</v>
      </c>
      <c r="FCM1" t="s">
        <v>4187</v>
      </c>
      <c r="FCN1" t="s">
        <v>4188</v>
      </c>
      <c r="FCO1" t="s">
        <v>4189</v>
      </c>
      <c r="FCP1" t="s">
        <v>4190</v>
      </c>
      <c r="FCQ1" t="s">
        <v>4191</v>
      </c>
      <c r="FCR1" t="s">
        <v>4192</v>
      </c>
      <c r="FCS1" t="s">
        <v>4193</v>
      </c>
      <c r="FCT1" t="s">
        <v>4194</v>
      </c>
      <c r="FCU1" t="s">
        <v>4195</v>
      </c>
      <c r="FCV1" t="s">
        <v>4196</v>
      </c>
      <c r="FCW1" t="s">
        <v>4197</v>
      </c>
      <c r="FCX1" t="s">
        <v>4198</v>
      </c>
      <c r="FCY1" t="s">
        <v>4199</v>
      </c>
      <c r="FCZ1" t="s">
        <v>4200</v>
      </c>
      <c r="FDA1" t="s">
        <v>4201</v>
      </c>
      <c r="FDB1" t="s">
        <v>4202</v>
      </c>
      <c r="FDC1" t="s">
        <v>4203</v>
      </c>
      <c r="FDD1" t="s">
        <v>4204</v>
      </c>
      <c r="FDE1" t="s">
        <v>4205</v>
      </c>
      <c r="FDF1" t="s">
        <v>4206</v>
      </c>
      <c r="FDG1" t="s">
        <v>4207</v>
      </c>
      <c r="FDH1" t="s">
        <v>4208</v>
      </c>
      <c r="FDI1" t="s">
        <v>4209</v>
      </c>
      <c r="FDJ1" t="s">
        <v>4210</v>
      </c>
      <c r="FDK1" t="s">
        <v>4211</v>
      </c>
      <c r="FDL1" t="s">
        <v>4212</v>
      </c>
      <c r="FDM1" t="s">
        <v>4213</v>
      </c>
      <c r="FDN1" t="s">
        <v>4214</v>
      </c>
      <c r="FDO1" t="s">
        <v>4215</v>
      </c>
      <c r="FDP1" t="s">
        <v>4216</v>
      </c>
      <c r="FDQ1" t="s">
        <v>4217</v>
      </c>
      <c r="FDR1" t="s">
        <v>4218</v>
      </c>
      <c r="FDS1" t="s">
        <v>4219</v>
      </c>
      <c r="FDT1" t="s">
        <v>4220</v>
      </c>
      <c r="FDU1" t="s">
        <v>4221</v>
      </c>
      <c r="FDV1" t="s">
        <v>4222</v>
      </c>
      <c r="FDW1" t="s">
        <v>4223</v>
      </c>
      <c r="FDX1" t="s">
        <v>4224</v>
      </c>
      <c r="FDY1" t="s">
        <v>4225</v>
      </c>
      <c r="FDZ1" t="s">
        <v>4226</v>
      </c>
      <c r="FEA1" t="s">
        <v>4227</v>
      </c>
      <c r="FEB1" t="s">
        <v>4228</v>
      </c>
      <c r="FEC1" t="s">
        <v>4229</v>
      </c>
      <c r="FED1" t="s">
        <v>4230</v>
      </c>
      <c r="FEE1" t="s">
        <v>4231</v>
      </c>
      <c r="FEF1" t="s">
        <v>4232</v>
      </c>
      <c r="FEG1" t="s">
        <v>4233</v>
      </c>
      <c r="FEH1" t="s">
        <v>4234</v>
      </c>
      <c r="FEI1" t="s">
        <v>4235</v>
      </c>
      <c r="FEJ1" t="s">
        <v>4236</v>
      </c>
      <c r="FEK1" t="s">
        <v>4237</v>
      </c>
      <c r="FEL1" t="s">
        <v>4238</v>
      </c>
      <c r="FEM1" t="s">
        <v>4239</v>
      </c>
      <c r="FEN1" t="s">
        <v>4240</v>
      </c>
      <c r="FEO1" t="s">
        <v>4241</v>
      </c>
      <c r="FEP1" t="s">
        <v>4242</v>
      </c>
      <c r="FEQ1" t="s">
        <v>4243</v>
      </c>
      <c r="FER1" t="s">
        <v>4244</v>
      </c>
      <c r="FES1" t="s">
        <v>4245</v>
      </c>
      <c r="FET1" t="s">
        <v>4246</v>
      </c>
      <c r="FEU1" t="s">
        <v>4247</v>
      </c>
      <c r="FEV1" t="s">
        <v>4248</v>
      </c>
      <c r="FEW1" t="s">
        <v>4249</v>
      </c>
      <c r="FEX1" t="s">
        <v>4250</v>
      </c>
      <c r="FEY1" t="s">
        <v>4251</v>
      </c>
      <c r="FEZ1" t="s">
        <v>4252</v>
      </c>
      <c r="FFA1" t="s">
        <v>4253</v>
      </c>
      <c r="FFB1" t="s">
        <v>4254</v>
      </c>
      <c r="FFC1" t="s">
        <v>4255</v>
      </c>
      <c r="FFD1" t="s">
        <v>4256</v>
      </c>
      <c r="FFE1" t="s">
        <v>4257</v>
      </c>
      <c r="FFF1" t="s">
        <v>4258</v>
      </c>
      <c r="FFG1" t="s">
        <v>4259</v>
      </c>
      <c r="FFH1" t="s">
        <v>4260</v>
      </c>
      <c r="FFI1" t="s">
        <v>4261</v>
      </c>
      <c r="FFJ1" t="s">
        <v>4262</v>
      </c>
      <c r="FFK1" t="s">
        <v>4263</v>
      </c>
      <c r="FFL1" t="s">
        <v>4264</v>
      </c>
      <c r="FFM1" t="s">
        <v>4265</v>
      </c>
      <c r="FFN1" t="s">
        <v>4266</v>
      </c>
      <c r="FFO1" t="s">
        <v>4267</v>
      </c>
      <c r="FFP1" t="s">
        <v>4268</v>
      </c>
      <c r="FFQ1" t="s">
        <v>4269</v>
      </c>
      <c r="FFR1" t="s">
        <v>4270</v>
      </c>
      <c r="FFS1" t="s">
        <v>4271</v>
      </c>
      <c r="FFT1" t="s">
        <v>4272</v>
      </c>
      <c r="FFU1" t="s">
        <v>4273</v>
      </c>
      <c r="FFV1" t="s">
        <v>4274</v>
      </c>
      <c r="FFW1" t="s">
        <v>4275</v>
      </c>
      <c r="FFX1" t="s">
        <v>4276</v>
      </c>
      <c r="FFY1" t="s">
        <v>4277</v>
      </c>
      <c r="FFZ1" t="s">
        <v>4278</v>
      </c>
      <c r="FGA1" t="s">
        <v>4279</v>
      </c>
      <c r="FGB1" t="s">
        <v>4280</v>
      </c>
      <c r="FGC1" t="s">
        <v>4281</v>
      </c>
      <c r="FGD1" t="s">
        <v>4282</v>
      </c>
      <c r="FGE1" t="s">
        <v>4283</v>
      </c>
      <c r="FGF1" t="s">
        <v>4284</v>
      </c>
      <c r="FGG1" t="s">
        <v>4285</v>
      </c>
      <c r="FGH1" t="s">
        <v>4286</v>
      </c>
      <c r="FGI1" t="s">
        <v>4287</v>
      </c>
      <c r="FGJ1" t="s">
        <v>4288</v>
      </c>
      <c r="FGK1" t="s">
        <v>4289</v>
      </c>
      <c r="FGL1" t="s">
        <v>4290</v>
      </c>
      <c r="FGM1" t="s">
        <v>4291</v>
      </c>
      <c r="FGN1" t="s">
        <v>4292</v>
      </c>
      <c r="FGO1" t="s">
        <v>4293</v>
      </c>
      <c r="FGP1" t="s">
        <v>4294</v>
      </c>
      <c r="FGQ1" t="s">
        <v>4295</v>
      </c>
      <c r="FGR1" t="s">
        <v>4296</v>
      </c>
      <c r="FGS1" t="s">
        <v>4297</v>
      </c>
      <c r="FGT1" t="s">
        <v>4298</v>
      </c>
      <c r="FGU1" t="s">
        <v>4299</v>
      </c>
      <c r="FGV1" t="s">
        <v>4300</v>
      </c>
      <c r="FGW1" t="s">
        <v>4301</v>
      </c>
      <c r="FGX1" t="s">
        <v>4302</v>
      </c>
      <c r="FGY1" t="s">
        <v>4303</v>
      </c>
      <c r="FGZ1" t="s">
        <v>4304</v>
      </c>
      <c r="FHA1" t="s">
        <v>4305</v>
      </c>
      <c r="FHB1" t="s">
        <v>4306</v>
      </c>
      <c r="FHC1" t="s">
        <v>4307</v>
      </c>
      <c r="FHD1" t="s">
        <v>4308</v>
      </c>
      <c r="FHE1" t="s">
        <v>4309</v>
      </c>
      <c r="FHF1" t="s">
        <v>4310</v>
      </c>
      <c r="FHG1" t="s">
        <v>4311</v>
      </c>
      <c r="FHH1" t="s">
        <v>4312</v>
      </c>
      <c r="FHI1" t="s">
        <v>4313</v>
      </c>
      <c r="FHJ1" t="s">
        <v>4314</v>
      </c>
      <c r="FHK1" t="s">
        <v>4315</v>
      </c>
      <c r="FHL1" t="s">
        <v>4316</v>
      </c>
      <c r="FHM1" t="s">
        <v>4317</v>
      </c>
      <c r="FHN1" t="s">
        <v>4318</v>
      </c>
      <c r="FHO1" t="s">
        <v>4319</v>
      </c>
      <c r="FHP1" t="s">
        <v>4320</v>
      </c>
      <c r="FHQ1" t="s">
        <v>4321</v>
      </c>
      <c r="FHR1" t="s">
        <v>4322</v>
      </c>
      <c r="FHS1" t="s">
        <v>4323</v>
      </c>
      <c r="FHT1" t="s">
        <v>4324</v>
      </c>
      <c r="FHU1" t="s">
        <v>4325</v>
      </c>
      <c r="FHV1" t="s">
        <v>4326</v>
      </c>
      <c r="FHW1" t="s">
        <v>4327</v>
      </c>
      <c r="FHX1" t="s">
        <v>4328</v>
      </c>
      <c r="FHY1" t="s">
        <v>4329</v>
      </c>
      <c r="FHZ1" t="s">
        <v>4330</v>
      </c>
      <c r="FIA1" t="s">
        <v>4331</v>
      </c>
      <c r="FIB1" t="s">
        <v>4332</v>
      </c>
      <c r="FIC1" t="s">
        <v>4333</v>
      </c>
      <c r="FID1" t="s">
        <v>4334</v>
      </c>
      <c r="FIE1" t="s">
        <v>4335</v>
      </c>
      <c r="FIF1" t="s">
        <v>4336</v>
      </c>
      <c r="FIG1" t="s">
        <v>4337</v>
      </c>
      <c r="FIH1" t="s">
        <v>4338</v>
      </c>
      <c r="FII1" t="s">
        <v>4339</v>
      </c>
      <c r="FIJ1" t="s">
        <v>4340</v>
      </c>
      <c r="FIK1" t="s">
        <v>4341</v>
      </c>
      <c r="FIL1" t="s">
        <v>4342</v>
      </c>
      <c r="FIM1" t="s">
        <v>4343</v>
      </c>
      <c r="FIN1" t="s">
        <v>4344</v>
      </c>
      <c r="FIO1" t="s">
        <v>4345</v>
      </c>
      <c r="FIP1" t="s">
        <v>4346</v>
      </c>
      <c r="FIQ1" t="s">
        <v>4347</v>
      </c>
      <c r="FIR1" t="s">
        <v>4348</v>
      </c>
      <c r="FIS1" t="s">
        <v>4349</v>
      </c>
      <c r="FIT1" t="s">
        <v>4350</v>
      </c>
      <c r="FIU1" t="s">
        <v>4351</v>
      </c>
      <c r="FIV1" t="s">
        <v>4352</v>
      </c>
      <c r="FIW1" t="s">
        <v>4353</v>
      </c>
      <c r="FIX1" t="s">
        <v>4354</v>
      </c>
      <c r="FIY1" t="s">
        <v>4355</v>
      </c>
      <c r="FIZ1" t="s">
        <v>4356</v>
      </c>
      <c r="FJA1" t="s">
        <v>4357</v>
      </c>
      <c r="FJB1" t="s">
        <v>4358</v>
      </c>
      <c r="FJC1" t="s">
        <v>4359</v>
      </c>
      <c r="FJD1" t="s">
        <v>4360</v>
      </c>
      <c r="FJE1" t="s">
        <v>4361</v>
      </c>
      <c r="FJF1" t="s">
        <v>4362</v>
      </c>
      <c r="FJG1" t="s">
        <v>4363</v>
      </c>
      <c r="FJH1" t="s">
        <v>4364</v>
      </c>
      <c r="FJI1" t="s">
        <v>4365</v>
      </c>
      <c r="FJJ1" t="s">
        <v>4366</v>
      </c>
      <c r="FJK1" t="s">
        <v>4367</v>
      </c>
      <c r="FJL1" t="s">
        <v>4368</v>
      </c>
      <c r="FJM1" t="s">
        <v>4369</v>
      </c>
      <c r="FJN1" t="s">
        <v>4370</v>
      </c>
      <c r="FJO1" t="s">
        <v>4371</v>
      </c>
      <c r="FJP1" t="s">
        <v>4372</v>
      </c>
      <c r="FJQ1" t="s">
        <v>4373</v>
      </c>
      <c r="FJR1" t="s">
        <v>4374</v>
      </c>
      <c r="FJS1" t="s">
        <v>4375</v>
      </c>
      <c r="FJT1" t="s">
        <v>4376</v>
      </c>
      <c r="FJU1" t="s">
        <v>4377</v>
      </c>
      <c r="FJV1" t="s">
        <v>4378</v>
      </c>
      <c r="FJW1" t="s">
        <v>4379</v>
      </c>
      <c r="FJX1" t="s">
        <v>4380</v>
      </c>
      <c r="FJY1" t="s">
        <v>4381</v>
      </c>
      <c r="FJZ1" t="s">
        <v>4382</v>
      </c>
      <c r="FKA1" t="s">
        <v>4383</v>
      </c>
      <c r="FKB1" t="s">
        <v>4384</v>
      </c>
      <c r="FKC1" t="s">
        <v>4385</v>
      </c>
      <c r="FKD1" t="s">
        <v>4386</v>
      </c>
      <c r="FKE1" t="s">
        <v>4387</v>
      </c>
      <c r="FKF1" t="s">
        <v>4388</v>
      </c>
      <c r="FKG1" t="s">
        <v>4389</v>
      </c>
      <c r="FKH1" t="s">
        <v>4390</v>
      </c>
      <c r="FKI1" t="s">
        <v>4391</v>
      </c>
      <c r="FKJ1" t="s">
        <v>4392</v>
      </c>
      <c r="FKK1" t="s">
        <v>4393</v>
      </c>
      <c r="FKL1" t="s">
        <v>4394</v>
      </c>
      <c r="FKM1" t="s">
        <v>4395</v>
      </c>
      <c r="FKN1" t="s">
        <v>4396</v>
      </c>
      <c r="FKO1" t="s">
        <v>4397</v>
      </c>
      <c r="FKP1" t="s">
        <v>4398</v>
      </c>
      <c r="FKQ1" t="s">
        <v>4399</v>
      </c>
      <c r="FKR1" t="s">
        <v>4400</v>
      </c>
      <c r="FKS1" t="s">
        <v>4401</v>
      </c>
      <c r="FKT1" t="s">
        <v>4402</v>
      </c>
      <c r="FKU1" t="s">
        <v>4403</v>
      </c>
      <c r="FKV1" t="s">
        <v>4404</v>
      </c>
      <c r="FKW1" t="s">
        <v>4405</v>
      </c>
      <c r="FKX1" t="s">
        <v>4406</v>
      </c>
      <c r="FKY1" t="s">
        <v>4407</v>
      </c>
      <c r="FKZ1" t="s">
        <v>4408</v>
      </c>
      <c r="FLA1" t="s">
        <v>4409</v>
      </c>
      <c r="FLB1" t="s">
        <v>4410</v>
      </c>
      <c r="FLC1" t="s">
        <v>4411</v>
      </c>
      <c r="FLD1" t="s">
        <v>4412</v>
      </c>
      <c r="FLE1" t="s">
        <v>4413</v>
      </c>
      <c r="FLF1" t="s">
        <v>4414</v>
      </c>
      <c r="FLG1" t="s">
        <v>4415</v>
      </c>
      <c r="FLH1" t="s">
        <v>4416</v>
      </c>
      <c r="FLI1" t="s">
        <v>4417</v>
      </c>
      <c r="FLJ1" t="s">
        <v>4418</v>
      </c>
      <c r="FLK1" t="s">
        <v>4419</v>
      </c>
      <c r="FLL1" t="s">
        <v>4420</v>
      </c>
      <c r="FLM1" t="s">
        <v>4421</v>
      </c>
      <c r="FLN1" t="s">
        <v>4422</v>
      </c>
      <c r="FLO1" t="s">
        <v>4423</v>
      </c>
      <c r="FLP1" t="s">
        <v>4424</v>
      </c>
      <c r="FLQ1" t="s">
        <v>4425</v>
      </c>
      <c r="FLR1" t="s">
        <v>4426</v>
      </c>
      <c r="FLS1" t="s">
        <v>4427</v>
      </c>
      <c r="FLT1" t="s">
        <v>4428</v>
      </c>
      <c r="FLU1" t="s">
        <v>4429</v>
      </c>
      <c r="FLV1" t="s">
        <v>4430</v>
      </c>
      <c r="FLW1" t="s">
        <v>4431</v>
      </c>
      <c r="FLX1" t="s">
        <v>4432</v>
      </c>
      <c r="FLY1" t="s">
        <v>4433</v>
      </c>
      <c r="FLZ1" t="s">
        <v>4434</v>
      </c>
      <c r="FMA1" t="s">
        <v>4435</v>
      </c>
      <c r="FMB1" t="s">
        <v>4436</v>
      </c>
      <c r="FMC1" t="s">
        <v>4437</v>
      </c>
      <c r="FMD1" t="s">
        <v>4438</v>
      </c>
      <c r="FME1" t="s">
        <v>4439</v>
      </c>
      <c r="FMF1" t="s">
        <v>4440</v>
      </c>
      <c r="FMG1" t="s">
        <v>4441</v>
      </c>
      <c r="FMH1" t="s">
        <v>4442</v>
      </c>
      <c r="FMI1" t="s">
        <v>4443</v>
      </c>
      <c r="FMJ1" t="s">
        <v>4444</v>
      </c>
      <c r="FMK1" t="s">
        <v>4445</v>
      </c>
      <c r="FML1" t="s">
        <v>4446</v>
      </c>
      <c r="FMM1" t="s">
        <v>4447</v>
      </c>
      <c r="FMN1" t="s">
        <v>4448</v>
      </c>
      <c r="FMO1" t="s">
        <v>4449</v>
      </c>
      <c r="FMP1" t="s">
        <v>4450</v>
      </c>
      <c r="FMQ1" t="s">
        <v>4451</v>
      </c>
      <c r="FMR1" t="s">
        <v>4452</v>
      </c>
      <c r="FMS1" t="s">
        <v>4453</v>
      </c>
      <c r="FMT1" t="s">
        <v>4454</v>
      </c>
      <c r="FMU1" t="s">
        <v>4455</v>
      </c>
      <c r="FMV1" t="s">
        <v>4456</v>
      </c>
      <c r="FMW1" t="s">
        <v>4457</v>
      </c>
      <c r="FMX1" t="s">
        <v>4458</v>
      </c>
      <c r="FMY1" t="s">
        <v>4459</v>
      </c>
      <c r="FMZ1" t="s">
        <v>4460</v>
      </c>
      <c r="FNA1" t="s">
        <v>4461</v>
      </c>
      <c r="FNB1" t="s">
        <v>4462</v>
      </c>
      <c r="FNC1" t="s">
        <v>4463</v>
      </c>
      <c r="FND1" t="s">
        <v>4464</v>
      </c>
      <c r="FNE1" t="s">
        <v>4465</v>
      </c>
      <c r="FNF1" t="s">
        <v>4466</v>
      </c>
      <c r="FNG1" t="s">
        <v>4467</v>
      </c>
      <c r="FNH1" t="s">
        <v>4468</v>
      </c>
      <c r="FNI1" t="s">
        <v>4469</v>
      </c>
      <c r="FNJ1" t="s">
        <v>4470</v>
      </c>
      <c r="FNK1" t="s">
        <v>4471</v>
      </c>
      <c r="FNL1" t="s">
        <v>4472</v>
      </c>
      <c r="FNM1" t="s">
        <v>4473</v>
      </c>
      <c r="FNN1" t="s">
        <v>4474</v>
      </c>
      <c r="FNO1" t="s">
        <v>4475</v>
      </c>
      <c r="FNP1" t="s">
        <v>4476</v>
      </c>
      <c r="FNQ1" t="s">
        <v>4477</v>
      </c>
      <c r="FNR1" t="s">
        <v>4478</v>
      </c>
      <c r="FNS1" t="s">
        <v>4479</v>
      </c>
      <c r="FNT1" t="s">
        <v>4480</v>
      </c>
      <c r="FNU1" t="s">
        <v>4481</v>
      </c>
      <c r="FNV1" t="s">
        <v>4482</v>
      </c>
      <c r="FNW1" t="s">
        <v>4483</v>
      </c>
      <c r="FNX1" t="s">
        <v>4484</v>
      </c>
      <c r="FNY1" t="s">
        <v>4485</v>
      </c>
      <c r="FNZ1" t="s">
        <v>4486</v>
      </c>
      <c r="FOA1" t="s">
        <v>4487</v>
      </c>
      <c r="FOB1" t="s">
        <v>4488</v>
      </c>
      <c r="FOC1" t="s">
        <v>4489</v>
      </c>
      <c r="FOD1" t="s">
        <v>4490</v>
      </c>
      <c r="FOE1" t="s">
        <v>4491</v>
      </c>
      <c r="FOF1" t="s">
        <v>4492</v>
      </c>
      <c r="FOG1" t="s">
        <v>4493</v>
      </c>
      <c r="FOH1" t="s">
        <v>4494</v>
      </c>
      <c r="FOI1" t="s">
        <v>4495</v>
      </c>
      <c r="FOJ1" t="s">
        <v>4496</v>
      </c>
      <c r="FOK1" t="s">
        <v>4497</v>
      </c>
      <c r="FOL1" t="s">
        <v>4498</v>
      </c>
      <c r="FOM1" t="s">
        <v>4499</v>
      </c>
      <c r="FON1" t="s">
        <v>4500</v>
      </c>
      <c r="FOO1" t="s">
        <v>4501</v>
      </c>
      <c r="FOP1" t="s">
        <v>4502</v>
      </c>
      <c r="FOQ1" t="s">
        <v>4503</v>
      </c>
      <c r="FOR1" t="s">
        <v>4504</v>
      </c>
      <c r="FOS1" t="s">
        <v>4505</v>
      </c>
      <c r="FOT1" t="s">
        <v>4506</v>
      </c>
      <c r="FOU1" t="s">
        <v>4507</v>
      </c>
      <c r="FOV1" t="s">
        <v>4508</v>
      </c>
      <c r="FOW1" t="s">
        <v>4509</v>
      </c>
      <c r="FOX1" t="s">
        <v>4510</v>
      </c>
      <c r="FOY1" t="s">
        <v>4511</v>
      </c>
      <c r="FOZ1" t="s">
        <v>4512</v>
      </c>
      <c r="FPA1" t="s">
        <v>4513</v>
      </c>
      <c r="FPB1" t="s">
        <v>4514</v>
      </c>
      <c r="FPC1" t="s">
        <v>4515</v>
      </c>
      <c r="FPD1" t="s">
        <v>4516</v>
      </c>
      <c r="FPE1" t="s">
        <v>4517</v>
      </c>
      <c r="FPF1" t="s">
        <v>4518</v>
      </c>
      <c r="FPG1" t="s">
        <v>4519</v>
      </c>
      <c r="FPH1" t="s">
        <v>4520</v>
      </c>
      <c r="FPI1" t="s">
        <v>4521</v>
      </c>
      <c r="FPJ1" t="s">
        <v>4522</v>
      </c>
      <c r="FPK1" t="s">
        <v>4523</v>
      </c>
      <c r="FPL1" t="s">
        <v>4524</v>
      </c>
      <c r="FPM1" t="s">
        <v>4525</v>
      </c>
      <c r="FPN1" t="s">
        <v>4526</v>
      </c>
      <c r="FPO1" t="s">
        <v>4527</v>
      </c>
      <c r="FPP1" t="s">
        <v>4528</v>
      </c>
      <c r="FPQ1" t="s">
        <v>4529</v>
      </c>
      <c r="FPR1" t="s">
        <v>4530</v>
      </c>
      <c r="FPS1" t="s">
        <v>4531</v>
      </c>
      <c r="FPT1" t="s">
        <v>4532</v>
      </c>
      <c r="FPU1" t="s">
        <v>4533</v>
      </c>
      <c r="FPV1" t="s">
        <v>4534</v>
      </c>
      <c r="FPW1" t="s">
        <v>4535</v>
      </c>
      <c r="FPX1" t="s">
        <v>4536</v>
      </c>
      <c r="FPY1" t="s">
        <v>4537</v>
      </c>
      <c r="FPZ1" t="s">
        <v>4538</v>
      </c>
      <c r="FQA1" t="s">
        <v>4539</v>
      </c>
      <c r="FQB1" t="s">
        <v>4540</v>
      </c>
      <c r="FQC1" t="s">
        <v>4541</v>
      </c>
      <c r="FQD1" t="s">
        <v>4542</v>
      </c>
      <c r="FQE1" t="s">
        <v>4543</v>
      </c>
      <c r="FQF1" t="s">
        <v>4544</v>
      </c>
      <c r="FQG1" t="s">
        <v>4545</v>
      </c>
      <c r="FQH1" t="s">
        <v>4546</v>
      </c>
      <c r="FQI1" t="s">
        <v>4547</v>
      </c>
      <c r="FQJ1" t="s">
        <v>4548</v>
      </c>
      <c r="FQK1" t="s">
        <v>4549</v>
      </c>
      <c r="FQL1" t="s">
        <v>4550</v>
      </c>
      <c r="FQM1" t="s">
        <v>4551</v>
      </c>
      <c r="FQN1" t="s">
        <v>4552</v>
      </c>
      <c r="FQO1" t="s">
        <v>4553</v>
      </c>
      <c r="FQP1" t="s">
        <v>4554</v>
      </c>
      <c r="FQQ1" t="s">
        <v>4555</v>
      </c>
      <c r="FQR1" t="s">
        <v>4556</v>
      </c>
      <c r="FQS1" t="s">
        <v>4557</v>
      </c>
      <c r="FQT1" t="s">
        <v>4558</v>
      </c>
      <c r="FQU1" t="s">
        <v>4559</v>
      </c>
      <c r="FQV1" t="s">
        <v>4560</v>
      </c>
      <c r="FQW1" t="s">
        <v>4561</v>
      </c>
      <c r="FQX1" t="s">
        <v>4562</v>
      </c>
      <c r="FQY1" t="s">
        <v>4563</v>
      </c>
      <c r="FQZ1" t="s">
        <v>4564</v>
      </c>
      <c r="FRA1" t="s">
        <v>4565</v>
      </c>
      <c r="FRB1" t="s">
        <v>4566</v>
      </c>
      <c r="FRC1" t="s">
        <v>4567</v>
      </c>
      <c r="FRD1" t="s">
        <v>4568</v>
      </c>
      <c r="FRE1" t="s">
        <v>4569</v>
      </c>
      <c r="FRF1" t="s">
        <v>4570</v>
      </c>
      <c r="FRG1" t="s">
        <v>4571</v>
      </c>
      <c r="FRH1" t="s">
        <v>4572</v>
      </c>
      <c r="FRI1" t="s">
        <v>4573</v>
      </c>
      <c r="FRJ1" t="s">
        <v>4574</v>
      </c>
      <c r="FRK1" t="s">
        <v>4575</v>
      </c>
      <c r="FRL1" t="s">
        <v>4576</v>
      </c>
      <c r="FRM1" t="s">
        <v>4577</v>
      </c>
      <c r="FRN1" t="s">
        <v>4578</v>
      </c>
      <c r="FRO1" t="s">
        <v>4579</v>
      </c>
      <c r="FRP1" t="s">
        <v>4580</v>
      </c>
      <c r="FRQ1" t="s">
        <v>4581</v>
      </c>
      <c r="FRR1" t="s">
        <v>4582</v>
      </c>
      <c r="FRS1" t="s">
        <v>4583</v>
      </c>
      <c r="FRT1" t="s">
        <v>4584</v>
      </c>
      <c r="FRU1" t="s">
        <v>4585</v>
      </c>
      <c r="FRV1" t="s">
        <v>4586</v>
      </c>
      <c r="FRW1" t="s">
        <v>4587</v>
      </c>
      <c r="FRX1" t="s">
        <v>4588</v>
      </c>
      <c r="FRY1" t="s">
        <v>4589</v>
      </c>
      <c r="FRZ1" t="s">
        <v>4590</v>
      </c>
      <c r="FSA1" t="s">
        <v>4591</v>
      </c>
      <c r="FSB1" t="s">
        <v>4592</v>
      </c>
      <c r="FSC1" t="s">
        <v>4593</v>
      </c>
      <c r="FSD1" t="s">
        <v>4594</v>
      </c>
      <c r="FSE1" t="s">
        <v>4595</v>
      </c>
      <c r="FSF1" t="s">
        <v>4596</v>
      </c>
      <c r="FSG1" t="s">
        <v>4597</v>
      </c>
      <c r="FSH1" t="s">
        <v>4598</v>
      </c>
      <c r="FSI1" t="s">
        <v>4599</v>
      </c>
      <c r="FSJ1" t="s">
        <v>4600</v>
      </c>
      <c r="FSK1" t="s">
        <v>4601</v>
      </c>
      <c r="FSL1" t="s">
        <v>4602</v>
      </c>
      <c r="FSM1" t="s">
        <v>4603</v>
      </c>
      <c r="FSN1" t="s">
        <v>4604</v>
      </c>
      <c r="FSO1" t="s">
        <v>4605</v>
      </c>
      <c r="FSP1" t="s">
        <v>4606</v>
      </c>
      <c r="FSQ1" t="s">
        <v>4607</v>
      </c>
      <c r="FSR1" t="s">
        <v>4608</v>
      </c>
      <c r="FSS1" t="s">
        <v>4609</v>
      </c>
      <c r="FST1" t="s">
        <v>4610</v>
      </c>
      <c r="FSU1" t="s">
        <v>4611</v>
      </c>
      <c r="FSV1" t="s">
        <v>4612</v>
      </c>
      <c r="FSW1" t="s">
        <v>4613</v>
      </c>
      <c r="FSX1" t="s">
        <v>4614</v>
      </c>
      <c r="FSY1" t="s">
        <v>4615</v>
      </c>
      <c r="FSZ1" t="s">
        <v>4616</v>
      </c>
      <c r="FTA1" t="s">
        <v>4617</v>
      </c>
      <c r="FTB1" t="s">
        <v>4618</v>
      </c>
      <c r="FTC1" t="s">
        <v>4619</v>
      </c>
      <c r="FTD1" t="s">
        <v>4620</v>
      </c>
      <c r="FTE1" t="s">
        <v>4621</v>
      </c>
      <c r="FTF1" t="s">
        <v>4622</v>
      </c>
      <c r="FTG1" t="s">
        <v>4623</v>
      </c>
      <c r="FTH1" t="s">
        <v>4624</v>
      </c>
      <c r="FTI1" t="s">
        <v>4625</v>
      </c>
      <c r="FTJ1" t="s">
        <v>4626</v>
      </c>
      <c r="FTK1" t="s">
        <v>4627</v>
      </c>
      <c r="FTL1" t="s">
        <v>4628</v>
      </c>
      <c r="FTM1" t="s">
        <v>4629</v>
      </c>
      <c r="FTN1" t="s">
        <v>4630</v>
      </c>
      <c r="FTO1" t="s">
        <v>4631</v>
      </c>
      <c r="FTP1" t="s">
        <v>4632</v>
      </c>
      <c r="FTQ1" t="s">
        <v>4633</v>
      </c>
      <c r="FTR1" t="s">
        <v>4634</v>
      </c>
      <c r="FTS1" t="s">
        <v>4635</v>
      </c>
      <c r="FTT1" t="s">
        <v>4636</v>
      </c>
      <c r="FTU1" t="s">
        <v>4637</v>
      </c>
      <c r="FTV1" t="s">
        <v>4638</v>
      </c>
      <c r="FTW1" t="s">
        <v>4639</v>
      </c>
      <c r="FTX1" t="s">
        <v>4640</v>
      </c>
      <c r="FTY1" t="s">
        <v>4641</v>
      </c>
      <c r="FTZ1" t="s">
        <v>4642</v>
      </c>
      <c r="FUA1" t="s">
        <v>4643</v>
      </c>
      <c r="FUB1" t="s">
        <v>4644</v>
      </c>
      <c r="FUC1" t="s">
        <v>4645</v>
      </c>
      <c r="FUD1" t="s">
        <v>4646</v>
      </c>
      <c r="FUE1" t="s">
        <v>4647</v>
      </c>
      <c r="FUF1" t="s">
        <v>4648</v>
      </c>
      <c r="FUG1" t="s">
        <v>4649</v>
      </c>
      <c r="FUH1" t="s">
        <v>4650</v>
      </c>
      <c r="FUI1" t="s">
        <v>4651</v>
      </c>
      <c r="FUJ1" t="s">
        <v>4652</v>
      </c>
      <c r="FUK1" t="s">
        <v>4653</v>
      </c>
      <c r="FUL1" t="s">
        <v>4654</v>
      </c>
      <c r="FUM1" t="s">
        <v>4655</v>
      </c>
      <c r="FUN1" t="s">
        <v>4656</v>
      </c>
      <c r="FUO1" t="s">
        <v>4657</v>
      </c>
      <c r="FUP1" t="s">
        <v>4658</v>
      </c>
      <c r="FUQ1" t="s">
        <v>4659</v>
      </c>
      <c r="FUR1" t="s">
        <v>4660</v>
      </c>
      <c r="FUS1" t="s">
        <v>4661</v>
      </c>
      <c r="FUT1" t="s">
        <v>4662</v>
      </c>
      <c r="FUU1" t="s">
        <v>4663</v>
      </c>
      <c r="FUV1" t="s">
        <v>4664</v>
      </c>
      <c r="FUW1" t="s">
        <v>4665</v>
      </c>
      <c r="FUX1" t="s">
        <v>4666</v>
      </c>
      <c r="FUY1" t="s">
        <v>4667</v>
      </c>
      <c r="FUZ1" t="s">
        <v>4668</v>
      </c>
      <c r="FVA1" t="s">
        <v>4669</v>
      </c>
      <c r="FVB1" t="s">
        <v>4670</v>
      </c>
      <c r="FVC1" t="s">
        <v>4671</v>
      </c>
      <c r="FVD1" t="s">
        <v>4672</v>
      </c>
      <c r="FVE1" t="s">
        <v>4673</v>
      </c>
      <c r="FVF1" t="s">
        <v>4674</v>
      </c>
      <c r="FVG1" t="s">
        <v>4675</v>
      </c>
      <c r="FVH1" t="s">
        <v>4676</v>
      </c>
      <c r="FVI1" t="s">
        <v>4677</v>
      </c>
      <c r="FVJ1" t="s">
        <v>4678</v>
      </c>
      <c r="FVK1" t="s">
        <v>4679</v>
      </c>
      <c r="FVL1" t="s">
        <v>4680</v>
      </c>
      <c r="FVM1" t="s">
        <v>4681</v>
      </c>
      <c r="FVN1" t="s">
        <v>4682</v>
      </c>
      <c r="FVO1" t="s">
        <v>4683</v>
      </c>
      <c r="FVP1" t="s">
        <v>4684</v>
      </c>
      <c r="FVQ1" t="s">
        <v>4685</v>
      </c>
      <c r="FVR1" t="s">
        <v>4686</v>
      </c>
      <c r="FVS1" t="s">
        <v>4687</v>
      </c>
      <c r="FVT1" t="s">
        <v>4688</v>
      </c>
      <c r="FVU1" t="s">
        <v>4689</v>
      </c>
      <c r="FVV1" t="s">
        <v>4690</v>
      </c>
      <c r="FVW1" t="s">
        <v>4691</v>
      </c>
      <c r="FVX1" t="s">
        <v>4692</v>
      </c>
      <c r="FVY1" t="s">
        <v>4693</v>
      </c>
      <c r="FVZ1" t="s">
        <v>4694</v>
      </c>
      <c r="FWA1" t="s">
        <v>4695</v>
      </c>
      <c r="FWB1" t="s">
        <v>4696</v>
      </c>
      <c r="FWC1" t="s">
        <v>4697</v>
      </c>
      <c r="FWD1" t="s">
        <v>4698</v>
      </c>
      <c r="FWE1" t="s">
        <v>4699</v>
      </c>
      <c r="FWF1" t="s">
        <v>4700</v>
      </c>
      <c r="FWG1" t="s">
        <v>4701</v>
      </c>
      <c r="FWH1" t="s">
        <v>4702</v>
      </c>
      <c r="FWI1" t="s">
        <v>4703</v>
      </c>
      <c r="FWJ1" t="s">
        <v>4704</v>
      </c>
      <c r="FWK1" t="s">
        <v>4705</v>
      </c>
      <c r="FWL1" t="s">
        <v>4706</v>
      </c>
      <c r="FWM1" t="s">
        <v>4707</v>
      </c>
      <c r="FWN1" t="s">
        <v>4708</v>
      </c>
      <c r="FWO1" t="s">
        <v>4709</v>
      </c>
      <c r="FWP1" t="s">
        <v>4710</v>
      </c>
      <c r="FWQ1" t="s">
        <v>4711</v>
      </c>
      <c r="FWR1" t="s">
        <v>4712</v>
      </c>
      <c r="FWS1" t="s">
        <v>4713</v>
      </c>
      <c r="FWT1" t="s">
        <v>4714</v>
      </c>
      <c r="FWU1" t="s">
        <v>4715</v>
      </c>
      <c r="FWV1" t="s">
        <v>4716</v>
      </c>
      <c r="FWW1" t="s">
        <v>4717</v>
      </c>
      <c r="FWX1" t="s">
        <v>4718</v>
      </c>
      <c r="FWY1" t="s">
        <v>4719</v>
      </c>
      <c r="FWZ1" t="s">
        <v>4720</v>
      </c>
      <c r="FXA1" t="s">
        <v>4721</v>
      </c>
      <c r="FXB1" t="s">
        <v>4722</v>
      </c>
      <c r="FXC1" t="s">
        <v>4723</v>
      </c>
      <c r="FXD1" t="s">
        <v>4724</v>
      </c>
      <c r="FXE1" t="s">
        <v>4725</v>
      </c>
      <c r="FXF1" t="s">
        <v>4726</v>
      </c>
      <c r="FXG1" t="s">
        <v>4727</v>
      </c>
      <c r="FXH1" t="s">
        <v>4728</v>
      </c>
      <c r="FXI1" t="s">
        <v>4729</v>
      </c>
      <c r="FXJ1" t="s">
        <v>4730</v>
      </c>
      <c r="FXK1" t="s">
        <v>4731</v>
      </c>
      <c r="FXL1" t="s">
        <v>4732</v>
      </c>
      <c r="FXM1" t="s">
        <v>4733</v>
      </c>
      <c r="FXN1" t="s">
        <v>4734</v>
      </c>
      <c r="FXO1" t="s">
        <v>4735</v>
      </c>
      <c r="FXP1" t="s">
        <v>4736</v>
      </c>
      <c r="FXQ1" t="s">
        <v>4737</v>
      </c>
      <c r="FXR1" t="s">
        <v>4738</v>
      </c>
      <c r="FXS1" t="s">
        <v>4739</v>
      </c>
      <c r="FXT1" t="s">
        <v>4740</v>
      </c>
      <c r="FXU1" t="s">
        <v>4741</v>
      </c>
      <c r="FXV1" t="s">
        <v>4742</v>
      </c>
      <c r="FXW1" t="s">
        <v>4743</v>
      </c>
      <c r="FXX1" t="s">
        <v>4744</v>
      </c>
      <c r="FXY1" t="s">
        <v>4745</v>
      </c>
      <c r="FXZ1" t="s">
        <v>4746</v>
      </c>
      <c r="FYA1" t="s">
        <v>4747</v>
      </c>
      <c r="FYB1" t="s">
        <v>4748</v>
      </c>
      <c r="FYC1" t="s">
        <v>4749</v>
      </c>
      <c r="FYD1" t="s">
        <v>4750</v>
      </c>
      <c r="FYE1" t="s">
        <v>4751</v>
      </c>
      <c r="FYF1" t="s">
        <v>4752</v>
      </c>
      <c r="FYG1" t="s">
        <v>4753</v>
      </c>
      <c r="FYH1" t="s">
        <v>4754</v>
      </c>
      <c r="FYI1" t="s">
        <v>4755</v>
      </c>
      <c r="FYJ1" t="s">
        <v>4756</v>
      </c>
      <c r="FYK1" t="s">
        <v>4757</v>
      </c>
      <c r="FYL1" t="s">
        <v>4758</v>
      </c>
      <c r="FYM1" t="s">
        <v>4759</v>
      </c>
      <c r="FYN1" t="s">
        <v>4760</v>
      </c>
      <c r="FYO1" t="s">
        <v>4761</v>
      </c>
      <c r="FYP1" t="s">
        <v>4762</v>
      </c>
      <c r="FYQ1" t="s">
        <v>4763</v>
      </c>
      <c r="FYR1" t="s">
        <v>4764</v>
      </c>
      <c r="FYS1" t="s">
        <v>4765</v>
      </c>
      <c r="FYT1" t="s">
        <v>4766</v>
      </c>
      <c r="FYU1" t="s">
        <v>4767</v>
      </c>
      <c r="FYV1" t="s">
        <v>4768</v>
      </c>
      <c r="FYW1" t="s">
        <v>4769</v>
      </c>
      <c r="FYX1" t="s">
        <v>4770</v>
      </c>
      <c r="FYY1" t="s">
        <v>4771</v>
      </c>
      <c r="FYZ1" t="s">
        <v>4772</v>
      </c>
      <c r="FZA1" t="s">
        <v>4773</v>
      </c>
      <c r="FZB1" t="s">
        <v>4774</v>
      </c>
      <c r="FZC1" t="s">
        <v>4775</v>
      </c>
      <c r="FZD1" t="s">
        <v>4776</v>
      </c>
      <c r="FZE1" t="s">
        <v>4777</v>
      </c>
      <c r="FZF1" t="s">
        <v>4778</v>
      </c>
      <c r="FZG1" t="s">
        <v>4779</v>
      </c>
      <c r="FZH1" t="s">
        <v>4780</v>
      </c>
      <c r="FZI1" t="s">
        <v>4781</v>
      </c>
      <c r="FZJ1" t="s">
        <v>4782</v>
      </c>
      <c r="FZK1" t="s">
        <v>4783</v>
      </c>
      <c r="FZL1" t="s">
        <v>4784</v>
      </c>
      <c r="FZM1" t="s">
        <v>4785</v>
      </c>
      <c r="FZN1" t="s">
        <v>4786</v>
      </c>
      <c r="FZO1" t="s">
        <v>4787</v>
      </c>
      <c r="FZP1" t="s">
        <v>4788</v>
      </c>
      <c r="FZQ1" t="s">
        <v>4789</v>
      </c>
      <c r="FZR1" t="s">
        <v>4790</v>
      </c>
      <c r="FZS1" t="s">
        <v>4791</v>
      </c>
      <c r="FZT1" t="s">
        <v>4792</v>
      </c>
      <c r="FZU1" t="s">
        <v>4793</v>
      </c>
      <c r="FZV1" t="s">
        <v>4794</v>
      </c>
      <c r="FZW1" t="s">
        <v>4795</v>
      </c>
      <c r="FZX1" t="s">
        <v>4796</v>
      </c>
      <c r="FZY1" t="s">
        <v>4797</v>
      </c>
      <c r="FZZ1" t="s">
        <v>4798</v>
      </c>
      <c r="GAA1" t="s">
        <v>4799</v>
      </c>
      <c r="GAB1" t="s">
        <v>4800</v>
      </c>
      <c r="GAC1" t="s">
        <v>4801</v>
      </c>
      <c r="GAD1" t="s">
        <v>4802</v>
      </c>
      <c r="GAE1" t="s">
        <v>4803</v>
      </c>
      <c r="GAF1" t="s">
        <v>4804</v>
      </c>
      <c r="GAG1" t="s">
        <v>4805</v>
      </c>
      <c r="GAH1" t="s">
        <v>4806</v>
      </c>
      <c r="GAI1" t="s">
        <v>4807</v>
      </c>
      <c r="GAJ1" t="s">
        <v>4808</v>
      </c>
      <c r="GAK1" t="s">
        <v>4809</v>
      </c>
      <c r="GAL1" t="s">
        <v>4810</v>
      </c>
      <c r="GAM1" t="s">
        <v>4811</v>
      </c>
      <c r="GAN1" t="s">
        <v>4812</v>
      </c>
      <c r="GAO1" t="s">
        <v>4813</v>
      </c>
      <c r="GAP1" t="s">
        <v>4814</v>
      </c>
      <c r="GAQ1" t="s">
        <v>4815</v>
      </c>
      <c r="GAR1" t="s">
        <v>4816</v>
      </c>
      <c r="GAS1" t="s">
        <v>4817</v>
      </c>
      <c r="GAT1" t="s">
        <v>4818</v>
      </c>
      <c r="GAU1" t="s">
        <v>4819</v>
      </c>
      <c r="GAV1" t="s">
        <v>4820</v>
      </c>
      <c r="GAW1" t="s">
        <v>4821</v>
      </c>
      <c r="GAX1" t="s">
        <v>4822</v>
      </c>
      <c r="GAY1" t="s">
        <v>4823</v>
      </c>
      <c r="GAZ1" t="s">
        <v>4824</v>
      </c>
      <c r="GBA1" t="s">
        <v>4825</v>
      </c>
      <c r="GBB1" t="s">
        <v>4826</v>
      </c>
      <c r="GBC1" t="s">
        <v>4827</v>
      </c>
      <c r="GBD1" t="s">
        <v>4828</v>
      </c>
      <c r="GBE1" t="s">
        <v>4829</v>
      </c>
      <c r="GBF1" t="s">
        <v>4830</v>
      </c>
      <c r="GBG1" t="s">
        <v>4831</v>
      </c>
      <c r="GBH1" t="s">
        <v>4832</v>
      </c>
      <c r="GBI1" t="s">
        <v>4833</v>
      </c>
      <c r="GBJ1" t="s">
        <v>4834</v>
      </c>
      <c r="GBK1" t="s">
        <v>4835</v>
      </c>
      <c r="GBL1" t="s">
        <v>4836</v>
      </c>
      <c r="GBM1" t="s">
        <v>4837</v>
      </c>
      <c r="GBN1" t="s">
        <v>4838</v>
      </c>
      <c r="GBO1" t="s">
        <v>4839</v>
      </c>
      <c r="GBP1" t="s">
        <v>4840</v>
      </c>
      <c r="GBQ1" t="s">
        <v>4841</v>
      </c>
      <c r="GBR1" t="s">
        <v>4842</v>
      </c>
      <c r="GBS1" t="s">
        <v>4843</v>
      </c>
      <c r="GBT1" t="s">
        <v>4844</v>
      </c>
      <c r="GBU1" t="s">
        <v>4845</v>
      </c>
      <c r="GBV1" t="s">
        <v>4846</v>
      </c>
      <c r="GBW1" t="s">
        <v>4847</v>
      </c>
      <c r="GBX1" t="s">
        <v>4848</v>
      </c>
      <c r="GBY1" t="s">
        <v>4849</v>
      </c>
      <c r="GBZ1" t="s">
        <v>4850</v>
      </c>
      <c r="GCA1" t="s">
        <v>4851</v>
      </c>
      <c r="GCB1" t="s">
        <v>4852</v>
      </c>
      <c r="GCC1" t="s">
        <v>4853</v>
      </c>
      <c r="GCD1" t="s">
        <v>4854</v>
      </c>
      <c r="GCE1" t="s">
        <v>4855</v>
      </c>
      <c r="GCF1" t="s">
        <v>4856</v>
      </c>
      <c r="GCG1" t="s">
        <v>4857</v>
      </c>
      <c r="GCH1" t="s">
        <v>4858</v>
      </c>
      <c r="GCI1" t="s">
        <v>4859</v>
      </c>
      <c r="GCJ1" t="s">
        <v>4860</v>
      </c>
      <c r="GCK1" t="s">
        <v>4861</v>
      </c>
      <c r="GCL1" t="s">
        <v>4862</v>
      </c>
      <c r="GCM1" t="s">
        <v>4863</v>
      </c>
      <c r="GCN1" t="s">
        <v>4864</v>
      </c>
      <c r="GCO1" t="s">
        <v>4865</v>
      </c>
      <c r="GCP1" t="s">
        <v>4866</v>
      </c>
      <c r="GCQ1" t="s">
        <v>4867</v>
      </c>
      <c r="GCR1" t="s">
        <v>4868</v>
      </c>
      <c r="GCS1" t="s">
        <v>4869</v>
      </c>
      <c r="GCT1" t="s">
        <v>4870</v>
      </c>
      <c r="GCU1" t="s">
        <v>4871</v>
      </c>
      <c r="GCV1" t="s">
        <v>4872</v>
      </c>
      <c r="GCW1" t="s">
        <v>4873</v>
      </c>
      <c r="GCX1" t="s">
        <v>4874</v>
      </c>
      <c r="GCY1" t="s">
        <v>4875</v>
      </c>
      <c r="GCZ1" t="s">
        <v>4876</v>
      </c>
      <c r="GDA1" t="s">
        <v>4877</v>
      </c>
      <c r="GDB1" t="s">
        <v>4878</v>
      </c>
      <c r="GDC1" t="s">
        <v>4879</v>
      </c>
      <c r="GDD1" t="s">
        <v>4880</v>
      </c>
      <c r="GDE1" t="s">
        <v>4881</v>
      </c>
      <c r="GDF1" t="s">
        <v>4882</v>
      </c>
      <c r="GDG1" t="s">
        <v>4883</v>
      </c>
      <c r="GDH1" t="s">
        <v>4884</v>
      </c>
      <c r="GDI1" t="s">
        <v>4885</v>
      </c>
      <c r="GDJ1" t="s">
        <v>4886</v>
      </c>
      <c r="GDK1" t="s">
        <v>4887</v>
      </c>
      <c r="GDL1" t="s">
        <v>4888</v>
      </c>
      <c r="GDM1" t="s">
        <v>4889</v>
      </c>
      <c r="GDN1" t="s">
        <v>4890</v>
      </c>
      <c r="GDO1" t="s">
        <v>4891</v>
      </c>
      <c r="GDP1" t="s">
        <v>4892</v>
      </c>
      <c r="GDQ1" t="s">
        <v>4893</v>
      </c>
      <c r="GDR1" t="s">
        <v>4894</v>
      </c>
      <c r="GDS1" t="s">
        <v>4895</v>
      </c>
      <c r="GDT1" t="s">
        <v>4896</v>
      </c>
      <c r="GDU1" t="s">
        <v>4897</v>
      </c>
      <c r="GDV1" t="s">
        <v>4898</v>
      </c>
      <c r="GDW1" t="s">
        <v>4899</v>
      </c>
      <c r="GDX1" t="s">
        <v>4900</v>
      </c>
      <c r="GDY1" t="s">
        <v>4901</v>
      </c>
      <c r="GDZ1" t="s">
        <v>4902</v>
      </c>
      <c r="GEA1" t="s">
        <v>4903</v>
      </c>
      <c r="GEB1" t="s">
        <v>4904</v>
      </c>
      <c r="GEC1" t="s">
        <v>4905</v>
      </c>
      <c r="GED1" t="s">
        <v>4906</v>
      </c>
      <c r="GEE1" t="s">
        <v>4907</v>
      </c>
      <c r="GEF1" t="s">
        <v>4908</v>
      </c>
      <c r="GEG1" t="s">
        <v>4909</v>
      </c>
      <c r="GEH1" t="s">
        <v>4910</v>
      </c>
      <c r="GEI1" t="s">
        <v>4911</v>
      </c>
      <c r="GEJ1" t="s">
        <v>4912</v>
      </c>
      <c r="GEK1" t="s">
        <v>4913</v>
      </c>
      <c r="GEL1" t="s">
        <v>4914</v>
      </c>
      <c r="GEM1" t="s">
        <v>4915</v>
      </c>
      <c r="GEN1" t="s">
        <v>4916</v>
      </c>
      <c r="GEO1" t="s">
        <v>4917</v>
      </c>
      <c r="GEP1" t="s">
        <v>4918</v>
      </c>
      <c r="GEQ1" t="s">
        <v>4919</v>
      </c>
      <c r="GER1" t="s">
        <v>4920</v>
      </c>
      <c r="GES1" t="s">
        <v>4921</v>
      </c>
      <c r="GET1" t="s">
        <v>4922</v>
      </c>
      <c r="GEU1" t="s">
        <v>4923</v>
      </c>
      <c r="GEV1" t="s">
        <v>4924</v>
      </c>
      <c r="GEW1" t="s">
        <v>4925</v>
      </c>
      <c r="GEX1" t="s">
        <v>4926</v>
      </c>
      <c r="GEY1" t="s">
        <v>4927</v>
      </c>
      <c r="GEZ1" t="s">
        <v>4928</v>
      </c>
      <c r="GFA1" t="s">
        <v>4929</v>
      </c>
      <c r="GFB1" t="s">
        <v>4930</v>
      </c>
      <c r="GFC1" t="s">
        <v>4931</v>
      </c>
      <c r="GFD1" t="s">
        <v>4932</v>
      </c>
      <c r="GFE1" t="s">
        <v>4933</v>
      </c>
      <c r="GFF1" t="s">
        <v>4934</v>
      </c>
      <c r="GFG1" t="s">
        <v>4935</v>
      </c>
      <c r="GFH1" t="s">
        <v>4936</v>
      </c>
      <c r="GFI1" t="s">
        <v>4937</v>
      </c>
      <c r="GFJ1" t="s">
        <v>4938</v>
      </c>
      <c r="GFK1" t="s">
        <v>4939</v>
      </c>
      <c r="GFL1" t="s">
        <v>4940</v>
      </c>
      <c r="GFM1" t="s">
        <v>4941</v>
      </c>
      <c r="GFN1" t="s">
        <v>4942</v>
      </c>
      <c r="GFO1" t="s">
        <v>4943</v>
      </c>
      <c r="GFP1" t="s">
        <v>4944</v>
      </c>
      <c r="GFQ1" t="s">
        <v>4945</v>
      </c>
      <c r="GFR1" t="s">
        <v>4946</v>
      </c>
      <c r="GFS1" t="s">
        <v>4947</v>
      </c>
      <c r="GFT1" t="s">
        <v>4948</v>
      </c>
      <c r="GFU1" t="s">
        <v>4949</v>
      </c>
      <c r="GFV1" t="s">
        <v>4950</v>
      </c>
      <c r="GFW1" t="s">
        <v>4951</v>
      </c>
      <c r="GFX1" t="s">
        <v>4952</v>
      </c>
      <c r="GFY1" t="s">
        <v>4953</v>
      </c>
      <c r="GFZ1" t="s">
        <v>4954</v>
      </c>
      <c r="GGA1" t="s">
        <v>4955</v>
      </c>
      <c r="GGB1" t="s">
        <v>4956</v>
      </c>
      <c r="GGC1" t="s">
        <v>4957</v>
      </c>
      <c r="GGD1" t="s">
        <v>4958</v>
      </c>
      <c r="GGE1" t="s">
        <v>4959</v>
      </c>
      <c r="GGF1" t="s">
        <v>4960</v>
      </c>
      <c r="GGG1" t="s">
        <v>4961</v>
      </c>
      <c r="GGH1" t="s">
        <v>4962</v>
      </c>
      <c r="GGI1" t="s">
        <v>4963</v>
      </c>
      <c r="GGJ1" t="s">
        <v>4964</v>
      </c>
      <c r="GGK1" t="s">
        <v>4965</v>
      </c>
      <c r="GGL1" t="s">
        <v>4966</v>
      </c>
      <c r="GGM1" t="s">
        <v>4967</v>
      </c>
      <c r="GGN1" t="s">
        <v>4968</v>
      </c>
      <c r="GGO1" t="s">
        <v>4969</v>
      </c>
      <c r="GGP1" t="s">
        <v>4970</v>
      </c>
      <c r="GGQ1" t="s">
        <v>4971</v>
      </c>
      <c r="GGR1" t="s">
        <v>4972</v>
      </c>
      <c r="GGS1" t="s">
        <v>4973</v>
      </c>
      <c r="GGT1" t="s">
        <v>4974</v>
      </c>
      <c r="GGU1" t="s">
        <v>4975</v>
      </c>
      <c r="GGV1" t="s">
        <v>4976</v>
      </c>
      <c r="GGW1" t="s">
        <v>4977</v>
      </c>
      <c r="GGX1" t="s">
        <v>4978</v>
      </c>
      <c r="GGY1" t="s">
        <v>4979</v>
      </c>
      <c r="GGZ1" t="s">
        <v>4980</v>
      </c>
      <c r="GHA1" t="s">
        <v>4981</v>
      </c>
      <c r="GHB1" t="s">
        <v>4982</v>
      </c>
      <c r="GHC1" t="s">
        <v>4983</v>
      </c>
      <c r="GHD1" t="s">
        <v>4984</v>
      </c>
      <c r="GHE1" t="s">
        <v>4985</v>
      </c>
      <c r="GHF1" t="s">
        <v>4986</v>
      </c>
      <c r="GHG1" t="s">
        <v>4987</v>
      </c>
      <c r="GHH1" t="s">
        <v>4988</v>
      </c>
      <c r="GHI1" t="s">
        <v>4989</v>
      </c>
      <c r="GHJ1" t="s">
        <v>4990</v>
      </c>
      <c r="GHK1" t="s">
        <v>4991</v>
      </c>
      <c r="GHL1" t="s">
        <v>4992</v>
      </c>
      <c r="GHM1" t="s">
        <v>4993</v>
      </c>
      <c r="GHN1" t="s">
        <v>4994</v>
      </c>
      <c r="GHO1" t="s">
        <v>4995</v>
      </c>
      <c r="GHP1" t="s">
        <v>4996</v>
      </c>
      <c r="GHQ1" t="s">
        <v>4997</v>
      </c>
      <c r="GHR1" t="s">
        <v>4998</v>
      </c>
      <c r="GHS1" t="s">
        <v>4999</v>
      </c>
      <c r="GHT1" t="s">
        <v>5000</v>
      </c>
      <c r="GHU1" t="s">
        <v>5001</v>
      </c>
      <c r="GHV1" t="s">
        <v>5002</v>
      </c>
      <c r="GHW1" t="s">
        <v>5003</v>
      </c>
      <c r="GHX1" t="s">
        <v>5004</v>
      </c>
      <c r="GHY1" t="s">
        <v>5005</v>
      </c>
      <c r="GHZ1" t="s">
        <v>5006</v>
      </c>
      <c r="GIA1" t="s">
        <v>5007</v>
      </c>
      <c r="GIB1" t="s">
        <v>5008</v>
      </c>
      <c r="GIC1" t="s">
        <v>5009</v>
      </c>
      <c r="GID1" t="s">
        <v>5010</v>
      </c>
      <c r="GIE1" t="s">
        <v>5011</v>
      </c>
      <c r="GIF1" t="s">
        <v>5012</v>
      </c>
      <c r="GIG1" t="s">
        <v>5013</v>
      </c>
      <c r="GIH1" t="s">
        <v>5014</v>
      </c>
      <c r="GII1" t="s">
        <v>5015</v>
      </c>
      <c r="GIJ1" t="s">
        <v>5016</v>
      </c>
      <c r="GIK1" t="s">
        <v>5017</v>
      </c>
      <c r="GIL1" t="s">
        <v>5018</v>
      </c>
      <c r="GIM1" t="s">
        <v>5019</v>
      </c>
      <c r="GIN1" t="s">
        <v>5020</v>
      </c>
      <c r="GIO1" t="s">
        <v>5021</v>
      </c>
      <c r="GIP1" t="s">
        <v>5022</v>
      </c>
      <c r="GIQ1" t="s">
        <v>5023</v>
      </c>
      <c r="GIR1" t="s">
        <v>5024</v>
      </c>
      <c r="GIS1" t="s">
        <v>5025</v>
      </c>
      <c r="GIT1" t="s">
        <v>5026</v>
      </c>
      <c r="GIU1" t="s">
        <v>5027</v>
      </c>
      <c r="GIV1" t="s">
        <v>5028</v>
      </c>
      <c r="GIW1" t="s">
        <v>5029</v>
      </c>
      <c r="GIX1" t="s">
        <v>5030</v>
      </c>
      <c r="GIY1" t="s">
        <v>5031</v>
      </c>
      <c r="GIZ1" t="s">
        <v>5032</v>
      </c>
      <c r="GJA1" t="s">
        <v>5033</v>
      </c>
      <c r="GJB1" t="s">
        <v>5034</v>
      </c>
      <c r="GJC1" t="s">
        <v>5035</v>
      </c>
      <c r="GJD1" t="s">
        <v>5036</v>
      </c>
      <c r="GJE1" t="s">
        <v>5037</v>
      </c>
      <c r="GJF1" t="s">
        <v>5038</v>
      </c>
      <c r="GJG1" t="s">
        <v>5039</v>
      </c>
      <c r="GJH1" t="s">
        <v>5040</v>
      </c>
      <c r="GJI1" t="s">
        <v>5041</v>
      </c>
      <c r="GJJ1" t="s">
        <v>5042</v>
      </c>
      <c r="GJK1" t="s">
        <v>5043</v>
      </c>
      <c r="GJL1" t="s">
        <v>5044</v>
      </c>
      <c r="GJM1" t="s">
        <v>5045</v>
      </c>
      <c r="GJN1" t="s">
        <v>5046</v>
      </c>
      <c r="GJO1" t="s">
        <v>5047</v>
      </c>
      <c r="GJP1" t="s">
        <v>5048</v>
      </c>
      <c r="GJQ1" t="s">
        <v>5049</v>
      </c>
      <c r="GJR1" t="s">
        <v>5050</v>
      </c>
      <c r="GJS1" t="s">
        <v>5051</v>
      </c>
      <c r="GJT1" t="s">
        <v>5052</v>
      </c>
      <c r="GJU1" t="s">
        <v>5053</v>
      </c>
      <c r="GJV1" t="s">
        <v>5054</v>
      </c>
      <c r="GJW1" t="s">
        <v>5055</v>
      </c>
      <c r="GJX1" t="s">
        <v>5056</v>
      </c>
      <c r="GJY1" t="s">
        <v>5057</v>
      </c>
      <c r="GJZ1" t="s">
        <v>5058</v>
      </c>
      <c r="GKA1" t="s">
        <v>5059</v>
      </c>
      <c r="GKB1" t="s">
        <v>5060</v>
      </c>
      <c r="GKC1" t="s">
        <v>5061</v>
      </c>
      <c r="GKD1" t="s">
        <v>5062</v>
      </c>
      <c r="GKE1" t="s">
        <v>5063</v>
      </c>
      <c r="GKF1" t="s">
        <v>5064</v>
      </c>
      <c r="GKG1" t="s">
        <v>5065</v>
      </c>
      <c r="GKH1" t="s">
        <v>5066</v>
      </c>
      <c r="GKI1" t="s">
        <v>5067</v>
      </c>
      <c r="GKJ1" t="s">
        <v>5068</v>
      </c>
      <c r="GKK1" t="s">
        <v>5069</v>
      </c>
      <c r="GKL1" t="s">
        <v>5070</v>
      </c>
      <c r="GKM1" t="s">
        <v>5071</v>
      </c>
      <c r="GKN1" t="s">
        <v>5072</v>
      </c>
      <c r="GKO1" t="s">
        <v>5073</v>
      </c>
      <c r="GKP1" t="s">
        <v>5074</v>
      </c>
      <c r="GKQ1" t="s">
        <v>5075</v>
      </c>
      <c r="GKR1" t="s">
        <v>5076</v>
      </c>
      <c r="GKS1" t="s">
        <v>5077</v>
      </c>
      <c r="GKT1" t="s">
        <v>5078</v>
      </c>
      <c r="GKU1" t="s">
        <v>5079</v>
      </c>
      <c r="GKV1" t="s">
        <v>5080</v>
      </c>
      <c r="GKW1" t="s">
        <v>5081</v>
      </c>
      <c r="GKX1" t="s">
        <v>5082</v>
      </c>
      <c r="GKY1" t="s">
        <v>5083</v>
      </c>
      <c r="GKZ1" t="s">
        <v>5084</v>
      </c>
      <c r="GLA1" t="s">
        <v>5085</v>
      </c>
      <c r="GLB1" t="s">
        <v>5086</v>
      </c>
      <c r="GLC1" t="s">
        <v>5087</v>
      </c>
      <c r="GLD1" t="s">
        <v>5088</v>
      </c>
      <c r="GLE1" t="s">
        <v>5089</v>
      </c>
      <c r="GLF1" t="s">
        <v>5090</v>
      </c>
      <c r="GLG1" t="s">
        <v>5091</v>
      </c>
      <c r="GLH1" t="s">
        <v>5092</v>
      </c>
      <c r="GLI1" t="s">
        <v>5093</v>
      </c>
      <c r="GLJ1" t="s">
        <v>5094</v>
      </c>
      <c r="GLK1" t="s">
        <v>5095</v>
      </c>
      <c r="GLL1" t="s">
        <v>5096</v>
      </c>
      <c r="GLM1" t="s">
        <v>5097</v>
      </c>
      <c r="GLN1" t="s">
        <v>5098</v>
      </c>
      <c r="GLO1" t="s">
        <v>5099</v>
      </c>
      <c r="GLP1" t="s">
        <v>5100</v>
      </c>
      <c r="GLQ1" t="s">
        <v>5101</v>
      </c>
      <c r="GLR1" t="s">
        <v>5102</v>
      </c>
      <c r="GLS1" t="s">
        <v>5103</v>
      </c>
      <c r="GLT1" t="s">
        <v>5104</v>
      </c>
      <c r="GLU1" t="s">
        <v>5105</v>
      </c>
      <c r="GLV1" t="s">
        <v>5106</v>
      </c>
      <c r="GLW1" t="s">
        <v>5107</v>
      </c>
      <c r="GLX1" t="s">
        <v>5108</v>
      </c>
      <c r="GLY1" t="s">
        <v>5109</v>
      </c>
      <c r="GLZ1" t="s">
        <v>5110</v>
      </c>
      <c r="GMA1" t="s">
        <v>5111</v>
      </c>
      <c r="GMB1" t="s">
        <v>5112</v>
      </c>
      <c r="GMC1" t="s">
        <v>5113</v>
      </c>
      <c r="GMD1" t="s">
        <v>5114</v>
      </c>
      <c r="GME1" t="s">
        <v>5115</v>
      </c>
      <c r="GMF1" t="s">
        <v>5116</v>
      </c>
      <c r="GMG1" t="s">
        <v>5117</v>
      </c>
      <c r="GMH1" t="s">
        <v>5118</v>
      </c>
      <c r="GMI1" t="s">
        <v>5119</v>
      </c>
      <c r="GMJ1" t="s">
        <v>5120</v>
      </c>
      <c r="GMK1" t="s">
        <v>5121</v>
      </c>
      <c r="GML1" t="s">
        <v>5122</v>
      </c>
      <c r="GMM1" t="s">
        <v>5123</v>
      </c>
      <c r="GMN1" t="s">
        <v>5124</v>
      </c>
      <c r="GMO1" t="s">
        <v>5125</v>
      </c>
      <c r="GMP1" t="s">
        <v>5126</v>
      </c>
      <c r="GMQ1" t="s">
        <v>5127</v>
      </c>
      <c r="GMR1" t="s">
        <v>5128</v>
      </c>
      <c r="GMS1" t="s">
        <v>5129</v>
      </c>
      <c r="GMT1" t="s">
        <v>5130</v>
      </c>
      <c r="GMU1" t="s">
        <v>5131</v>
      </c>
      <c r="GMV1" t="s">
        <v>5132</v>
      </c>
      <c r="GMW1" t="s">
        <v>5133</v>
      </c>
      <c r="GMX1" t="s">
        <v>5134</v>
      </c>
      <c r="GMY1" t="s">
        <v>5135</v>
      </c>
      <c r="GMZ1" t="s">
        <v>5136</v>
      </c>
      <c r="GNA1" t="s">
        <v>5137</v>
      </c>
      <c r="GNB1" t="s">
        <v>5138</v>
      </c>
      <c r="GNC1" t="s">
        <v>5139</v>
      </c>
      <c r="GND1" t="s">
        <v>5140</v>
      </c>
      <c r="GNE1" t="s">
        <v>5141</v>
      </c>
      <c r="GNF1" t="s">
        <v>5142</v>
      </c>
      <c r="GNG1" t="s">
        <v>5143</v>
      </c>
      <c r="GNH1" t="s">
        <v>5144</v>
      </c>
      <c r="GNI1" t="s">
        <v>5145</v>
      </c>
      <c r="GNJ1" t="s">
        <v>5146</v>
      </c>
      <c r="GNK1" t="s">
        <v>5147</v>
      </c>
      <c r="GNL1" t="s">
        <v>5148</v>
      </c>
      <c r="GNM1" t="s">
        <v>5149</v>
      </c>
      <c r="GNN1" t="s">
        <v>5150</v>
      </c>
      <c r="GNO1" t="s">
        <v>5151</v>
      </c>
      <c r="GNP1" t="s">
        <v>5152</v>
      </c>
      <c r="GNQ1" t="s">
        <v>5153</v>
      </c>
      <c r="GNR1" t="s">
        <v>5154</v>
      </c>
      <c r="GNS1" t="s">
        <v>5155</v>
      </c>
      <c r="GNT1" t="s">
        <v>5156</v>
      </c>
      <c r="GNU1" t="s">
        <v>5157</v>
      </c>
      <c r="GNV1" t="s">
        <v>5158</v>
      </c>
      <c r="GNW1" t="s">
        <v>5159</v>
      </c>
      <c r="GNX1" t="s">
        <v>5160</v>
      </c>
      <c r="GNY1" t="s">
        <v>5161</v>
      </c>
      <c r="GNZ1" t="s">
        <v>5162</v>
      </c>
      <c r="GOA1" t="s">
        <v>5163</v>
      </c>
      <c r="GOB1" t="s">
        <v>5164</v>
      </c>
      <c r="GOC1" t="s">
        <v>5165</v>
      </c>
      <c r="GOD1" t="s">
        <v>5166</v>
      </c>
      <c r="GOE1" t="s">
        <v>5167</v>
      </c>
      <c r="GOF1" t="s">
        <v>5168</v>
      </c>
      <c r="GOG1" t="s">
        <v>5169</v>
      </c>
      <c r="GOH1" t="s">
        <v>5170</v>
      </c>
      <c r="GOI1" t="s">
        <v>5171</v>
      </c>
      <c r="GOJ1" t="s">
        <v>5172</v>
      </c>
      <c r="GOK1" t="s">
        <v>5173</v>
      </c>
      <c r="GOL1" t="s">
        <v>5174</v>
      </c>
      <c r="GOM1" t="s">
        <v>5175</v>
      </c>
      <c r="GON1" t="s">
        <v>5176</v>
      </c>
      <c r="GOO1" t="s">
        <v>5177</v>
      </c>
      <c r="GOP1" t="s">
        <v>5178</v>
      </c>
      <c r="GOQ1" t="s">
        <v>5179</v>
      </c>
      <c r="GOR1" t="s">
        <v>5180</v>
      </c>
      <c r="GOS1" t="s">
        <v>5181</v>
      </c>
      <c r="GOT1" t="s">
        <v>5182</v>
      </c>
      <c r="GOU1" t="s">
        <v>5183</v>
      </c>
      <c r="GOV1" t="s">
        <v>5184</v>
      </c>
      <c r="GOW1" t="s">
        <v>5185</v>
      </c>
      <c r="GOX1" t="s">
        <v>5186</v>
      </c>
      <c r="GOY1" t="s">
        <v>5187</v>
      </c>
      <c r="GOZ1" t="s">
        <v>5188</v>
      </c>
      <c r="GPA1" t="s">
        <v>5189</v>
      </c>
      <c r="GPB1" t="s">
        <v>5190</v>
      </c>
      <c r="GPC1" t="s">
        <v>5191</v>
      </c>
      <c r="GPD1" t="s">
        <v>5192</v>
      </c>
      <c r="GPE1" t="s">
        <v>5193</v>
      </c>
      <c r="GPF1" t="s">
        <v>5194</v>
      </c>
      <c r="GPG1" t="s">
        <v>5195</v>
      </c>
      <c r="GPH1" t="s">
        <v>5196</v>
      </c>
      <c r="GPI1" t="s">
        <v>5197</v>
      </c>
      <c r="GPJ1" t="s">
        <v>5198</v>
      </c>
      <c r="GPK1" t="s">
        <v>5199</v>
      </c>
      <c r="GPL1" t="s">
        <v>5200</v>
      </c>
      <c r="GPM1" t="s">
        <v>5201</v>
      </c>
      <c r="GPN1" t="s">
        <v>5202</v>
      </c>
      <c r="GPO1" t="s">
        <v>5203</v>
      </c>
      <c r="GPP1" t="s">
        <v>5204</v>
      </c>
      <c r="GPQ1" t="s">
        <v>5205</v>
      </c>
      <c r="GPR1" t="s">
        <v>5206</v>
      </c>
      <c r="GPS1" t="s">
        <v>5207</v>
      </c>
      <c r="GPT1" t="s">
        <v>5208</v>
      </c>
      <c r="GPU1" t="s">
        <v>5209</v>
      </c>
      <c r="GPV1" t="s">
        <v>5210</v>
      </c>
      <c r="GPW1" t="s">
        <v>5211</v>
      </c>
      <c r="GPX1" t="s">
        <v>5212</v>
      </c>
      <c r="GPY1" t="s">
        <v>5213</v>
      </c>
      <c r="GPZ1" t="s">
        <v>5214</v>
      </c>
      <c r="GQA1" t="s">
        <v>5215</v>
      </c>
      <c r="GQB1" t="s">
        <v>5216</v>
      </c>
      <c r="GQC1" t="s">
        <v>5217</v>
      </c>
      <c r="GQD1" t="s">
        <v>5218</v>
      </c>
      <c r="GQE1" t="s">
        <v>5219</v>
      </c>
      <c r="GQF1" t="s">
        <v>5220</v>
      </c>
      <c r="GQG1" t="s">
        <v>5221</v>
      </c>
      <c r="GQH1" t="s">
        <v>5222</v>
      </c>
      <c r="GQI1" t="s">
        <v>5223</v>
      </c>
      <c r="GQJ1" t="s">
        <v>5224</v>
      </c>
      <c r="GQK1" t="s">
        <v>5225</v>
      </c>
      <c r="GQL1" t="s">
        <v>5226</v>
      </c>
      <c r="GQM1" t="s">
        <v>5227</v>
      </c>
      <c r="GQN1" t="s">
        <v>5228</v>
      </c>
      <c r="GQO1" t="s">
        <v>5229</v>
      </c>
      <c r="GQP1" t="s">
        <v>5230</v>
      </c>
      <c r="GQQ1" t="s">
        <v>5231</v>
      </c>
      <c r="GQR1" t="s">
        <v>5232</v>
      </c>
      <c r="GQS1" t="s">
        <v>5233</v>
      </c>
      <c r="GQT1" t="s">
        <v>5234</v>
      </c>
      <c r="GQU1" t="s">
        <v>5235</v>
      </c>
      <c r="GQV1" t="s">
        <v>5236</v>
      </c>
      <c r="GQW1" t="s">
        <v>5237</v>
      </c>
      <c r="GQX1" t="s">
        <v>5238</v>
      </c>
      <c r="GQY1" t="s">
        <v>5239</v>
      </c>
      <c r="GQZ1" t="s">
        <v>5240</v>
      </c>
      <c r="GRA1" t="s">
        <v>5241</v>
      </c>
      <c r="GRB1" t="s">
        <v>5242</v>
      </c>
      <c r="GRC1" t="s">
        <v>5243</v>
      </c>
      <c r="GRD1" t="s">
        <v>5244</v>
      </c>
      <c r="GRE1" t="s">
        <v>5245</v>
      </c>
      <c r="GRF1" t="s">
        <v>5246</v>
      </c>
      <c r="GRG1" t="s">
        <v>5247</v>
      </c>
      <c r="GRH1" t="s">
        <v>5248</v>
      </c>
      <c r="GRI1" t="s">
        <v>5249</v>
      </c>
      <c r="GRJ1" t="s">
        <v>5250</v>
      </c>
      <c r="GRK1" t="s">
        <v>5251</v>
      </c>
      <c r="GRL1" t="s">
        <v>5252</v>
      </c>
      <c r="GRM1" t="s">
        <v>5253</v>
      </c>
      <c r="GRN1" t="s">
        <v>5254</v>
      </c>
      <c r="GRO1" t="s">
        <v>5255</v>
      </c>
      <c r="GRP1" t="s">
        <v>5256</v>
      </c>
      <c r="GRQ1" t="s">
        <v>5257</v>
      </c>
      <c r="GRR1" t="s">
        <v>5258</v>
      </c>
      <c r="GRS1" t="s">
        <v>5259</v>
      </c>
      <c r="GRT1" t="s">
        <v>5260</v>
      </c>
      <c r="GRU1" t="s">
        <v>5261</v>
      </c>
      <c r="GRV1" t="s">
        <v>5262</v>
      </c>
      <c r="GRW1" t="s">
        <v>5263</v>
      </c>
      <c r="GRX1" t="s">
        <v>5264</v>
      </c>
      <c r="GRY1" t="s">
        <v>5265</v>
      </c>
      <c r="GRZ1" t="s">
        <v>5266</v>
      </c>
      <c r="GSA1" t="s">
        <v>5267</v>
      </c>
      <c r="GSB1" t="s">
        <v>5268</v>
      </c>
      <c r="GSC1" t="s">
        <v>5269</v>
      </c>
      <c r="GSD1" t="s">
        <v>5270</v>
      </c>
      <c r="GSE1" t="s">
        <v>5271</v>
      </c>
      <c r="GSF1" t="s">
        <v>5272</v>
      </c>
      <c r="GSG1" t="s">
        <v>5273</v>
      </c>
      <c r="GSH1" t="s">
        <v>5274</v>
      </c>
      <c r="GSI1" t="s">
        <v>5275</v>
      </c>
      <c r="GSJ1" t="s">
        <v>5276</v>
      </c>
      <c r="GSK1" t="s">
        <v>5277</v>
      </c>
      <c r="GSL1" t="s">
        <v>5278</v>
      </c>
      <c r="GSM1" t="s">
        <v>5279</v>
      </c>
      <c r="GSN1" t="s">
        <v>5280</v>
      </c>
      <c r="GSO1" t="s">
        <v>5281</v>
      </c>
      <c r="GSP1" t="s">
        <v>5282</v>
      </c>
      <c r="GSQ1" t="s">
        <v>5283</v>
      </c>
      <c r="GSR1" t="s">
        <v>5284</v>
      </c>
      <c r="GSS1" t="s">
        <v>5285</v>
      </c>
      <c r="GST1" t="s">
        <v>5286</v>
      </c>
      <c r="GSU1" t="s">
        <v>5287</v>
      </c>
      <c r="GSV1" t="s">
        <v>5288</v>
      </c>
      <c r="GSW1" t="s">
        <v>5289</v>
      </c>
      <c r="GSX1" t="s">
        <v>5290</v>
      </c>
      <c r="GSY1" t="s">
        <v>5291</v>
      </c>
      <c r="GSZ1" t="s">
        <v>5292</v>
      </c>
      <c r="GTA1" t="s">
        <v>5293</v>
      </c>
      <c r="GTB1" t="s">
        <v>5294</v>
      </c>
      <c r="GTC1" t="s">
        <v>5295</v>
      </c>
      <c r="GTD1" t="s">
        <v>5296</v>
      </c>
      <c r="GTE1" t="s">
        <v>5297</v>
      </c>
      <c r="GTF1" t="s">
        <v>5298</v>
      </c>
      <c r="GTG1" t="s">
        <v>5299</v>
      </c>
      <c r="GTH1" t="s">
        <v>5300</v>
      </c>
      <c r="GTI1" t="s">
        <v>5301</v>
      </c>
      <c r="GTJ1" t="s">
        <v>5302</v>
      </c>
      <c r="GTK1" t="s">
        <v>5303</v>
      </c>
      <c r="GTL1" t="s">
        <v>5304</v>
      </c>
      <c r="GTM1" t="s">
        <v>5305</v>
      </c>
      <c r="GTN1" t="s">
        <v>5306</v>
      </c>
      <c r="GTO1" t="s">
        <v>5307</v>
      </c>
      <c r="GTP1" t="s">
        <v>5308</v>
      </c>
      <c r="GTQ1" t="s">
        <v>5309</v>
      </c>
      <c r="GTR1" t="s">
        <v>5310</v>
      </c>
      <c r="GTS1" t="s">
        <v>5311</v>
      </c>
      <c r="GTT1" t="s">
        <v>5312</v>
      </c>
      <c r="GTU1" t="s">
        <v>5313</v>
      </c>
      <c r="GTV1" t="s">
        <v>5314</v>
      </c>
      <c r="GTW1" t="s">
        <v>5315</v>
      </c>
      <c r="GTX1" t="s">
        <v>5316</v>
      </c>
      <c r="GTY1" t="s">
        <v>5317</v>
      </c>
      <c r="GTZ1" t="s">
        <v>5318</v>
      </c>
      <c r="GUA1" t="s">
        <v>5319</v>
      </c>
      <c r="GUB1" t="s">
        <v>5320</v>
      </c>
      <c r="GUC1" t="s">
        <v>5321</v>
      </c>
      <c r="GUD1" t="s">
        <v>5322</v>
      </c>
      <c r="GUE1" t="s">
        <v>5323</v>
      </c>
      <c r="GUF1" t="s">
        <v>5324</v>
      </c>
      <c r="GUG1" t="s">
        <v>5325</v>
      </c>
      <c r="GUH1" t="s">
        <v>5326</v>
      </c>
      <c r="GUI1" t="s">
        <v>5327</v>
      </c>
      <c r="GUJ1" t="s">
        <v>5328</v>
      </c>
      <c r="GUK1" t="s">
        <v>5329</v>
      </c>
      <c r="GUL1" t="s">
        <v>5330</v>
      </c>
      <c r="GUM1" t="s">
        <v>5331</v>
      </c>
      <c r="GUN1" t="s">
        <v>5332</v>
      </c>
      <c r="GUO1" t="s">
        <v>5333</v>
      </c>
      <c r="GUP1" t="s">
        <v>5334</v>
      </c>
      <c r="GUQ1" t="s">
        <v>5335</v>
      </c>
      <c r="GUR1" t="s">
        <v>5336</v>
      </c>
      <c r="GUS1" t="s">
        <v>5337</v>
      </c>
      <c r="GUT1" t="s">
        <v>5338</v>
      </c>
      <c r="GUU1" t="s">
        <v>5339</v>
      </c>
      <c r="GUV1" t="s">
        <v>5340</v>
      </c>
      <c r="GUW1" t="s">
        <v>5341</v>
      </c>
      <c r="GUX1" t="s">
        <v>5342</v>
      </c>
      <c r="GUY1" t="s">
        <v>5343</v>
      </c>
      <c r="GUZ1" t="s">
        <v>5344</v>
      </c>
      <c r="GVA1" t="s">
        <v>5345</v>
      </c>
      <c r="GVB1" t="s">
        <v>5346</v>
      </c>
      <c r="GVC1" t="s">
        <v>5347</v>
      </c>
      <c r="GVD1" t="s">
        <v>5348</v>
      </c>
      <c r="GVE1" t="s">
        <v>5349</v>
      </c>
      <c r="GVF1" t="s">
        <v>5350</v>
      </c>
      <c r="GVG1" t="s">
        <v>5351</v>
      </c>
      <c r="GVH1" t="s">
        <v>5352</v>
      </c>
      <c r="GVI1" t="s">
        <v>5353</v>
      </c>
      <c r="GVJ1" t="s">
        <v>5354</v>
      </c>
      <c r="GVK1" t="s">
        <v>5355</v>
      </c>
      <c r="GVL1" t="s">
        <v>5356</v>
      </c>
      <c r="GVM1" t="s">
        <v>5357</v>
      </c>
      <c r="GVN1" t="s">
        <v>5358</v>
      </c>
      <c r="GVO1" t="s">
        <v>5359</v>
      </c>
      <c r="GVP1" t="s">
        <v>5360</v>
      </c>
      <c r="GVQ1" t="s">
        <v>5361</v>
      </c>
      <c r="GVR1" t="s">
        <v>5362</v>
      </c>
      <c r="GVS1" t="s">
        <v>5363</v>
      </c>
      <c r="GVT1" t="s">
        <v>5364</v>
      </c>
      <c r="GVU1" t="s">
        <v>5365</v>
      </c>
      <c r="GVV1" t="s">
        <v>5366</v>
      </c>
      <c r="GVW1" t="s">
        <v>5367</v>
      </c>
      <c r="GVX1" t="s">
        <v>5368</v>
      </c>
      <c r="GVY1" t="s">
        <v>5369</v>
      </c>
      <c r="GVZ1" t="s">
        <v>5370</v>
      </c>
      <c r="GWA1" t="s">
        <v>5371</v>
      </c>
      <c r="GWB1" t="s">
        <v>5372</v>
      </c>
      <c r="GWC1" t="s">
        <v>5373</v>
      </c>
      <c r="GWD1" t="s">
        <v>5374</v>
      </c>
      <c r="GWE1" t="s">
        <v>5375</v>
      </c>
      <c r="GWF1" t="s">
        <v>5376</v>
      </c>
      <c r="GWG1" t="s">
        <v>5377</v>
      </c>
      <c r="GWH1" t="s">
        <v>5378</v>
      </c>
      <c r="GWI1" t="s">
        <v>5379</v>
      </c>
      <c r="GWJ1" t="s">
        <v>5380</v>
      </c>
      <c r="GWK1" t="s">
        <v>5381</v>
      </c>
      <c r="GWL1" t="s">
        <v>5382</v>
      </c>
      <c r="GWM1" t="s">
        <v>5383</v>
      </c>
      <c r="GWN1" t="s">
        <v>5384</v>
      </c>
      <c r="GWO1" t="s">
        <v>5385</v>
      </c>
      <c r="GWP1" t="s">
        <v>5386</v>
      </c>
      <c r="GWQ1" t="s">
        <v>5387</v>
      </c>
      <c r="GWR1" t="s">
        <v>5388</v>
      </c>
      <c r="GWS1" t="s">
        <v>5389</v>
      </c>
      <c r="GWT1" t="s">
        <v>5390</v>
      </c>
      <c r="GWU1" t="s">
        <v>5391</v>
      </c>
      <c r="GWV1" t="s">
        <v>5392</v>
      </c>
      <c r="GWW1" t="s">
        <v>5393</v>
      </c>
      <c r="GWX1" t="s">
        <v>5394</v>
      </c>
      <c r="GWY1" t="s">
        <v>5395</v>
      </c>
      <c r="GWZ1" t="s">
        <v>5396</v>
      </c>
      <c r="GXA1" t="s">
        <v>5397</v>
      </c>
      <c r="GXB1" t="s">
        <v>5398</v>
      </c>
      <c r="GXC1" t="s">
        <v>5399</v>
      </c>
      <c r="GXD1" t="s">
        <v>5400</v>
      </c>
      <c r="GXE1" t="s">
        <v>5401</v>
      </c>
      <c r="GXF1" t="s">
        <v>5402</v>
      </c>
      <c r="GXG1" t="s">
        <v>5403</v>
      </c>
      <c r="GXH1" t="s">
        <v>5404</v>
      </c>
      <c r="GXI1" t="s">
        <v>5405</v>
      </c>
      <c r="GXJ1" t="s">
        <v>5406</v>
      </c>
      <c r="GXK1" t="s">
        <v>5407</v>
      </c>
      <c r="GXL1" t="s">
        <v>5408</v>
      </c>
      <c r="GXM1" t="s">
        <v>5409</v>
      </c>
      <c r="GXN1" t="s">
        <v>5410</v>
      </c>
      <c r="GXO1" t="s">
        <v>5411</v>
      </c>
      <c r="GXP1" t="s">
        <v>5412</v>
      </c>
      <c r="GXQ1" t="s">
        <v>5413</v>
      </c>
      <c r="GXR1" t="s">
        <v>5414</v>
      </c>
      <c r="GXS1" t="s">
        <v>5415</v>
      </c>
      <c r="GXT1" t="s">
        <v>5416</v>
      </c>
      <c r="GXU1" t="s">
        <v>5417</v>
      </c>
      <c r="GXV1" t="s">
        <v>5418</v>
      </c>
      <c r="GXW1" t="s">
        <v>5419</v>
      </c>
      <c r="GXX1" t="s">
        <v>5420</v>
      </c>
      <c r="GXY1" t="s">
        <v>5421</v>
      </c>
      <c r="GXZ1" t="s">
        <v>5422</v>
      </c>
      <c r="GYA1" t="s">
        <v>5423</v>
      </c>
      <c r="GYB1" t="s">
        <v>5424</v>
      </c>
      <c r="GYC1" t="s">
        <v>5425</v>
      </c>
      <c r="GYD1" t="s">
        <v>5426</v>
      </c>
      <c r="GYE1" t="s">
        <v>5427</v>
      </c>
      <c r="GYF1" t="s">
        <v>5428</v>
      </c>
      <c r="GYG1" t="s">
        <v>5429</v>
      </c>
      <c r="GYH1" t="s">
        <v>5430</v>
      </c>
      <c r="GYI1" t="s">
        <v>5431</v>
      </c>
      <c r="GYJ1" t="s">
        <v>5432</v>
      </c>
      <c r="GYK1" t="s">
        <v>5433</v>
      </c>
      <c r="GYL1" t="s">
        <v>5434</v>
      </c>
      <c r="GYM1" t="s">
        <v>5435</v>
      </c>
      <c r="GYN1" t="s">
        <v>5436</v>
      </c>
      <c r="GYO1" t="s">
        <v>5437</v>
      </c>
      <c r="GYP1" t="s">
        <v>5438</v>
      </c>
      <c r="GYQ1" t="s">
        <v>5439</v>
      </c>
      <c r="GYR1" t="s">
        <v>5440</v>
      </c>
      <c r="GYS1" t="s">
        <v>5441</v>
      </c>
      <c r="GYT1" t="s">
        <v>5442</v>
      </c>
      <c r="GYU1" t="s">
        <v>5443</v>
      </c>
      <c r="GYV1" t="s">
        <v>5444</v>
      </c>
      <c r="GYW1" t="s">
        <v>5445</v>
      </c>
      <c r="GYX1" t="s">
        <v>5446</v>
      </c>
      <c r="GYY1" t="s">
        <v>5447</v>
      </c>
      <c r="GYZ1" t="s">
        <v>5448</v>
      </c>
      <c r="GZA1" t="s">
        <v>5449</v>
      </c>
      <c r="GZB1" t="s">
        <v>5450</v>
      </c>
      <c r="GZC1" t="s">
        <v>5451</v>
      </c>
      <c r="GZD1" t="s">
        <v>5452</v>
      </c>
      <c r="GZE1" t="s">
        <v>5453</v>
      </c>
      <c r="GZF1" t="s">
        <v>5454</v>
      </c>
      <c r="GZG1" t="s">
        <v>5455</v>
      </c>
      <c r="GZH1" t="s">
        <v>5456</v>
      </c>
      <c r="GZI1" t="s">
        <v>5457</v>
      </c>
      <c r="GZJ1" t="s">
        <v>5458</v>
      </c>
      <c r="GZK1" t="s">
        <v>5459</v>
      </c>
      <c r="GZL1" t="s">
        <v>5460</v>
      </c>
      <c r="GZM1" t="s">
        <v>5461</v>
      </c>
      <c r="GZN1" t="s">
        <v>5462</v>
      </c>
      <c r="GZO1" t="s">
        <v>5463</v>
      </c>
      <c r="GZP1" t="s">
        <v>5464</v>
      </c>
      <c r="GZQ1" t="s">
        <v>5465</v>
      </c>
      <c r="GZR1" t="s">
        <v>5466</v>
      </c>
      <c r="GZS1" t="s">
        <v>5467</v>
      </c>
      <c r="GZT1" t="s">
        <v>5468</v>
      </c>
      <c r="GZU1" t="s">
        <v>5469</v>
      </c>
      <c r="GZV1" t="s">
        <v>5470</v>
      </c>
      <c r="GZW1" t="s">
        <v>5471</v>
      </c>
      <c r="GZX1" t="s">
        <v>5472</v>
      </c>
      <c r="GZY1" t="s">
        <v>5473</v>
      </c>
      <c r="GZZ1" t="s">
        <v>5474</v>
      </c>
      <c r="HAA1" t="s">
        <v>5475</v>
      </c>
      <c r="HAB1" t="s">
        <v>5476</v>
      </c>
      <c r="HAC1" t="s">
        <v>5477</v>
      </c>
      <c r="HAD1" t="s">
        <v>5478</v>
      </c>
      <c r="HAE1" t="s">
        <v>5479</v>
      </c>
      <c r="HAF1" t="s">
        <v>5480</v>
      </c>
      <c r="HAG1" t="s">
        <v>5481</v>
      </c>
      <c r="HAH1" t="s">
        <v>5482</v>
      </c>
      <c r="HAI1" t="s">
        <v>5483</v>
      </c>
      <c r="HAJ1" t="s">
        <v>5484</v>
      </c>
      <c r="HAK1" t="s">
        <v>5485</v>
      </c>
      <c r="HAL1" t="s">
        <v>5486</v>
      </c>
      <c r="HAM1" t="s">
        <v>5487</v>
      </c>
      <c r="HAN1" t="s">
        <v>5488</v>
      </c>
      <c r="HAO1" t="s">
        <v>5489</v>
      </c>
      <c r="HAP1" t="s">
        <v>5490</v>
      </c>
      <c r="HAQ1" t="s">
        <v>5491</v>
      </c>
      <c r="HAR1" t="s">
        <v>5492</v>
      </c>
      <c r="HAS1" t="s">
        <v>5493</v>
      </c>
      <c r="HAT1" t="s">
        <v>5494</v>
      </c>
      <c r="HAU1" t="s">
        <v>5495</v>
      </c>
      <c r="HAV1" t="s">
        <v>5496</v>
      </c>
      <c r="HAW1" t="s">
        <v>5497</v>
      </c>
      <c r="HAX1" t="s">
        <v>5498</v>
      </c>
      <c r="HAY1" t="s">
        <v>5499</v>
      </c>
      <c r="HAZ1" t="s">
        <v>5500</v>
      </c>
      <c r="HBA1" t="s">
        <v>5501</v>
      </c>
      <c r="HBB1" t="s">
        <v>5502</v>
      </c>
      <c r="HBC1" t="s">
        <v>5503</v>
      </c>
      <c r="HBD1" t="s">
        <v>5504</v>
      </c>
      <c r="HBE1" t="s">
        <v>5505</v>
      </c>
      <c r="HBF1" t="s">
        <v>5506</v>
      </c>
      <c r="HBG1" t="s">
        <v>5507</v>
      </c>
      <c r="HBH1" t="s">
        <v>5508</v>
      </c>
      <c r="HBI1" t="s">
        <v>5509</v>
      </c>
      <c r="HBJ1" t="s">
        <v>5510</v>
      </c>
      <c r="HBK1" t="s">
        <v>5511</v>
      </c>
      <c r="HBL1" t="s">
        <v>5512</v>
      </c>
      <c r="HBM1" t="s">
        <v>5513</v>
      </c>
      <c r="HBN1" t="s">
        <v>5514</v>
      </c>
      <c r="HBO1" t="s">
        <v>5515</v>
      </c>
      <c r="HBP1" t="s">
        <v>5516</v>
      </c>
      <c r="HBQ1" t="s">
        <v>5517</v>
      </c>
      <c r="HBR1" t="s">
        <v>5518</v>
      </c>
      <c r="HBS1" t="s">
        <v>5519</v>
      </c>
      <c r="HBT1" t="s">
        <v>5520</v>
      </c>
      <c r="HBU1" t="s">
        <v>5521</v>
      </c>
      <c r="HBV1" t="s">
        <v>5522</v>
      </c>
      <c r="HBW1" t="s">
        <v>5523</v>
      </c>
      <c r="HBX1" t="s">
        <v>5524</v>
      </c>
      <c r="HBY1" t="s">
        <v>5525</v>
      </c>
      <c r="HBZ1" t="s">
        <v>5526</v>
      </c>
      <c r="HCA1" t="s">
        <v>5527</v>
      </c>
      <c r="HCB1" t="s">
        <v>5528</v>
      </c>
      <c r="HCC1" t="s">
        <v>5529</v>
      </c>
      <c r="HCD1" t="s">
        <v>5530</v>
      </c>
      <c r="HCE1" t="s">
        <v>5531</v>
      </c>
      <c r="HCF1" t="s">
        <v>5532</v>
      </c>
      <c r="HCG1" t="s">
        <v>5533</v>
      </c>
      <c r="HCH1" t="s">
        <v>5534</v>
      </c>
      <c r="HCI1" t="s">
        <v>5535</v>
      </c>
      <c r="HCJ1" t="s">
        <v>5536</v>
      </c>
      <c r="HCK1" t="s">
        <v>5537</v>
      </c>
      <c r="HCL1" t="s">
        <v>5538</v>
      </c>
      <c r="HCM1" t="s">
        <v>5539</v>
      </c>
      <c r="HCN1" t="s">
        <v>5540</v>
      </c>
      <c r="HCO1" t="s">
        <v>5541</v>
      </c>
      <c r="HCP1" t="s">
        <v>5542</v>
      </c>
      <c r="HCQ1" t="s">
        <v>5543</v>
      </c>
      <c r="HCR1" t="s">
        <v>5544</v>
      </c>
      <c r="HCS1" t="s">
        <v>5545</v>
      </c>
      <c r="HCT1" t="s">
        <v>5546</v>
      </c>
      <c r="HCU1" t="s">
        <v>5547</v>
      </c>
      <c r="HCV1" t="s">
        <v>5548</v>
      </c>
      <c r="HCW1" t="s">
        <v>5549</v>
      </c>
      <c r="HCX1" t="s">
        <v>5550</v>
      </c>
      <c r="HCY1" t="s">
        <v>5551</v>
      </c>
      <c r="HCZ1" t="s">
        <v>5552</v>
      </c>
      <c r="HDA1" t="s">
        <v>5553</v>
      </c>
      <c r="HDB1" t="s">
        <v>5554</v>
      </c>
      <c r="HDC1" t="s">
        <v>5555</v>
      </c>
      <c r="HDD1" t="s">
        <v>5556</v>
      </c>
      <c r="HDE1" t="s">
        <v>5557</v>
      </c>
      <c r="HDF1" t="s">
        <v>5558</v>
      </c>
      <c r="HDG1" t="s">
        <v>5559</v>
      </c>
      <c r="HDH1" t="s">
        <v>5560</v>
      </c>
      <c r="HDI1" t="s">
        <v>5561</v>
      </c>
      <c r="HDJ1" t="s">
        <v>5562</v>
      </c>
      <c r="HDK1" t="s">
        <v>5563</v>
      </c>
      <c r="HDL1" t="s">
        <v>5564</v>
      </c>
      <c r="HDM1" t="s">
        <v>5565</v>
      </c>
      <c r="HDN1" t="s">
        <v>5566</v>
      </c>
      <c r="HDO1" t="s">
        <v>5567</v>
      </c>
      <c r="HDP1" t="s">
        <v>5568</v>
      </c>
      <c r="HDQ1" t="s">
        <v>5569</v>
      </c>
      <c r="HDR1" t="s">
        <v>5570</v>
      </c>
      <c r="HDS1" t="s">
        <v>5571</v>
      </c>
      <c r="HDT1" t="s">
        <v>5572</v>
      </c>
      <c r="HDU1" t="s">
        <v>5573</v>
      </c>
      <c r="HDV1" t="s">
        <v>5574</v>
      </c>
      <c r="HDW1" t="s">
        <v>5575</v>
      </c>
      <c r="HDX1" t="s">
        <v>5576</v>
      </c>
      <c r="HDY1" t="s">
        <v>5577</v>
      </c>
      <c r="HDZ1" t="s">
        <v>5578</v>
      </c>
      <c r="HEA1" t="s">
        <v>5579</v>
      </c>
      <c r="HEB1" t="s">
        <v>5580</v>
      </c>
      <c r="HEC1" t="s">
        <v>5581</v>
      </c>
      <c r="HED1" t="s">
        <v>5582</v>
      </c>
      <c r="HEE1" t="s">
        <v>5583</v>
      </c>
      <c r="HEF1" t="s">
        <v>5584</v>
      </c>
      <c r="HEG1" t="s">
        <v>5585</v>
      </c>
      <c r="HEH1" t="s">
        <v>5586</v>
      </c>
      <c r="HEI1" t="s">
        <v>5587</v>
      </c>
      <c r="HEJ1" t="s">
        <v>5588</v>
      </c>
      <c r="HEK1" t="s">
        <v>5589</v>
      </c>
      <c r="HEL1" t="s">
        <v>5590</v>
      </c>
      <c r="HEM1" t="s">
        <v>5591</v>
      </c>
      <c r="HEN1" t="s">
        <v>5592</v>
      </c>
      <c r="HEO1" t="s">
        <v>5593</v>
      </c>
      <c r="HEP1" t="s">
        <v>5594</v>
      </c>
      <c r="HEQ1" t="s">
        <v>5595</v>
      </c>
      <c r="HER1" t="s">
        <v>5596</v>
      </c>
      <c r="HES1" t="s">
        <v>5597</v>
      </c>
      <c r="HET1" t="s">
        <v>5598</v>
      </c>
      <c r="HEU1" t="s">
        <v>5599</v>
      </c>
      <c r="HEV1" t="s">
        <v>5600</v>
      </c>
      <c r="HEW1" t="s">
        <v>5601</v>
      </c>
      <c r="HEX1" t="s">
        <v>5602</v>
      </c>
      <c r="HEY1" t="s">
        <v>5603</v>
      </c>
      <c r="HEZ1" t="s">
        <v>5604</v>
      </c>
      <c r="HFA1" t="s">
        <v>5605</v>
      </c>
      <c r="HFB1" t="s">
        <v>5606</v>
      </c>
      <c r="HFC1" t="s">
        <v>5607</v>
      </c>
      <c r="HFD1" t="s">
        <v>5608</v>
      </c>
      <c r="HFE1" t="s">
        <v>5609</v>
      </c>
      <c r="HFF1" t="s">
        <v>5610</v>
      </c>
      <c r="HFG1" t="s">
        <v>5611</v>
      </c>
      <c r="HFH1" t="s">
        <v>5612</v>
      </c>
      <c r="HFI1" t="s">
        <v>5613</v>
      </c>
      <c r="HFJ1" t="s">
        <v>5614</v>
      </c>
      <c r="HFK1" t="s">
        <v>5615</v>
      </c>
      <c r="HFL1" t="s">
        <v>5616</v>
      </c>
      <c r="HFM1" t="s">
        <v>5617</v>
      </c>
      <c r="HFN1" t="s">
        <v>5618</v>
      </c>
      <c r="HFO1" t="s">
        <v>5619</v>
      </c>
      <c r="HFP1" t="s">
        <v>5620</v>
      </c>
      <c r="HFQ1" t="s">
        <v>5621</v>
      </c>
      <c r="HFR1" t="s">
        <v>5622</v>
      </c>
      <c r="HFS1" t="s">
        <v>5623</v>
      </c>
      <c r="HFT1" t="s">
        <v>5624</v>
      </c>
      <c r="HFU1" t="s">
        <v>5625</v>
      </c>
      <c r="HFV1" t="s">
        <v>5626</v>
      </c>
      <c r="HFW1" t="s">
        <v>5627</v>
      </c>
      <c r="HFX1" t="s">
        <v>5628</v>
      </c>
      <c r="HFY1" t="s">
        <v>5629</v>
      </c>
      <c r="HFZ1" t="s">
        <v>5630</v>
      </c>
      <c r="HGA1" t="s">
        <v>5631</v>
      </c>
      <c r="HGB1" t="s">
        <v>5632</v>
      </c>
      <c r="HGC1" t="s">
        <v>5633</v>
      </c>
      <c r="HGD1" t="s">
        <v>5634</v>
      </c>
      <c r="HGE1" t="s">
        <v>5635</v>
      </c>
      <c r="HGF1" t="s">
        <v>5636</v>
      </c>
      <c r="HGG1" t="s">
        <v>5637</v>
      </c>
      <c r="HGH1" t="s">
        <v>5638</v>
      </c>
      <c r="HGI1" t="s">
        <v>5639</v>
      </c>
      <c r="HGJ1" t="s">
        <v>5640</v>
      </c>
      <c r="HGK1" t="s">
        <v>5641</v>
      </c>
      <c r="HGL1" t="s">
        <v>5642</v>
      </c>
      <c r="HGM1" t="s">
        <v>5643</v>
      </c>
      <c r="HGN1" t="s">
        <v>5644</v>
      </c>
      <c r="HGO1" t="s">
        <v>5645</v>
      </c>
      <c r="HGP1" t="s">
        <v>5646</v>
      </c>
      <c r="HGQ1" t="s">
        <v>5647</v>
      </c>
      <c r="HGR1" t="s">
        <v>5648</v>
      </c>
      <c r="HGS1" t="s">
        <v>5649</v>
      </c>
      <c r="HGT1" t="s">
        <v>5650</v>
      </c>
      <c r="HGU1" t="s">
        <v>5651</v>
      </c>
      <c r="HGV1" t="s">
        <v>5652</v>
      </c>
      <c r="HGW1" t="s">
        <v>5653</v>
      </c>
      <c r="HGX1" t="s">
        <v>5654</v>
      </c>
      <c r="HGY1" t="s">
        <v>5655</v>
      </c>
      <c r="HGZ1" t="s">
        <v>5656</v>
      </c>
      <c r="HHA1" t="s">
        <v>5657</v>
      </c>
      <c r="HHB1" t="s">
        <v>5658</v>
      </c>
      <c r="HHC1" t="s">
        <v>5659</v>
      </c>
      <c r="HHD1" t="s">
        <v>5660</v>
      </c>
      <c r="HHE1" t="s">
        <v>5661</v>
      </c>
      <c r="HHF1" t="s">
        <v>5662</v>
      </c>
      <c r="HHG1" t="s">
        <v>5663</v>
      </c>
      <c r="HHH1" t="s">
        <v>5664</v>
      </c>
      <c r="HHI1" t="s">
        <v>5665</v>
      </c>
      <c r="HHJ1" t="s">
        <v>5666</v>
      </c>
      <c r="HHK1" t="s">
        <v>5667</v>
      </c>
      <c r="HHL1" t="s">
        <v>5668</v>
      </c>
      <c r="HHM1" t="s">
        <v>5669</v>
      </c>
      <c r="HHN1" t="s">
        <v>5670</v>
      </c>
      <c r="HHO1" t="s">
        <v>5671</v>
      </c>
      <c r="HHP1" t="s">
        <v>5672</v>
      </c>
      <c r="HHQ1" t="s">
        <v>5673</v>
      </c>
      <c r="HHR1" t="s">
        <v>5674</v>
      </c>
      <c r="HHS1" t="s">
        <v>5675</v>
      </c>
      <c r="HHT1" t="s">
        <v>5676</v>
      </c>
      <c r="HHU1" t="s">
        <v>5677</v>
      </c>
      <c r="HHV1" t="s">
        <v>5678</v>
      </c>
      <c r="HHW1" t="s">
        <v>5679</v>
      </c>
      <c r="HHX1" t="s">
        <v>5680</v>
      </c>
      <c r="HHY1" t="s">
        <v>5681</v>
      </c>
      <c r="HHZ1" t="s">
        <v>5682</v>
      </c>
      <c r="HIA1" t="s">
        <v>5683</v>
      </c>
      <c r="HIB1" t="s">
        <v>5684</v>
      </c>
      <c r="HIC1" t="s">
        <v>5685</v>
      </c>
      <c r="HID1" t="s">
        <v>5686</v>
      </c>
      <c r="HIE1" t="s">
        <v>5687</v>
      </c>
      <c r="HIF1" t="s">
        <v>5688</v>
      </c>
      <c r="HIG1" t="s">
        <v>5689</v>
      </c>
      <c r="HIH1" t="s">
        <v>5690</v>
      </c>
      <c r="HII1" t="s">
        <v>5691</v>
      </c>
      <c r="HIJ1" t="s">
        <v>5692</v>
      </c>
      <c r="HIK1" t="s">
        <v>5693</v>
      </c>
      <c r="HIL1" t="s">
        <v>5694</v>
      </c>
      <c r="HIM1" t="s">
        <v>5695</v>
      </c>
      <c r="HIN1" t="s">
        <v>5696</v>
      </c>
      <c r="HIO1" t="s">
        <v>5697</v>
      </c>
      <c r="HIP1" t="s">
        <v>5698</v>
      </c>
      <c r="HIQ1" t="s">
        <v>5699</v>
      </c>
      <c r="HIR1" t="s">
        <v>5700</v>
      </c>
      <c r="HIS1" t="s">
        <v>5701</v>
      </c>
      <c r="HIT1" t="s">
        <v>5702</v>
      </c>
      <c r="HIU1" t="s">
        <v>5703</v>
      </c>
      <c r="HIV1" t="s">
        <v>5704</v>
      </c>
      <c r="HIW1" t="s">
        <v>5705</v>
      </c>
      <c r="HIX1" t="s">
        <v>5706</v>
      </c>
      <c r="HIY1" t="s">
        <v>5707</v>
      </c>
      <c r="HIZ1" t="s">
        <v>5708</v>
      </c>
      <c r="HJA1" t="s">
        <v>5709</v>
      </c>
      <c r="HJB1" t="s">
        <v>5710</v>
      </c>
      <c r="HJC1" t="s">
        <v>5711</v>
      </c>
      <c r="HJD1" t="s">
        <v>5712</v>
      </c>
      <c r="HJE1" t="s">
        <v>5713</v>
      </c>
      <c r="HJF1" t="s">
        <v>5714</v>
      </c>
      <c r="HJG1" t="s">
        <v>5715</v>
      </c>
      <c r="HJH1" t="s">
        <v>5716</v>
      </c>
      <c r="HJI1" t="s">
        <v>5717</v>
      </c>
      <c r="HJJ1" t="s">
        <v>5718</v>
      </c>
      <c r="HJK1" t="s">
        <v>5719</v>
      </c>
      <c r="HJL1" t="s">
        <v>5720</v>
      </c>
      <c r="HJM1" t="s">
        <v>5721</v>
      </c>
      <c r="HJN1" t="s">
        <v>5722</v>
      </c>
      <c r="HJO1" t="s">
        <v>5723</v>
      </c>
      <c r="HJP1" t="s">
        <v>5724</v>
      </c>
      <c r="HJQ1" t="s">
        <v>5725</v>
      </c>
      <c r="HJR1" t="s">
        <v>5726</v>
      </c>
      <c r="HJS1" t="s">
        <v>5727</v>
      </c>
      <c r="HJT1" t="s">
        <v>5728</v>
      </c>
      <c r="HJU1" t="s">
        <v>5729</v>
      </c>
      <c r="HJV1" t="s">
        <v>5730</v>
      </c>
      <c r="HJW1" t="s">
        <v>5731</v>
      </c>
      <c r="HJX1" t="s">
        <v>5732</v>
      </c>
      <c r="HJY1" t="s">
        <v>5733</v>
      </c>
      <c r="HJZ1" t="s">
        <v>5734</v>
      </c>
      <c r="HKA1" t="s">
        <v>5735</v>
      </c>
      <c r="HKB1" t="s">
        <v>5736</v>
      </c>
      <c r="HKC1" t="s">
        <v>5737</v>
      </c>
      <c r="HKD1" t="s">
        <v>5738</v>
      </c>
      <c r="HKE1" t="s">
        <v>5739</v>
      </c>
      <c r="HKF1" t="s">
        <v>5740</v>
      </c>
      <c r="HKG1" t="s">
        <v>5741</v>
      </c>
      <c r="HKH1" t="s">
        <v>5742</v>
      </c>
      <c r="HKI1" t="s">
        <v>5743</v>
      </c>
      <c r="HKJ1" t="s">
        <v>5744</v>
      </c>
      <c r="HKK1" t="s">
        <v>5745</v>
      </c>
      <c r="HKL1" t="s">
        <v>5746</v>
      </c>
      <c r="HKM1" t="s">
        <v>5747</v>
      </c>
      <c r="HKN1" t="s">
        <v>5748</v>
      </c>
      <c r="HKO1" t="s">
        <v>5749</v>
      </c>
      <c r="HKP1" t="s">
        <v>5750</v>
      </c>
      <c r="HKQ1" t="s">
        <v>5751</v>
      </c>
      <c r="HKR1" t="s">
        <v>5752</v>
      </c>
      <c r="HKS1" t="s">
        <v>5753</v>
      </c>
      <c r="HKT1" t="s">
        <v>5754</v>
      </c>
      <c r="HKU1" t="s">
        <v>5755</v>
      </c>
      <c r="HKV1" t="s">
        <v>5756</v>
      </c>
      <c r="HKW1" t="s">
        <v>5757</v>
      </c>
      <c r="HKX1" t="s">
        <v>5758</v>
      </c>
      <c r="HKY1" t="s">
        <v>5759</v>
      </c>
      <c r="HKZ1" t="s">
        <v>5760</v>
      </c>
      <c r="HLA1" t="s">
        <v>5761</v>
      </c>
      <c r="HLB1" t="s">
        <v>5762</v>
      </c>
      <c r="HLC1" t="s">
        <v>5763</v>
      </c>
      <c r="HLD1" t="s">
        <v>5764</v>
      </c>
      <c r="HLE1" t="s">
        <v>5765</v>
      </c>
      <c r="HLF1" t="s">
        <v>5766</v>
      </c>
      <c r="HLG1" t="s">
        <v>5767</v>
      </c>
      <c r="HLH1" t="s">
        <v>5768</v>
      </c>
      <c r="HLI1" t="s">
        <v>5769</v>
      </c>
      <c r="HLJ1" t="s">
        <v>5770</v>
      </c>
      <c r="HLK1" t="s">
        <v>5771</v>
      </c>
      <c r="HLL1" t="s">
        <v>5772</v>
      </c>
      <c r="HLM1" t="s">
        <v>5773</v>
      </c>
      <c r="HLN1" t="s">
        <v>5774</v>
      </c>
      <c r="HLO1" t="s">
        <v>5775</v>
      </c>
      <c r="HLP1" t="s">
        <v>5776</v>
      </c>
      <c r="HLQ1" t="s">
        <v>5777</v>
      </c>
      <c r="HLR1" t="s">
        <v>5778</v>
      </c>
      <c r="HLS1" t="s">
        <v>5779</v>
      </c>
      <c r="HLT1" t="s">
        <v>5780</v>
      </c>
      <c r="HLU1" t="s">
        <v>5781</v>
      </c>
      <c r="HLV1" t="s">
        <v>5782</v>
      </c>
      <c r="HLW1" t="s">
        <v>5783</v>
      </c>
      <c r="HLX1" t="s">
        <v>5784</v>
      </c>
      <c r="HLY1" t="s">
        <v>5785</v>
      </c>
      <c r="HLZ1" t="s">
        <v>5786</v>
      </c>
      <c r="HMA1" t="s">
        <v>5787</v>
      </c>
      <c r="HMB1" t="s">
        <v>5788</v>
      </c>
      <c r="HMC1" t="s">
        <v>5789</v>
      </c>
      <c r="HMD1" t="s">
        <v>5790</v>
      </c>
      <c r="HME1" t="s">
        <v>5791</v>
      </c>
      <c r="HMF1" t="s">
        <v>5792</v>
      </c>
      <c r="HMG1" t="s">
        <v>5793</v>
      </c>
      <c r="HMH1" t="s">
        <v>5794</v>
      </c>
      <c r="HMI1" t="s">
        <v>5795</v>
      </c>
      <c r="HMJ1" t="s">
        <v>5796</v>
      </c>
      <c r="HMK1" t="s">
        <v>5797</v>
      </c>
      <c r="HML1" t="s">
        <v>5798</v>
      </c>
      <c r="HMM1" t="s">
        <v>5799</v>
      </c>
      <c r="HMN1" t="s">
        <v>5800</v>
      </c>
      <c r="HMO1" t="s">
        <v>5801</v>
      </c>
      <c r="HMP1" t="s">
        <v>5802</v>
      </c>
      <c r="HMQ1" t="s">
        <v>5803</v>
      </c>
      <c r="HMR1" t="s">
        <v>5804</v>
      </c>
      <c r="HMS1" t="s">
        <v>5805</v>
      </c>
      <c r="HMT1" t="s">
        <v>5806</v>
      </c>
      <c r="HMU1" t="s">
        <v>5807</v>
      </c>
      <c r="HMV1" t="s">
        <v>5808</v>
      </c>
      <c r="HMW1" t="s">
        <v>5809</v>
      </c>
      <c r="HMX1" t="s">
        <v>5810</v>
      </c>
      <c r="HMY1" t="s">
        <v>5811</v>
      </c>
      <c r="HMZ1" t="s">
        <v>5812</v>
      </c>
      <c r="HNA1" t="s">
        <v>5813</v>
      </c>
      <c r="HNB1" t="s">
        <v>5814</v>
      </c>
      <c r="HNC1" t="s">
        <v>5815</v>
      </c>
      <c r="HND1" t="s">
        <v>5816</v>
      </c>
      <c r="HNE1" t="s">
        <v>5817</v>
      </c>
      <c r="HNF1" t="s">
        <v>5818</v>
      </c>
      <c r="HNG1" t="s">
        <v>5819</v>
      </c>
      <c r="HNH1" t="s">
        <v>5820</v>
      </c>
      <c r="HNI1" t="s">
        <v>5821</v>
      </c>
      <c r="HNJ1" t="s">
        <v>5822</v>
      </c>
      <c r="HNK1" t="s">
        <v>5823</v>
      </c>
      <c r="HNL1" t="s">
        <v>5824</v>
      </c>
      <c r="HNM1" t="s">
        <v>5825</v>
      </c>
      <c r="HNN1" t="s">
        <v>5826</v>
      </c>
      <c r="HNO1" t="s">
        <v>5827</v>
      </c>
      <c r="HNP1" t="s">
        <v>5828</v>
      </c>
      <c r="HNQ1" t="s">
        <v>5829</v>
      </c>
      <c r="HNR1" t="s">
        <v>5830</v>
      </c>
      <c r="HNS1" t="s">
        <v>5831</v>
      </c>
      <c r="HNT1" t="s">
        <v>5832</v>
      </c>
      <c r="HNU1" t="s">
        <v>5833</v>
      </c>
      <c r="HNV1" t="s">
        <v>5834</v>
      </c>
      <c r="HNW1" t="s">
        <v>5835</v>
      </c>
      <c r="HNX1" t="s">
        <v>5836</v>
      </c>
      <c r="HNY1" t="s">
        <v>5837</v>
      </c>
      <c r="HNZ1" t="s">
        <v>5838</v>
      </c>
      <c r="HOA1" t="s">
        <v>5839</v>
      </c>
      <c r="HOB1" t="s">
        <v>5840</v>
      </c>
      <c r="HOC1" t="s">
        <v>5841</v>
      </c>
      <c r="HOD1" t="s">
        <v>5842</v>
      </c>
      <c r="HOE1" t="s">
        <v>5843</v>
      </c>
      <c r="HOF1" t="s">
        <v>5844</v>
      </c>
      <c r="HOG1" t="s">
        <v>5845</v>
      </c>
      <c r="HOH1" t="s">
        <v>5846</v>
      </c>
      <c r="HOI1" t="s">
        <v>5847</v>
      </c>
      <c r="HOJ1" t="s">
        <v>5848</v>
      </c>
      <c r="HOK1" t="s">
        <v>5849</v>
      </c>
      <c r="HOL1" t="s">
        <v>5850</v>
      </c>
      <c r="HOM1" t="s">
        <v>5851</v>
      </c>
      <c r="HON1" t="s">
        <v>5852</v>
      </c>
      <c r="HOO1" t="s">
        <v>5853</v>
      </c>
      <c r="HOP1" t="s">
        <v>5854</v>
      </c>
      <c r="HOQ1" t="s">
        <v>5855</v>
      </c>
      <c r="HOR1" t="s">
        <v>5856</v>
      </c>
      <c r="HOS1" t="s">
        <v>5857</v>
      </c>
      <c r="HOT1" t="s">
        <v>5858</v>
      </c>
      <c r="HOU1" t="s">
        <v>5859</v>
      </c>
      <c r="HOV1" t="s">
        <v>5860</v>
      </c>
      <c r="HOW1" t="s">
        <v>5861</v>
      </c>
      <c r="HOX1" t="s">
        <v>5862</v>
      </c>
      <c r="HOY1" t="s">
        <v>5863</v>
      </c>
      <c r="HOZ1" t="s">
        <v>5864</v>
      </c>
      <c r="HPA1" t="s">
        <v>5865</v>
      </c>
      <c r="HPB1" t="s">
        <v>5866</v>
      </c>
      <c r="HPC1" t="s">
        <v>5867</v>
      </c>
      <c r="HPD1" t="s">
        <v>5868</v>
      </c>
      <c r="HPE1" t="s">
        <v>5869</v>
      </c>
      <c r="HPF1" t="s">
        <v>5870</v>
      </c>
      <c r="HPG1" t="s">
        <v>5871</v>
      </c>
      <c r="HPH1" t="s">
        <v>5872</v>
      </c>
      <c r="HPI1" t="s">
        <v>5873</v>
      </c>
      <c r="HPJ1" t="s">
        <v>5874</v>
      </c>
      <c r="HPK1" t="s">
        <v>5875</v>
      </c>
      <c r="HPL1" t="s">
        <v>5876</v>
      </c>
      <c r="HPM1" t="s">
        <v>5877</v>
      </c>
      <c r="HPN1" t="s">
        <v>5878</v>
      </c>
      <c r="HPO1" t="s">
        <v>5879</v>
      </c>
      <c r="HPP1" t="s">
        <v>5880</v>
      </c>
      <c r="HPQ1" t="s">
        <v>5881</v>
      </c>
      <c r="HPR1" t="s">
        <v>5882</v>
      </c>
      <c r="HPS1" t="s">
        <v>5883</v>
      </c>
      <c r="HPT1" t="s">
        <v>5884</v>
      </c>
      <c r="HPU1" t="s">
        <v>5885</v>
      </c>
      <c r="HPV1" t="s">
        <v>5886</v>
      </c>
      <c r="HPW1" t="s">
        <v>5887</v>
      </c>
      <c r="HPX1" t="s">
        <v>5888</v>
      </c>
      <c r="HPY1" t="s">
        <v>5889</v>
      </c>
      <c r="HPZ1" t="s">
        <v>5890</v>
      </c>
      <c r="HQA1" t="s">
        <v>5891</v>
      </c>
      <c r="HQB1" t="s">
        <v>5892</v>
      </c>
      <c r="HQC1" t="s">
        <v>5893</v>
      </c>
      <c r="HQD1" t="s">
        <v>5894</v>
      </c>
      <c r="HQE1" t="s">
        <v>5895</v>
      </c>
      <c r="HQF1" t="s">
        <v>5896</v>
      </c>
      <c r="HQG1" t="s">
        <v>5897</v>
      </c>
      <c r="HQH1" t="s">
        <v>5898</v>
      </c>
      <c r="HQI1" t="s">
        <v>5899</v>
      </c>
      <c r="HQJ1" t="s">
        <v>5900</v>
      </c>
      <c r="HQK1" t="s">
        <v>5901</v>
      </c>
      <c r="HQL1" t="s">
        <v>5902</v>
      </c>
      <c r="HQM1" t="s">
        <v>5903</v>
      </c>
      <c r="HQN1" t="s">
        <v>5904</v>
      </c>
      <c r="HQO1" t="s">
        <v>5905</v>
      </c>
      <c r="HQP1" t="s">
        <v>5906</v>
      </c>
      <c r="HQQ1" t="s">
        <v>5907</v>
      </c>
      <c r="HQR1" t="s">
        <v>5908</v>
      </c>
      <c r="HQS1" t="s">
        <v>5909</v>
      </c>
      <c r="HQT1" t="s">
        <v>5910</v>
      </c>
      <c r="HQU1" t="s">
        <v>5911</v>
      </c>
      <c r="HQV1" t="s">
        <v>5912</v>
      </c>
      <c r="HQW1" t="s">
        <v>5913</v>
      </c>
      <c r="HQX1" t="s">
        <v>5914</v>
      </c>
      <c r="HQY1" t="s">
        <v>5915</v>
      </c>
      <c r="HQZ1" t="s">
        <v>5916</v>
      </c>
      <c r="HRA1" t="s">
        <v>5917</v>
      </c>
      <c r="HRB1" t="s">
        <v>5918</v>
      </c>
      <c r="HRC1" t="s">
        <v>5919</v>
      </c>
      <c r="HRD1" t="s">
        <v>5920</v>
      </c>
      <c r="HRE1" t="s">
        <v>5921</v>
      </c>
      <c r="HRF1" t="s">
        <v>5922</v>
      </c>
      <c r="HRG1" t="s">
        <v>5923</v>
      </c>
      <c r="HRH1" t="s">
        <v>5924</v>
      </c>
      <c r="HRI1" t="s">
        <v>5925</v>
      </c>
      <c r="HRJ1" t="s">
        <v>5926</v>
      </c>
      <c r="HRK1" t="s">
        <v>5927</v>
      </c>
      <c r="HRL1" t="s">
        <v>5928</v>
      </c>
      <c r="HRM1" t="s">
        <v>5929</v>
      </c>
      <c r="HRN1" t="s">
        <v>5930</v>
      </c>
      <c r="HRO1" t="s">
        <v>5931</v>
      </c>
      <c r="HRP1" t="s">
        <v>5932</v>
      </c>
      <c r="HRQ1" t="s">
        <v>5933</v>
      </c>
      <c r="HRR1" t="s">
        <v>5934</v>
      </c>
      <c r="HRS1" t="s">
        <v>5935</v>
      </c>
      <c r="HRT1" t="s">
        <v>5936</v>
      </c>
      <c r="HRU1" t="s">
        <v>5937</v>
      </c>
      <c r="HRV1" t="s">
        <v>5938</v>
      </c>
      <c r="HRW1" t="s">
        <v>5939</v>
      </c>
      <c r="HRX1" t="s">
        <v>5940</v>
      </c>
      <c r="HRY1" t="s">
        <v>5941</v>
      </c>
      <c r="HRZ1" t="s">
        <v>5942</v>
      </c>
      <c r="HSA1" t="s">
        <v>5943</v>
      </c>
      <c r="HSB1" t="s">
        <v>5944</v>
      </c>
      <c r="HSC1" t="s">
        <v>5945</v>
      </c>
      <c r="HSD1" t="s">
        <v>5946</v>
      </c>
      <c r="HSE1" t="s">
        <v>5947</v>
      </c>
      <c r="HSF1" t="s">
        <v>5948</v>
      </c>
      <c r="HSG1" t="s">
        <v>5949</v>
      </c>
      <c r="HSH1" t="s">
        <v>5950</v>
      </c>
      <c r="HSI1" t="s">
        <v>5951</v>
      </c>
      <c r="HSJ1" t="s">
        <v>5952</v>
      </c>
      <c r="HSK1" t="s">
        <v>5953</v>
      </c>
      <c r="HSL1" t="s">
        <v>5954</v>
      </c>
      <c r="HSM1" t="s">
        <v>5955</v>
      </c>
      <c r="HSN1" t="s">
        <v>5956</v>
      </c>
      <c r="HSO1" t="s">
        <v>5957</v>
      </c>
      <c r="HSP1" t="s">
        <v>5958</v>
      </c>
      <c r="HSQ1" t="s">
        <v>5959</v>
      </c>
      <c r="HSR1" t="s">
        <v>5960</v>
      </c>
      <c r="HSS1" t="s">
        <v>5961</v>
      </c>
      <c r="HST1" t="s">
        <v>5962</v>
      </c>
      <c r="HSU1" t="s">
        <v>5963</v>
      </c>
      <c r="HSV1" t="s">
        <v>5964</v>
      </c>
      <c r="HSW1" t="s">
        <v>5965</v>
      </c>
      <c r="HSX1" t="s">
        <v>5966</v>
      </c>
      <c r="HSY1" t="s">
        <v>5967</v>
      </c>
      <c r="HSZ1" t="s">
        <v>5968</v>
      </c>
      <c r="HTA1" t="s">
        <v>5969</v>
      </c>
      <c r="HTB1" t="s">
        <v>5970</v>
      </c>
      <c r="HTC1" t="s">
        <v>5971</v>
      </c>
      <c r="HTD1" t="s">
        <v>5972</v>
      </c>
      <c r="HTE1" t="s">
        <v>5973</v>
      </c>
      <c r="HTF1" t="s">
        <v>5974</v>
      </c>
      <c r="HTG1" t="s">
        <v>5975</v>
      </c>
      <c r="HTH1" t="s">
        <v>5976</v>
      </c>
      <c r="HTI1" t="s">
        <v>5977</v>
      </c>
      <c r="HTJ1" t="s">
        <v>5978</v>
      </c>
      <c r="HTK1" t="s">
        <v>5979</v>
      </c>
      <c r="HTL1" t="s">
        <v>5980</v>
      </c>
      <c r="HTM1" t="s">
        <v>5981</v>
      </c>
      <c r="HTN1" t="s">
        <v>5982</v>
      </c>
      <c r="HTO1" t="s">
        <v>5983</v>
      </c>
      <c r="HTP1" t="s">
        <v>5984</v>
      </c>
      <c r="HTQ1" t="s">
        <v>5985</v>
      </c>
      <c r="HTR1" t="s">
        <v>5986</v>
      </c>
      <c r="HTS1" t="s">
        <v>5987</v>
      </c>
      <c r="HTT1" t="s">
        <v>5988</v>
      </c>
      <c r="HTU1" t="s">
        <v>5989</v>
      </c>
      <c r="HTV1" t="s">
        <v>5990</v>
      </c>
      <c r="HTW1" t="s">
        <v>5991</v>
      </c>
      <c r="HTX1" t="s">
        <v>5992</v>
      </c>
      <c r="HTY1" t="s">
        <v>5993</v>
      </c>
      <c r="HTZ1" t="s">
        <v>5994</v>
      </c>
      <c r="HUA1" t="s">
        <v>5995</v>
      </c>
      <c r="HUB1" t="s">
        <v>5996</v>
      </c>
      <c r="HUC1" t="s">
        <v>5997</v>
      </c>
      <c r="HUD1" t="s">
        <v>5998</v>
      </c>
      <c r="HUE1" t="s">
        <v>5999</v>
      </c>
      <c r="HUF1" t="s">
        <v>6000</v>
      </c>
      <c r="HUG1" t="s">
        <v>6001</v>
      </c>
      <c r="HUH1" t="s">
        <v>6002</v>
      </c>
      <c r="HUI1" t="s">
        <v>6003</v>
      </c>
      <c r="HUJ1" t="s">
        <v>6004</v>
      </c>
      <c r="HUK1" t="s">
        <v>6005</v>
      </c>
      <c r="HUL1" t="s">
        <v>6006</v>
      </c>
      <c r="HUM1" t="s">
        <v>6007</v>
      </c>
      <c r="HUN1" t="s">
        <v>6008</v>
      </c>
      <c r="HUO1" t="s">
        <v>6009</v>
      </c>
      <c r="HUP1" t="s">
        <v>6010</v>
      </c>
      <c r="HUQ1" t="s">
        <v>6011</v>
      </c>
      <c r="HUR1" t="s">
        <v>6012</v>
      </c>
      <c r="HUS1" t="s">
        <v>6013</v>
      </c>
      <c r="HUT1" t="s">
        <v>6014</v>
      </c>
      <c r="HUU1" t="s">
        <v>6015</v>
      </c>
      <c r="HUV1" t="s">
        <v>6016</v>
      </c>
      <c r="HUW1" t="s">
        <v>6017</v>
      </c>
      <c r="HUX1" t="s">
        <v>6018</v>
      </c>
      <c r="HUY1" t="s">
        <v>6019</v>
      </c>
      <c r="HUZ1" t="s">
        <v>6020</v>
      </c>
      <c r="HVA1" t="s">
        <v>6021</v>
      </c>
      <c r="HVB1" t="s">
        <v>6022</v>
      </c>
      <c r="HVC1" t="s">
        <v>6023</v>
      </c>
      <c r="HVD1" t="s">
        <v>6024</v>
      </c>
      <c r="HVE1" t="s">
        <v>6025</v>
      </c>
      <c r="HVF1" t="s">
        <v>6026</v>
      </c>
      <c r="HVG1" t="s">
        <v>6027</v>
      </c>
      <c r="HVH1" t="s">
        <v>6028</v>
      </c>
      <c r="HVI1" t="s">
        <v>6029</v>
      </c>
      <c r="HVJ1" t="s">
        <v>6030</v>
      </c>
      <c r="HVK1" t="s">
        <v>6031</v>
      </c>
      <c r="HVL1" t="s">
        <v>6032</v>
      </c>
      <c r="HVM1" t="s">
        <v>6033</v>
      </c>
      <c r="HVN1" t="s">
        <v>6034</v>
      </c>
      <c r="HVO1" t="s">
        <v>6035</v>
      </c>
      <c r="HVP1" t="s">
        <v>6036</v>
      </c>
      <c r="HVQ1" t="s">
        <v>6037</v>
      </c>
      <c r="HVR1" t="s">
        <v>6038</v>
      </c>
      <c r="HVS1" t="s">
        <v>6039</v>
      </c>
      <c r="HVT1" t="s">
        <v>6040</v>
      </c>
      <c r="HVU1" t="s">
        <v>6041</v>
      </c>
      <c r="HVV1" t="s">
        <v>6042</v>
      </c>
      <c r="HVW1" t="s">
        <v>6043</v>
      </c>
      <c r="HVX1" t="s">
        <v>6044</v>
      </c>
      <c r="HVY1" t="s">
        <v>6045</v>
      </c>
      <c r="HVZ1" t="s">
        <v>6046</v>
      </c>
      <c r="HWA1" t="s">
        <v>6047</v>
      </c>
      <c r="HWB1" t="s">
        <v>6048</v>
      </c>
      <c r="HWC1" t="s">
        <v>6049</v>
      </c>
      <c r="HWD1" t="s">
        <v>6050</v>
      </c>
      <c r="HWE1" t="s">
        <v>6051</v>
      </c>
      <c r="HWF1" t="s">
        <v>6052</v>
      </c>
      <c r="HWG1" t="s">
        <v>6053</v>
      </c>
      <c r="HWH1" t="s">
        <v>6054</v>
      </c>
      <c r="HWI1" t="s">
        <v>6055</v>
      </c>
      <c r="HWJ1" t="s">
        <v>6056</v>
      </c>
      <c r="HWK1" t="s">
        <v>6057</v>
      </c>
      <c r="HWL1" t="s">
        <v>6058</v>
      </c>
      <c r="HWM1" t="s">
        <v>6059</v>
      </c>
      <c r="HWN1" t="s">
        <v>6060</v>
      </c>
      <c r="HWO1" t="s">
        <v>6061</v>
      </c>
      <c r="HWP1" t="s">
        <v>6062</v>
      </c>
      <c r="HWQ1" t="s">
        <v>6063</v>
      </c>
      <c r="HWR1" t="s">
        <v>6064</v>
      </c>
      <c r="HWS1" t="s">
        <v>6065</v>
      </c>
      <c r="HWT1" t="s">
        <v>6066</v>
      </c>
      <c r="HWU1" t="s">
        <v>6067</v>
      </c>
      <c r="HWV1" t="s">
        <v>6068</v>
      </c>
      <c r="HWW1" t="s">
        <v>6069</v>
      </c>
      <c r="HWX1" t="s">
        <v>6070</v>
      </c>
      <c r="HWY1" t="s">
        <v>6071</v>
      </c>
      <c r="HWZ1" t="s">
        <v>6072</v>
      </c>
      <c r="HXA1" t="s">
        <v>6073</v>
      </c>
      <c r="HXB1" t="s">
        <v>6074</v>
      </c>
      <c r="HXC1" t="s">
        <v>6075</v>
      </c>
      <c r="HXD1" t="s">
        <v>6076</v>
      </c>
      <c r="HXE1" t="s">
        <v>6077</v>
      </c>
      <c r="HXF1" t="s">
        <v>6078</v>
      </c>
      <c r="HXG1" t="s">
        <v>6079</v>
      </c>
      <c r="HXH1" t="s">
        <v>6080</v>
      </c>
      <c r="HXI1" t="s">
        <v>6081</v>
      </c>
      <c r="HXJ1" t="s">
        <v>6082</v>
      </c>
      <c r="HXK1" t="s">
        <v>6083</v>
      </c>
      <c r="HXL1" t="s">
        <v>6084</v>
      </c>
      <c r="HXM1" t="s">
        <v>6085</v>
      </c>
      <c r="HXN1" t="s">
        <v>6086</v>
      </c>
      <c r="HXO1" t="s">
        <v>6087</v>
      </c>
      <c r="HXP1" t="s">
        <v>6088</v>
      </c>
      <c r="HXQ1" t="s">
        <v>6089</v>
      </c>
      <c r="HXR1" t="s">
        <v>6090</v>
      </c>
      <c r="HXS1" t="s">
        <v>6091</v>
      </c>
      <c r="HXT1" t="s">
        <v>6092</v>
      </c>
      <c r="HXU1" t="s">
        <v>6093</v>
      </c>
      <c r="HXV1" t="s">
        <v>6094</v>
      </c>
      <c r="HXW1" t="s">
        <v>6095</v>
      </c>
      <c r="HXX1" t="s">
        <v>6096</v>
      </c>
      <c r="HXY1" t="s">
        <v>6097</v>
      </c>
      <c r="HXZ1" t="s">
        <v>6098</v>
      </c>
      <c r="HYA1" t="s">
        <v>6099</v>
      </c>
      <c r="HYB1" t="s">
        <v>6100</v>
      </c>
      <c r="HYC1" t="s">
        <v>6101</v>
      </c>
      <c r="HYD1" t="s">
        <v>6102</v>
      </c>
      <c r="HYE1" t="s">
        <v>6103</v>
      </c>
      <c r="HYF1" t="s">
        <v>6104</v>
      </c>
      <c r="HYG1" t="s">
        <v>6105</v>
      </c>
      <c r="HYH1" t="s">
        <v>6106</v>
      </c>
      <c r="HYI1" t="s">
        <v>6107</v>
      </c>
      <c r="HYJ1" t="s">
        <v>6108</v>
      </c>
      <c r="HYK1" t="s">
        <v>6109</v>
      </c>
      <c r="HYL1" t="s">
        <v>6110</v>
      </c>
      <c r="HYM1" t="s">
        <v>6111</v>
      </c>
      <c r="HYN1" t="s">
        <v>6112</v>
      </c>
      <c r="HYO1" t="s">
        <v>6113</v>
      </c>
      <c r="HYP1" t="s">
        <v>6114</v>
      </c>
      <c r="HYQ1" t="s">
        <v>6115</v>
      </c>
      <c r="HYR1" t="s">
        <v>6116</v>
      </c>
      <c r="HYS1" t="s">
        <v>6117</v>
      </c>
      <c r="HYT1" t="s">
        <v>6118</v>
      </c>
      <c r="HYU1" t="s">
        <v>6119</v>
      </c>
      <c r="HYV1" t="s">
        <v>6120</v>
      </c>
      <c r="HYW1" t="s">
        <v>6121</v>
      </c>
      <c r="HYX1" t="s">
        <v>6122</v>
      </c>
      <c r="HYY1" t="s">
        <v>6123</v>
      </c>
      <c r="HYZ1" t="s">
        <v>6124</v>
      </c>
      <c r="HZA1" t="s">
        <v>6125</v>
      </c>
      <c r="HZB1" t="s">
        <v>6126</v>
      </c>
      <c r="HZC1" t="s">
        <v>6127</v>
      </c>
      <c r="HZD1" t="s">
        <v>6128</v>
      </c>
      <c r="HZE1" t="s">
        <v>6129</v>
      </c>
      <c r="HZF1" t="s">
        <v>6130</v>
      </c>
      <c r="HZG1" t="s">
        <v>6131</v>
      </c>
      <c r="HZH1" t="s">
        <v>6132</v>
      </c>
      <c r="HZI1" t="s">
        <v>6133</v>
      </c>
      <c r="HZJ1" t="s">
        <v>6134</v>
      </c>
      <c r="HZK1" t="s">
        <v>6135</v>
      </c>
      <c r="HZL1" t="s">
        <v>6136</v>
      </c>
      <c r="HZM1" t="s">
        <v>6137</v>
      </c>
      <c r="HZN1" t="s">
        <v>6138</v>
      </c>
      <c r="HZO1" t="s">
        <v>6139</v>
      </c>
      <c r="HZP1" t="s">
        <v>6140</v>
      </c>
      <c r="HZQ1" t="s">
        <v>6141</v>
      </c>
      <c r="HZR1" t="s">
        <v>6142</v>
      </c>
      <c r="HZS1" t="s">
        <v>6143</v>
      </c>
      <c r="HZT1" t="s">
        <v>6144</v>
      </c>
      <c r="HZU1" t="s">
        <v>6145</v>
      </c>
      <c r="HZV1" t="s">
        <v>6146</v>
      </c>
      <c r="HZW1" t="s">
        <v>6147</v>
      </c>
      <c r="HZX1" t="s">
        <v>6148</v>
      </c>
      <c r="HZY1" t="s">
        <v>6149</v>
      </c>
      <c r="HZZ1" t="s">
        <v>6150</v>
      </c>
      <c r="IAA1" t="s">
        <v>6151</v>
      </c>
      <c r="IAB1" t="s">
        <v>6152</v>
      </c>
      <c r="IAC1" t="s">
        <v>6153</v>
      </c>
      <c r="IAD1" t="s">
        <v>6154</v>
      </c>
      <c r="IAE1" t="s">
        <v>6155</v>
      </c>
      <c r="IAF1" t="s">
        <v>6156</v>
      </c>
      <c r="IAG1" t="s">
        <v>6157</v>
      </c>
      <c r="IAH1" t="s">
        <v>6158</v>
      </c>
      <c r="IAI1" t="s">
        <v>6159</v>
      </c>
      <c r="IAJ1" t="s">
        <v>6160</v>
      </c>
      <c r="IAK1" t="s">
        <v>6161</v>
      </c>
      <c r="IAL1" t="s">
        <v>6162</v>
      </c>
      <c r="IAM1" t="s">
        <v>6163</v>
      </c>
      <c r="IAN1" t="s">
        <v>6164</v>
      </c>
      <c r="IAO1" t="s">
        <v>6165</v>
      </c>
      <c r="IAP1" t="s">
        <v>6166</v>
      </c>
      <c r="IAQ1" t="s">
        <v>6167</v>
      </c>
      <c r="IAR1" t="s">
        <v>6168</v>
      </c>
      <c r="IAS1" t="s">
        <v>6169</v>
      </c>
      <c r="IAT1" t="s">
        <v>6170</v>
      </c>
      <c r="IAU1" t="s">
        <v>6171</v>
      </c>
      <c r="IAV1" t="s">
        <v>6172</v>
      </c>
      <c r="IAW1" t="s">
        <v>6173</v>
      </c>
      <c r="IAX1" t="s">
        <v>6174</v>
      </c>
      <c r="IAY1" t="s">
        <v>6175</v>
      </c>
      <c r="IAZ1" t="s">
        <v>6176</v>
      </c>
      <c r="IBA1" t="s">
        <v>6177</v>
      </c>
      <c r="IBB1" t="s">
        <v>6178</v>
      </c>
      <c r="IBC1" t="s">
        <v>6179</v>
      </c>
      <c r="IBD1" t="s">
        <v>6180</v>
      </c>
      <c r="IBE1" t="s">
        <v>6181</v>
      </c>
      <c r="IBF1" t="s">
        <v>6182</v>
      </c>
      <c r="IBG1" t="s">
        <v>6183</v>
      </c>
      <c r="IBH1" t="s">
        <v>6184</v>
      </c>
      <c r="IBI1" t="s">
        <v>6185</v>
      </c>
      <c r="IBJ1" t="s">
        <v>6186</v>
      </c>
      <c r="IBK1" t="s">
        <v>6187</v>
      </c>
      <c r="IBL1" t="s">
        <v>6188</v>
      </c>
      <c r="IBM1" t="s">
        <v>6189</v>
      </c>
      <c r="IBN1" t="s">
        <v>6190</v>
      </c>
      <c r="IBO1" t="s">
        <v>6191</v>
      </c>
      <c r="IBP1" t="s">
        <v>6192</v>
      </c>
      <c r="IBQ1" t="s">
        <v>6193</v>
      </c>
      <c r="IBR1" t="s">
        <v>6194</v>
      </c>
      <c r="IBS1" t="s">
        <v>6195</v>
      </c>
      <c r="IBT1" t="s">
        <v>6196</v>
      </c>
      <c r="IBU1" t="s">
        <v>6197</v>
      </c>
      <c r="IBV1" t="s">
        <v>6198</v>
      </c>
      <c r="IBW1" t="s">
        <v>6199</v>
      </c>
      <c r="IBX1" t="s">
        <v>6200</v>
      </c>
      <c r="IBY1" t="s">
        <v>6201</v>
      </c>
      <c r="IBZ1" t="s">
        <v>6202</v>
      </c>
      <c r="ICA1" t="s">
        <v>6203</v>
      </c>
      <c r="ICB1" t="s">
        <v>6204</v>
      </c>
      <c r="ICC1" t="s">
        <v>6205</v>
      </c>
      <c r="ICD1" t="s">
        <v>6206</v>
      </c>
      <c r="ICE1" t="s">
        <v>6207</v>
      </c>
      <c r="ICF1" t="s">
        <v>6208</v>
      </c>
      <c r="ICG1" t="s">
        <v>6209</v>
      </c>
      <c r="ICH1" t="s">
        <v>6210</v>
      </c>
      <c r="ICI1" t="s">
        <v>6211</v>
      </c>
      <c r="ICJ1" t="s">
        <v>6212</v>
      </c>
      <c r="ICK1" t="s">
        <v>6213</v>
      </c>
      <c r="ICL1" t="s">
        <v>6214</v>
      </c>
      <c r="ICM1" t="s">
        <v>6215</v>
      </c>
      <c r="ICN1" t="s">
        <v>6216</v>
      </c>
      <c r="ICO1" t="s">
        <v>6217</v>
      </c>
      <c r="ICP1" t="s">
        <v>6218</v>
      </c>
      <c r="ICQ1" t="s">
        <v>6219</v>
      </c>
      <c r="ICR1" t="s">
        <v>6220</v>
      </c>
      <c r="ICS1" t="s">
        <v>6221</v>
      </c>
      <c r="ICT1" t="s">
        <v>6222</v>
      </c>
      <c r="ICU1" t="s">
        <v>6223</v>
      </c>
      <c r="ICV1" t="s">
        <v>6224</v>
      </c>
      <c r="ICW1" t="s">
        <v>6225</v>
      </c>
      <c r="ICX1" t="s">
        <v>6226</v>
      </c>
      <c r="ICY1" t="s">
        <v>6227</v>
      </c>
      <c r="ICZ1" t="s">
        <v>6228</v>
      </c>
      <c r="IDA1" t="s">
        <v>6229</v>
      </c>
      <c r="IDB1" t="s">
        <v>6230</v>
      </c>
      <c r="IDC1" t="s">
        <v>6231</v>
      </c>
      <c r="IDD1" t="s">
        <v>6232</v>
      </c>
      <c r="IDE1" t="s">
        <v>6233</v>
      </c>
      <c r="IDF1" t="s">
        <v>6234</v>
      </c>
      <c r="IDG1" t="s">
        <v>6235</v>
      </c>
      <c r="IDH1" t="s">
        <v>6236</v>
      </c>
      <c r="IDI1" t="s">
        <v>6237</v>
      </c>
      <c r="IDJ1" t="s">
        <v>6238</v>
      </c>
      <c r="IDK1" t="s">
        <v>6239</v>
      </c>
      <c r="IDL1" t="s">
        <v>6240</v>
      </c>
      <c r="IDM1" t="s">
        <v>6241</v>
      </c>
      <c r="IDN1" t="s">
        <v>6242</v>
      </c>
      <c r="IDO1" t="s">
        <v>6243</v>
      </c>
      <c r="IDP1" t="s">
        <v>6244</v>
      </c>
      <c r="IDQ1" t="s">
        <v>6245</v>
      </c>
      <c r="IDR1" t="s">
        <v>6246</v>
      </c>
      <c r="IDS1" t="s">
        <v>6247</v>
      </c>
      <c r="IDT1" t="s">
        <v>6248</v>
      </c>
      <c r="IDU1" t="s">
        <v>6249</v>
      </c>
      <c r="IDV1" t="s">
        <v>6250</v>
      </c>
      <c r="IDW1" t="s">
        <v>6251</v>
      </c>
      <c r="IDX1" t="s">
        <v>6252</v>
      </c>
      <c r="IDY1" t="s">
        <v>6253</v>
      </c>
      <c r="IDZ1" t="s">
        <v>6254</v>
      </c>
      <c r="IEA1" t="s">
        <v>6255</v>
      </c>
      <c r="IEB1" t="s">
        <v>6256</v>
      </c>
      <c r="IEC1" t="s">
        <v>6257</v>
      </c>
      <c r="IED1" t="s">
        <v>6258</v>
      </c>
      <c r="IEE1" t="s">
        <v>6259</v>
      </c>
      <c r="IEF1" t="s">
        <v>6260</v>
      </c>
      <c r="IEG1" t="s">
        <v>6261</v>
      </c>
      <c r="IEH1" t="s">
        <v>6262</v>
      </c>
      <c r="IEI1" t="s">
        <v>6263</v>
      </c>
      <c r="IEJ1" t="s">
        <v>6264</v>
      </c>
      <c r="IEK1" t="s">
        <v>6265</v>
      </c>
      <c r="IEL1" t="s">
        <v>6266</v>
      </c>
      <c r="IEM1" t="s">
        <v>6267</v>
      </c>
      <c r="IEN1" t="s">
        <v>6268</v>
      </c>
      <c r="IEO1" t="s">
        <v>6269</v>
      </c>
      <c r="IEP1" t="s">
        <v>6270</v>
      </c>
      <c r="IEQ1" t="s">
        <v>6271</v>
      </c>
      <c r="IER1" t="s">
        <v>6272</v>
      </c>
      <c r="IES1" t="s">
        <v>6273</v>
      </c>
      <c r="IET1" t="s">
        <v>6274</v>
      </c>
      <c r="IEU1" t="s">
        <v>6275</v>
      </c>
      <c r="IEV1" t="s">
        <v>6276</v>
      </c>
      <c r="IEW1" t="s">
        <v>6277</v>
      </c>
      <c r="IEX1" t="s">
        <v>6278</v>
      </c>
      <c r="IEY1" t="s">
        <v>6279</v>
      </c>
      <c r="IEZ1" t="s">
        <v>6280</v>
      </c>
      <c r="IFA1" t="s">
        <v>6281</v>
      </c>
      <c r="IFB1" t="s">
        <v>6282</v>
      </c>
      <c r="IFC1" t="s">
        <v>6283</v>
      </c>
      <c r="IFD1" t="s">
        <v>6284</v>
      </c>
      <c r="IFE1" t="s">
        <v>6285</v>
      </c>
      <c r="IFF1" t="s">
        <v>6286</v>
      </c>
      <c r="IFG1" t="s">
        <v>6287</v>
      </c>
      <c r="IFH1" t="s">
        <v>6288</v>
      </c>
      <c r="IFI1" t="s">
        <v>6289</v>
      </c>
      <c r="IFJ1" t="s">
        <v>6290</v>
      </c>
      <c r="IFK1" t="s">
        <v>6291</v>
      </c>
      <c r="IFL1" t="s">
        <v>6292</v>
      </c>
      <c r="IFM1" t="s">
        <v>6293</v>
      </c>
      <c r="IFN1" t="s">
        <v>6294</v>
      </c>
      <c r="IFO1" t="s">
        <v>6295</v>
      </c>
      <c r="IFP1" t="s">
        <v>6296</v>
      </c>
      <c r="IFQ1" t="s">
        <v>6297</v>
      </c>
      <c r="IFR1" t="s">
        <v>6298</v>
      </c>
      <c r="IFS1" t="s">
        <v>6299</v>
      </c>
      <c r="IFT1" t="s">
        <v>6300</v>
      </c>
      <c r="IFU1" t="s">
        <v>6301</v>
      </c>
      <c r="IFV1" t="s">
        <v>6302</v>
      </c>
      <c r="IFW1" t="s">
        <v>6303</v>
      </c>
      <c r="IFX1" t="s">
        <v>6304</v>
      </c>
      <c r="IFY1" t="s">
        <v>6305</v>
      </c>
      <c r="IFZ1" t="s">
        <v>6306</v>
      </c>
      <c r="IGA1" t="s">
        <v>6307</v>
      </c>
      <c r="IGB1" t="s">
        <v>6308</v>
      </c>
      <c r="IGC1" t="s">
        <v>6309</v>
      </c>
      <c r="IGD1" t="s">
        <v>6310</v>
      </c>
      <c r="IGE1" t="s">
        <v>6311</v>
      </c>
      <c r="IGF1" t="s">
        <v>6312</v>
      </c>
      <c r="IGG1" t="s">
        <v>6313</v>
      </c>
      <c r="IGH1" t="s">
        <v>6314</v>
      </c>
      <c r="IGI1" t="s">
        <v>6315</v>
      </c>
      <c r="IGJ1" t="s">
        <v>6316</v>
      </c>
      <c r="IGK1" t="s">
        <v>6317</v>
      </c>
      <c r="IGL1" t="s">
        <v>6318</v>
      </c>
      <c r="IGM1" t="s">
        <v>6319</v>
      </c>
      <c r="IGN1" t="s">
        <v>6320</v>
      </c>
      <c r="IGO1" t="s">
        <v>6321</v>
      </c>
      <c r="IGP1" t="s">
        <v>6322</v>
      </c>
      <c r="IGQ1" t="s">
        <v>6323</v>
      </c>
      <c r="IGR1" t="s">
        <v>6324</v>
      </c>
      <c r="IGS1" t="s">
        <v>6325</v>
      </c>
      <c r="IGT1" t="s">
        <v>6326</v>
      </c>
      <c r="IGU1" t="s">
        <v>6327</v>
      </c>
      <c r="IGV1" t="s">
        <v>6328</v>
      </c>
      <c r="IGW1" t="s">
        <v>6329</v>
      </c>
      <c r="IGX1" t="s">
        <v>6330</v>
      </c>
      <c r="IGY1" t="s">
        <v>6331</v>
      </c>
      <c r="IGZ1" t="s">
        <v>6332</v>
      </c>
      <c r="IHA1" t="s">
        <v>6333</v>
      </c>
      <c r="IHB1" t="s">
        <v>6334</v>
      </c>
      <c r="IHC1" t="s">
        <v>6335</v>
      </c>
      <c r="IHD1" t="s">
        <v>6336</v>
      </c>
      <c r="IHE1" t="s">
        <v>6337</v>
      </c>
      <c r="IHF1" t="s">
        <v>6338</v>
      </c>
      <c r="IHG1" t="s">
        <v>6339</v>
      </c>
      <c r="IHH1" t="s">
        <v>6340</v>
      </c>
      <c r="IHI1" t="s">
        <v>6341</v>
      </c>
      <c r="IHJ1" t="s">
        <v>6342</v>
      </c>
      <c r="IHK1" t="s">
        <v>6343</v>
      </c>
      <c r="IHL1" t="s">
        <v>6344</v>
      </c>
      <c r="IHM1" t="s">
        <v>6345</v>
      </c>
      <c r="IHN1" t="s">
        <v>6346</v>
      </c>
      <c r="IHO1" t="s">
        <v>6347</v>
      </c>
      <c r="IHP1" t="s">
        <v>6348</v>
      </c>
      <c r="IHQ1" t="s">
        <v>6349</v>
      </c>
      <c r="IHR1" t="s">
        <v>6350</v>
      </c>
      <c r="IHS1" t="s">
        <v>6351</v>
      </c>
      <c r="IHT1" t="s">
        <v>6352</v>
      </c>
      <c r="IHU1" t="s">
        <v>6353</v>
      </c>
      <c r="IHV1" t="s">
        <v>6354</v>
      </c>
      <c r="IHW1" t="s">
        <v>6355</v>
      </c>
      <c r="IHX1" t="s">
        <v>6356</v>
      </c>
      <c r="IHY1" t="s">
        <v>6357</v>
      </c>
      <c r="IHZ1" t="s">
        <v>6358</v>
      </c>
      <c r="IIA1" t="s">
        <v>6359</v>
      </c>
      <c r="IIB1" t="s">
        <v>6360</v>
      </c>
      <c r="IIC1" t="s">
        <v>6361</v>
      </c>
      <c r="IID1" t="s">
        <v>6362</v>
      </c>
      <c r="IIE1" t="s">
        <v>6363</v>
      </c>
      <c r="IIF1" t="s">
        <v>6364</v>
      </c>
      <c r="IIG1" t="s">
        <v>6365</v>
      </c>
      <c r="IIH1" t="s">
        <v>6366</v>
      </c>
      <c r="III1" t="s">
        <v>6367</v>
      </c>
      <c r="IIJ1" t="s">
        <v>6368</v>
      </c>
      <c r="IIK1" t="s">
        <v>6369</v>
      </c>
      <c r="IIL1" t="s">
        <v>6370</v>
      </c>
      <c r="IIM1" t="s">
        <v>6371</v>
      </c>
      <c r="IIN1" t="s">
        <v>6372</v>
      </c>
      <c r="IIO1" t="s">
        <v>6373</v>
      </c>
      <c r="IIP1" t="s">
        <v>6374</v>
      </c>
      <c r="IIQ1" t="s">
        <v>6375</v>
      </c>
      <c r="IIR1" t="s">
        <v>6376</v>
      </c>
      <c r="IIS1" t="s">
        <v>6377</v>
      </c>
      <c r="IIT1" t="s">
        <v>6378</v>
      </c>
      <c r="IIU1" t="s">
        <v>6379</v>
      </c>
      <c r="IIV1" t="s">
        <v>6380</v>
      </c>
      <c r="IIW1" t="s">
        <v>6381</v>
      </c>
      <c r="IIX1" t="s">
        <v>6382</v>
      </c>
      <c r="IIY1" t="s">
        <v>6383</v>
      </c>
      <c r="IIZ1" t="s">
        <v>6384</v>
      </c>
      <c r="IJA1" t="s">
        <v>6385</v>
      </c>
      <c r="IJB1" t="s">
        <v>6386</v>
      </c>
      <c r="IJC1" t="s">
        <v>6387</v>
      </c>
      <c r="IJD1" t="s">
        <v>6388</v>
      </c>
      <c r="IJE1" t="s">
        <v>6389</v>
      </c>
      <c r="IJF1" t="s">
        <v>6390</v>
      </c>
      <c r="IJG1" t="s">
        <v>6391</v>
      </c>
      <c r="IJH1" t="s">
        <v>6392</v>
      </c>
      <c r="IJI1" t="s">
        <v>6393</v>
      </c>
      <c r="IJJ1" t="s">
        <v>6394</v>
      </c>
      <c r="IJK1" t="s">
        <v>6395</v>
      </c>
      <c r="IJL1" t="s">
        <v>6396</v>
      </c>
      <c r="IJM1" t="s">
        <v>6397</v>
      </c>
      <c r="IJN1" t="s">
        <v>6398</v>
      </c>
      <c r="IJO1" t="s">
        <v>6399</v>
      </c>
      <c r="IJP1" t="s">
        <v>6400</v>
      </c>
      <c r="IJQ1" t="s">
        <v>6401</v>
      </c>
      <c r="IJR1" t="s">
        <v>6402</v>
      </c>
      <c r="IJS1" t="s">
        <v>6403</v>
      </c>
      <c r="IJT1" t="s">
        <v>6404</v>
      </c>
      <c r="IJU1" t="s">
        <v>6405</v>
      </c>
      <c r="IJV1" t="s">
        <v>6406</v>
      </c>
      <c r="IJW1" t="s">
        <v>6407</v>
      </c>
      <c r="IJX1" t="s">
        <v>6408</v>
      </c>
      <c r="IJY1" t="s">
        <v>6409</v>
      </c>
      <c r="IJZ1" t="s">
        <v>6410</v>
      </c>
      <c r="IKA1" t="s">
        <v>6411</v>
      </c>
      <c r="IKB1" t="s">
        <v>6412</v>
      </c>
      <c r="IKC1" t="s">
        <v>6413</v>
      </c>
      <c r="IKD1" t="s">
        <v>6414</v>
      </c>
      <c r="IKE1" t="s">
        <v>6415</v>
      </c>
      <c r="IKF1" t="s">
        <v>6416</v>
      </c>
      <c r="IKG1" t="s">
        <v>6417</v>
      </c>
      <c r="IKH1" t="s">
        <v>6418</v>
      </c>
      <c r="IKI1" t="s">
        <v>6419</v>
      </c>
      <c r="IKJ1" t="s">
        <v>6420</v>
      </c>
      <c r="IKK1" t="s">
        <v>6421</v>
      </c>
      <c r="IKL1" t="s">
        <v>6422</v>
      </c>
      <c r="IKM1" t="s">
        <v>6423</v>
      </c>
      <c r="IKN1" t="s">
        <v>6424</v>
      </c>
      <c r="IKO1" t="s">
        <v>6425</v>
      </c>
      <c r="IKP1" t="s">
        <v>6426</v>
      </c>
      <c r="IKQ1" t="s">
        <v>6427</v>
      </c>
      <c r="IKR1" t="s">
        <v>6428</v>
      </c>
      <c r="IKS1" t="s">
        <v>6429</v>
      </c>
      <c r="IKT1" t="s">
        <v>6430</v>
      </c>
      <c r="IKU1" t="s">
        <v>6431</v>
      </c>
      <c r="IKV1" t="s">
        <v>6432</v>
      </c>
      <c r="IKW1" t="s">
        <v>6433</v>
      </c>
      <c r="IKX1" t="s">
        <v>6434</v>
      </c>
      <c r="IKY1" t="s">
        <v>6435</v>
      </c>
      <c r="IKZ1" t="s">
        <v>6436</v>
      </c>
      <c r="ILA1" t="s">
        <v>6437</v>
      </c>
      <c r="ILB1" t="s">
        <v>6438</v>
      </c>
      <c r="ILC1" t="s">
        <v>6439</v>
      </c>
      <c r="ILD1" t="s">
        <v>6440</v>
      </c>
      <c r="ILE1" t="s">
        <v>6441</v>
      </c>
      <c r="ILF1" t="s">
        <v>6442</v>
      </c>
      <c r="ILG1" t="s">
        <v>6443</v>
      </c>
      <c r="ILH1" t="s">
        <v>6444</v>
      </c>
      <c r="ILI1" t="s">
        <v>6445</v>
      </c>
      <c r="ILJ1" t="s">
        <v>6446</v>
      </c>
      <c r="ILK1" t="s">
        <v>6447</v>
      </c>
      <c r="ILL1" t="s">
        <v>6448</v>
      </c>
      <c r="ILM1" t="s">
        <v>6449</v>
      </c>
      <c r="ILN1" t="s">
        <v>6450</v>
      </c>
      <c r="ILO1" t="s">
        <v>6451</v>
      </c>
      <c r="ILP1" t="s">
        <v>6452</v>
      </c>
      <c r="ILQ1" t="s">
        <v>6453</v>
      </c>
      <c r="ILR1" t="s">
        <v>6454</v>
      </c>
      <c r="ILS1" t="s">
        <v>6455</v>
      </c>
      <c r="ILT1" t="s">
        <v>6456</v>
      </c>
      <c r="ILU1" t="s">
        <v>6457</v>
      </c>
      <c r="ILV1" t="s">
        <v>6458</v>
      </c>
      <c r="ILW1" t="s">
        <v>6459</v>
      </c>
      <c r="ILX1" t="s">
        <v>6460</v>
      </c>
      <c r="ILY1" t="s">
        <v>6461</v>
      </c>
      <c r="ILZ1" t="s">
        <v>6462</v>
      </c>
      <c r="IMA1" t="s">
        <v>6463</v>
      </c>
      <c r="IMB1" t="s">
        <v>6464</v>
      </c>
      <c r="IMC1" t="s">
        <v>6465</v>
      </c>
      <c r="IMD1" t="s">
        <v>6466</v>
      </c>
      <c r="IME1" t="s">
        <v>6467</v>
      </c>
      <c r="IMF1" t="s">
        <v>6468</v>
      </c>
      <c r="IMG1" t="s">
        <v>6469</v>
      </c>
      <c r="IMH1" t="s">
        <v>6470</v>
      </c>
      <c r="IMI1" t="s">
        <v>6471</v>
      </c>
      <c r="IMJ1" t="s">
        <v>6472</v>
      </c>
      <c r="IMK1" t="s">
        <v>6473</v>
      </c>
      <c r="IML1" t="s">
        <v>6474</v>
      </c>
      <c r="IMM1" t="s">
        <v>6475</v>
      </c>
      <c r="IMN1" t="s">
        <v>6476</v>
      </c>
      <c r="IMO1" t="s">
        <v>6477</v>
      </c>
      <c r="IMP1" t="s">
        <v>6478</v>
      </c>
      <c r="IMQ1" t="s">
        <v>6479</v>
      </c>
      <c r="IMR1" t="s">
        <v>6480</v>
      </c>
      <c r="IMS1" t="s">
        <v>6481</v>
      </c>
      <c r="IMT1" t="s">
        <v>6482</v>
      </c>
      <c r="IMU1" t="s">
        <v>6483</v>
      </c>
      <c r="IMV1" t="s">
        <v>6484</v>
      </c>
      <c r="IMW1" t="s">
        <v>6485</v>
      </c>
      <c r="IMX1" t="s">
        <v>6486</v>
      </c>
      <c r="IMY1" t="s">
        <v>6487</v>
      </c>
      <c r="IMZ1" t="s">
        <v>6488</v>
      </c>
      <c r="INA1" t="s">
        <v>6489</v>
      </c>
      <c r="INB1" t="s">
        <v>6490</v>
      </c>
      <c r="INC1" t="s">
        <v>6491</v>
      </c>
      <c r="IND1" t="s">
        <v>6492</v>
      </c>
      <c r="INE1" t="s">
        <v>6493</v>
      </c>
      <c r="INF1" t="s">
        <v>6494</v>
      </c>
      <c r="ING1" t="s">
        <v>6495</v>
      </c>
      <c r="INH1" t="s">
        <v>6496</v>
      </c>
      <c r="INI1" t="s">
        <v>6497</v>
      </c>
      <c r="INJ1" t="s">
        <v>6498</v>
      </c>
      <c r="INK1" t="s">
        <v>6499</v>
      </c>
      <c r="INL1" t="s">
        <v>6500</v>
      </c>
      <c r="INM1" t="s">
        <v>6501</v>
      </c>
      <c r="INN1" t="s">
        <v>6502</v>
      </c>
      <c r="INO1" t="s">
        <v>6503</v>
      </c>
      <c r="INP1" t="s">
        <v>6504</v>
      </c>
      <c r="INQ1" t="s">
        <v>6505</v>
      </c>
      <c r="INR1" t="s">
        <v>6506</v>
      </c>
      <c r="INS1" t="s">
        <v>6507</v>
      </c>
      <c r="INT1" t="s">
        <v>6508</v>
      </c>
      <c r="INU1" t="s">
        <v>6509</v>
      </c>
      <c r="INV1" t="s">
        <v>6510</v>
      </c>
      <c r="INW1" t="s">
        <v>6511</v>
      </c>
      <c r="INX1" t="s">
        <v>6512</v>
      </c>
      <c r="INY1" t="s">
        <v>6513</v>
      </c>
      <c r="INZ1" t="s">
        <v>6514</v>
      </c>
      <c r="IOA1" t="s">
        <v>6515</v>
      </c>
      <c r="IOB1" t="s">
        <v>6516</v>
      </c>
      <c r="IOC1" t="s">
        <v>6517</v>
      </c>
      <c r="IOD1" t="s">
        <v>6518</v>
      </c>
      <c r="IOE1" t="s">
        <v>6519</v>
      </c>
      <c r="IOF1" t="s">
        <v>6520</v>
      </c>
      <c r="IOG1" t="s">
        <v>6521</v>
      </c>
      <c r="IOH1" t="s">
        <v>6522</v>
      </c>
      <c r="IOI1" t="s">
        <v>6523</v>
      </c>
      <c r="IOJ1" t="s">
        <v>6524</v>
      </c>
      <c r="IOK1" t="s">
        <v>6525</v>
      </c>
      <c r="IOL1" t="s">
        <v>6526</v>
      </c>
      <c r="IOM1" t="s">
        <v>6527</v>
      </c>
      <c r="ION1" t="s">
        <v>6528</v>
      </c>
      <c r="IOO1" t="s">
        <v>6529</v>
      </c>
      <c r="IOP1" t="s">
        <v>6530</v>
      </c>
      <c r="IOQ1" t="s">
        <v>6531</v>
      </c>
      <c r="IOR1" t="s">
        <v>6532</v>
      </c>
      <c r="IOS1" t="s">
        <v>6533</v>
      </c>
      <c r="IOT1" t="s">
        <v>6534</v>
      </c>
      <c r="IOU1" t="s">
        <v>6535</v>
      </c>
      <c r="IOV1" t="s">
        <v>6536</v>
      </c>
      <c r="IOW1" t="s">
        <v>6537</v>
      </c>
      <c r="IOX1" t="s">
        <v>6538</v>
      </c>
      <c r="IOY1" t="s">
        <v>6539</v>
      </c>
      <c r="IOZ1" t="s">
        <v>6540</v>
      </c>
      <c r="IPA1" t="s">
        <v>6541</v>
      </c>
      <c r="IPB1" t="s">
        <v>6542</v>
      </c>
      <c r="IPC1" t="s">
        <v>6543</v>
      </c>
      <c r="IPD1" t="s">
        <v>6544</v>
      </c>
      <c r="IPE1" t="s">
        <v>6545</v>
      </c>
      <c r="IPF1" t="s">
        <v>6546</v>
      </c>
      <c r="IPG1" t="s">
        <v>6547</v>
      </c>
      <c r="IPH1" t="s">
        <v>6548</v>
      </c>
      <c r="IPI1" t="s">
        <v>6549</v>
      </c>
      <c r="IPJ1" t="s">
        <v>6550</v>
      </c>
      <c r="IPK1" t="s">
        <v>6551</v>
      </c>
      <c r="IPL1" t="s">
        <v>6552</v>
      </c>
      <c r="IPM1" t="s">
        <v>6553</v>
      </c>
      <c r="IPN1" t="s">
        <v>6554</v>
      </c>
      <c r="IPO1" t="s">
        <v>6555</v>
      </c>
      <c r="IPP1" t="s">
        <v>6556</v>
      </c>
      <c r="IPQ1" t="s">
        <v>6557</v>
      </c>
      <c r="IPR1" t="s">
        <v>6558</v>
      </c>
      <c r="IPS1" t="s">
        <v>6559</v>
      </c>
      <c r="IPT1" t="s">
        <v>6560</v>
      </c>
      <c r="IPU1" t="s">
        <v>6561</v>
      </c>
      <c r="IPV1" t="s">
        <v>6562</v>
      </c>
      <c r="IPW1" t="s">
        <v>6563</v>
      </c>
      <c r="IPX1" t="s">
        <v>6564</v>
      </c>
      <c r="IPY1" t="s">
        <v>6565</v>
      </c>
      <c r="IPZ1" t="s">
        <v>6566</v>
      </c>
      <c r="IQA1" t="s">
        <v>6567</v>
      </c>
      <c r="IQB1" t="s">
        <v>6568</v>
      </c>
      <c r="IQC1" t="s">
        <v>6569</v>
      </c>
      <c r="IQD1" t="s">
        <v>6570</v>
      </c>
      <c r="IQE1" t="s">
        <v>6571</v>
      </c>
      <c r="IQF1" t="s">
        <v>6572</v>
      </c>
      <c r="IQG1" t="s">
        <v>6573</v>
      </c>
      <c r="IQH1" t="s">
        <v>6574</v>
      </c>
      <c r="IQI1" t="s">
        <v>6575</v>
      </c>
      <c r="IQJ1" t="s">
        <v>6576</v>
      </c>
      <c r="IQK1" t="s">
        <v>6577</v>
      </c>
      <c r="IQL1" t="s">
        <v>6578</v>
      </c>
      <c r="IQM1" t="s">
        <v>6579</v>
      </c>
      <c r="IQN1" t="s">
        <v>6580</v>
      </c>
      <c r="IQO1" t="s">
        <v>6581</v>
      </c>
      <c r="IQP1" t="s">
        <v>6582</v>
      </c>
      <c r="IQQ1" t="s">
        <v>6583</v>
      </c>
      <c r="IQR1" t="s">
        <v>6584</v>
      </c>
      <c r="IQS1" t="s">
        <v>6585</v>
      </c>
      <c r="IQT1" t="s">
        <v>6586</v>
      </c>
      <c r="IQU1" t="s">
        <v>6587</v>
      </c>
      <c r="IQV1" t="s">
        <v>6588</v>
      </c>
      <c r="IQW1" t="s">
        <v>6589</v>
      </c>
      <c r="IQX1" t="s">
        <v>6590</v>
      </c>
      <c r="IQY1" t="s">
        <v>6591</v>
      </c>
      <c r="IQZ1" t="s">
        <v>6592</v>
      </c>
      <c r="IRA1" t="s">
        <v>6593</v>
      </c>
      <c r="IRB1" t="s">
        <v>6594</v>
      </c>
      <c r="IRC1" t="s">
        <v>6595</v>
      </c>
      <c r="IRD1" t="s">
        <v>6596</v>
      </c>
      <c r="IRE1" t="s">
        <v>6597</v>
      </c>
      <c r="IRF1" t="s">
        <v>6598</v>
      </c>
      <c r="IRG1" t="s">
        <v>6599</v>
      </c>
      <c r="IRH1" t="s">
        <v>6600</v>
      </c>
      <c r="IRI1" t="s">
        <v>6601</v>
      </c>
      <c r="IRJ1" t="s">
        <v>6602</v>
      </c>
      <c r="IRK1" t="s">
        <v>6603</v>
      </c>
      <c r="IRL1" t="s">
        <v>6604</v>
      </c>
      <c r="IRM1" t="s">
        <v>6605</v>
      </c>
      <c r="IRN1" t="s">
        <v>6606</v>
      </c>
      <c r="IRO1" t="s">
        <v>6607</v>
      </c>
      <c r="IRP1" t="s">
        <v>6608</v>
      </c>
      <c r="IRQ1" t="s">
        <v>6609</v>
      </c>
      <c r="IRR1" t="s">
        <v>6610</v>
      </c>
      <c r="IRS1" t="s">
        <v>6611</v>
      </c>
      <c r="IRT1" t="s">
        <v>6612</v>
      </c>
      <c r="IRU1" t="s">
        <v>6613</v>
      </c>
      <c r="IRV1" t="s">
        <v>6614</v>
      </c>
      <c r="IRW1" t="s">
        <v>6615</v>
      </c>
      <c r="IRX1" t="s">
        <v>6616</v>
      </c>
      <c r="IRY1" t="s">
        <v>6617</v>
      </c>
      <c r="IRZ1" t="s">
        <v>6618</v>
      </c>
      <c r="ISA1" t="s">
        <v>6619</v>
      </c>
      <c r="ISB1" t="s">
        <v>6620</v>
      </c>
      <c r="ISC1" t="s">
        <v>6621</v>
      </c>
      <c r="ISD1" t="s">
        <v>6622</v>
      </c>
      <c r="ISE1" t="s">
        <v>6623</v>
      </c>
      <c r="ISF1" t="s">
        <v>6624</v>
      </c>
      <c r="ISG1" t="s">
        <v>6625</v>
      </c>
      <c r="ISH1" t="s">
        <v>6626</v>
      </c>
      <c r="ISI1" t="s">
        <v>6627</v>
      </c>
      <c r="ISJ1" t="s">
        <v>6628</v>
      </c>
      <c r="ISK1" t="s">
        <v>6629</v>
      </c>
      <c r="ISL1" t="s">
        <v>6630</v>
      </c>
      <c r="ISM1" t="s">
        <v>6631</v>
      </c>
      <c r="ISN1" t="s">
        <v>6632</v>
      </c>
      <c r="ISO1" t="s">
        <v>6633</v>
      </c>
      <c r="ISP1" t="s">
        <v>6634</v>
      </c>
      <c r="ISQ1" t="s">
        <v>6635</v>
      </c>
      <c r="ISR1" t="s">
        <v>6636</v>
      </c>
      <c r="ISS1" t="s">
        <v>6637</v>
      </c>
      <c r="IST1" t="s">
        <v>6638</v>
      </c>
      <c r="ISU1" t="s">
        <v>6639</v>
      </c>
      <c r="ISV1" t="s">
        <v>6640</v>
      </c>
      <c r="ISW1" t="s">
        <v>6641</v>
      </c>
      <c r="ISX1" t="s">
        <v>6642</v>
      </c>
      <c r="ISY1" t="s">
        <v>6643</v>
      </c>
      <c r="ISZ1" t="s">
        <v>6644</v>
      </c>
      <c r="ITA1" t="s">
        <v>6645</v>
      </c>
      <c r="ITB1" t="s">
        <v>6646</v>
      </c>
      <c r="ITC1" t="s">
        <v>6647</v>
      </c>
      <c r="ITD1" t="s">
        <v>6648</v>
      </c>
      <c r="ITE1" t="s">
        <v>6649</v>
      </c>
      <c r="ITF1" t="s">
        <v>6650</v>
      </c>
      <c r="ITG1" t="s">
        <v>6651</v>
      </c>
      <c r="ITH1" t="s">
        <v>6652</v>
      </c>
      <c r="ITI1" t="s">
        <v>6653</v>
      </c>
      <c r="ITJ1" t="s">
        <v>6654</v>
      </c>
      <c r="ITK1" t="s">
        <v>6655</v>
      </c>
      <c r="ITL1" t="s">
        <v>6656</v>
      </c>
      <c r="ITM1" t="s">
        <v>6657</v>
      </c>
      <c r="ITN1" t="s">
        <v>6658</v>
      </c>
      <c r="ITO1" t="s">
        <v>6659</v>
      </c>
      <c r="ITP1" t="s">
        <v>6660</v>
      </c>
      <c r="ITQ1" t="s">
        <v>6661</v>
      </c>
      <c r="ITR1" t="s">
        <v>6662</v>
      </c>
      <c r="ITS1" t="s">
        <v>6663</v>
      </c>
      <c r="ITT1" t="s">
        <v>6664</v>
      </c>
      <c r="ITU1" t="s">
        <v>6665</v>
      </c>
      <c r="ITV1" t="s">
        <v>6666</v>
      </c>
      <c r="ITW1" t="s">
        <v>6667</v>
      </c>
      <c r="ITX1" t="s">
        <v>6668</v>
      </c>
      <c r="ITY1" t="s">
        <v>6669</v>
      </c>
      <c r="ITZ1" t="s">
        <v>6670</v>
      </c>
      <c r="IUA1" t="s">
        <v>6671</v>
      </c>
      <c r="IUB1" t="s">
        <v>6672</v>
      </c>
      <c r="IUC1" t="s">
        <v>6673</v>
      </c>
      <c r="IUD1" t="s">
        <v>6674</v>
      </c>
      <c r="IUE1" t="s">
        <v>6675</v>
      </c>
      <c r="IUF1" t="s">
        <v>6676</v>
      </c>
      <c r="IUG1" t="s">
        <v>6677</v>
      </c>
      <c r="IUH1" t="s">
        <v>6678</v>
      </c>
      <c r="IUI1" t="s">
        <v>6679</v>
      </c>
      <c r="IUJ1" t="s">
        <v>6680</v>
      </c>
      <c r="IUK1" t="s">
        <v>6681</v>
      </c>
      <c r="IUL1" t="s">
        <v>6682</v>
      </c>
      <c r="IUM1" t="s">
        <v>6683</v>
      </c>
      <c r="IUN1" t="s">
        <v>6684</v>
      </c>
      <c r="IUO1" t="s">
        <v>6685</v>
      </c>
      <c r="IUP1" t="s">
        <v>6686</v>
      </c>
      <c r="IUQ1" t="s">
        <v>6687</v>
      </c>
      <c r="IUR1" t="s">
        <v>6688</v>
      </c>
      <c r="IUS1" t="s">
        <v>6689</v>
      </c>
      <c r="IUT1" t="s">
        <v>6690</v>
      </c>
      <c r="IUU1" t="s">
        <v>6691</v>
      </c>
      <c r="IUV1" t="s">
        <v>6692</v>
      </c>
      <c r="IUW1" t="s">
        <v>6693</v>
      </c>
      <c r="IUX1" t="s">
        <v>6694</v>
      </c>
      <c r="IUY1" t="s">
        <v>6695</v>
      </c>
      <c r="IUZ1" t="s">
        <v>6696</v>
      </c>
      <c r="IVA1" t="s">
        <v>6697</v>
      </c>
      <c r="IVB1" t="s">
        <v>6698</v>
      </c>
      <c r="IVC1" t="s">
        <v>6699</v>
      </c>
      <c r="IVD1" t="s">
        <v>6700</v>
      </c>
      <c r="IVE1" t="s">
        <v>6701</v>
      </c>
      <c r="IVF1" t="s">
        <v>6702</v>
      </c>
      <c r="IVG1" t="s">
        <v>6703</v>
      </c>
      <c r="IVH1" t="s">
        <v>6704</v>
      </c>
      <c r="IVI1" t="s">
        <v>6705</v>
      </c>
      <c r="IVJ1" t="s">
        <v>6706</v>
      </c>
      <c r="IVK1" t="s">
        <v>6707</v>
      </c>
      <c r="IVL1" t="s">
        <v>6708</v>
      </c>
      <c r="IVM1" t="s">
        <v>6709</v>
      </c>
      <c r="IVN1" t="s">
        <v>6710</v>
      </c>
      <c r="IVO1" t="s">
        <v>6711</v>
      </c>
      <c r="IVP1" t="s">
        <v>6712</v>
      </c>
      <c r="IVQ1" t="s">
        <v>6713</v>
      </c>
      <c r="IVR1" t="s">
        <v>6714</v>
      </c>
      <c r="IVS1" t="s">
        <v>6715</v>
      </c>
      <c r="IVT1" t="s">
        <v>6716</v>
      </c>
      <c r="IVU1" t="s">
        <v>6717</v>
      </c>
      <c r="IVV1" t="s">
        <v>6718</v>
      </c>
      <c r="IVW1" t="s">
        <v>6719</v>
      </c>
      <c r="IVX1" t="s">
        <v>6720</v>
      </c>
      <c r="IVY1" t="s">
        <v>6721</v>
      </c>
      <c r="IVZ1" t="s">
        <v>6722</v>
      </c>
      <c r="IWA1" t="s">
        <v>6723</v>
      </c>
      <c r="IWB1" t="s">
        <v>6724</v>
      </c>
      <c r="IWC1" t="s">
        <v>6725</v>
      </c>
      <c r="IWD1" t="s">
        <v>6726</v>
      </c>
      <c r="IWE1" t="s">
        <v>6727</v>
      </c>
      <c r="IWF1" t="s">
        <v>6728</v>
      </c>
      <c r="IWG1" t="s">
        <v>6729</v>
      </c>
      <c r="IWH1" t="s">
        <v>6730</v>
      </c>
      <c r="IWI1" t="s">
        <v>6731</v>
      </c>
      <c r="IWJ1" t="s">
        <v>6732</v>
      </c>
      <c r="IWK1" t="s">
        <v>6733</v>
      </c>
      <c r="IWL1" t="s">
        <v>6734</v>
      </c>
      <c r="IWM1" t="s">
        <v>6735</v>
      </c>
      <c r="IWN1" t="s">
        <v>6736</v>
      </c>
      <c r="IWO1" t="s">
        <v>6737</v>
      </c>
      <c r="IWP1" t="s">
        <v>6738</v>
      </c>
      <c r="IWQ1" t="s">
        <v>6739</v>
      </c>
      <c r="IWR1" t="s">
        <v>6740</v>
      </c>
      <c r="IWS1" t="s">
        <v>6741</v>
      </c>
      <c r="IWT1" t="s">
        <v>6742</v>
      </c>
      <c r="IWU1" t="s">
        <v>6743</v>
      </c>
      <c r="IWV1" t="s">
        <v>6744</v>
      </c>
      <c r="IWW1" t="s">
        <v>6745</v>
      </c>
      <c r="IWX1" t="s">
        <v>6746</v>
      </c>
      <c r="IWY1" t="s">
        <v>6747</v>
      </c>
      <c r="IWZ1" t="s">
        <v>6748</v>
      </c>
      <c r="IXA1" t="s">
        <v>6749</v>
      </c>
      <c r="IXB1" t="s">
        <v>6750</v>
      </c>
      <c r="IXC1" t="s">
        <v>6751</v>
      </c>
      <c r="IXD1" t="s">
        <v>6752</v>
      </c>
      <c r="IXE1" t="s">
        <v>6753</v>
      </c>
      <c r="IXF1" t="s">
        <v>6754</v>
      </c>
      <c r="IXG1" t="s">
        <v>6755</v>
      </c>
      <c r="IXH1" t="s">
        <v>6756</v>
      </c>
      <c r="IXI1" t="s">
        <v>6757</v>
      </c>
      <c r="IXJ1" t="s">
        <v>6758</v>
      </c>
      <c r="IXK1" t="s">
        <v>6759</v>
      </c>
      <c r="IXL1" t="s">
        <v>6760</v>
      </c>
      <c r="IXM1" t="s">
        <v>6761</v>
      </c>
      <c r="IXN1" t="s">
        <v>6762</v>
      </c>
      <c r="IXO1" t="s">
        <v>6763</v>
      </c>
      <c r="IXP1" t="s">
        <v>6764</v>
      </c>
      <c r="IXQ1" t="s">
        <v>6765</v>
      </c>
      <c r="IXR1" t="s">
        <v>6766</v>
      </c>
      <c r="IXS1" t="s">
        <v>6767</v>
      </c>
      <c r="IXT1" t="s">
        <v>6768</v>
      </c>
      <c r="IXU1" t="s">
        <v>6769</v>
      </c>
      <c r="IXV1" t="s">
        <v>6770</v>
      </c>
      <c r="IXW1" t="s">
        <v>6771</v>
      </c>
      <c r="IXX1" t="s">
        <v>6772</v>
      </c>
      <c r="IXY1" t="s">
        <v>6773</v>
      </c>
      <c r="IXZ1" t="s">
        <v>6774</v>
      </c>
      <c r="IYA1" t="s">
        <v>6775</v>
      </c>
      <c r="IYB1" t="s">
        <v>6776</v>
      </c>
      <c r="IYC1" t="s">
        <v>6777</v>
      </c>
      <c r="IYD1" t="s">
        <v>6778</v>
      </c>
      <c r="IYE1" t="s">
        <v>6779</v>
      </c>
      <c r="IYF1" t="s">
        <v>6780</v>
      </c>
      <c r="IYG1" t="s">
        <v>6781</v>
      </c>
      <c r="IYH1" t="s">
        <v>6782</v>
      </c>
      <c r="IYI1" t="s">
        <v>6783</v>
      </c>
      <c r="IYJ1" t="s">
        <v>6784</v>
      </c>
      <c r="IYK1" t="s">
        <v>6785</v>
      </c>
      <c r="IYL1" t="s">
        <v>6786</v>
      </c>
      <c r="IYM1" t="s">
        <v>6787</v>
      </c>
      <c r="IYN1" t="s">
        <v>6788</v>
      </c>
      <c r="IYO1" t="s">
        <v>6789</v>
      </c>
      <c r="IYP1" t="s">
        <v>6790</v>
      </c>
      <c r="IYQ1" t="s">
        <v>6791</v>
      </c>
      <c r="IYR1" t="s">
        <v>6792</v>
      </c>
      <c r="IYS1" t="s">
        <v>6793</v>
      </c>
      <c r="IYT1" t="s">
        <v>6794</v>
      </c>
      <c r="IYU1" t="s">
        <v>6795</v>
      </c>
      <c r="IYV1" t="s">
        <v>6796</v>
      </c>
      <c r="IYW1" t="s">
        <v>6797</v>
      </c>
      <c r="IYX1" t="s">
        <v>6798</v>
      </c>
      <c r="IYY1" t="s">
        <v>6799</v>
      </c>
      <c r="IYZ1" t="s">
        <v>6800</v>
      </c>
      <c r="IZA1" t="s">
        <v>6801</v>
      </c>
      <c r="IZB1" t="s">
        <v>6802</v>
      </c>
      <c r="IZC1" t="s">
        <v>6803</v>
      </c>
      <c r="IZD1" t="s">
        <v>6804</v>
      </c>
      <c r="IZE1" t="s">
        <v>6805</v>
      </c>
      <c r="IZF1" t="s">
        <v>6806</v>
      </c>
      <c r="IZG1" t="s">
        <v>6807</v>
      </c>
      <c r="IZH1" t="s">
        <v>6808</v>
      </c>
      <c r="IZI1" t="s">
        <v>6809</v>
      </c>
      <c r="IZJ1" t="s">
        <v>6810</v>
      </c>
      <c r="IZK1" t="s">
        <v>6811</v>
      </c>
      <c r="IZL1" t="s">
        <v>6812</v>
      </c>
      <c r="IZM1" t="s">
        <v>6813</v>
      </c>
      <c r="IZN1" t="s">
        <v>6814</v>
      </c>
      <c r="IZO1" t="s">
        <v>6815</v>
      </c>
      <c r="IZP1" t="s">
        <v>6816</v>
      </c>
      <c r="IZQ1" t="s">
        <v>6817</v>
      </c>
      <c r="IZR1" t="s">
        <v>6818</v>
      </c>
      <c r="IZS1" t="s">
        <v>6819</v>
      </c>
      <c r="IZT1" t="s">
        <v>6820</v>
      </c>
      <c r="IZU1" t="s">
        <v>6821</v>
      </c>
      <c r="IZV1" t="s">
        <v>6822</v>
      </c>
      <c r="IZW1" t="s">
        <v>6823</v>
      </c>
      <c r="IZX1" t="s">
        <v>6824</v>
      </c>
      <c r="IZY1" t="s">
        <v>6825</v>
      </c>
      <c r="IZZ1" t="s">
        <v>6826</v>
      </c>
      <c r="JAA1" t="s">
        <v>6827</v>
      </c>
      <c r="JAB1" t="s">
        <v>6828</v>
      </c>
      <c r="JAC1" t="s">
        <v>6829</v>
      </c>
      <c r="JAD1" t="s">
        <v>6830</v>
      </c>
      <c r="JAE1" t="s">
        <v>6831</v>
      </c>
      <c r="JAF1" t="s">
        <v>6832</v>
      </c>
      <c r="JAG1" t="s">
        <v>6833</v>
      </c>
      <c r="JAH1" t="s">
        <v>6834</v>
      </c>
      <c r="JAI1" t="s">
        <v>6835</v>
      </c>
      <c r="JAJ1" t="s">
        <v>6836</v>
      </c>
      <c r="JAK1" t="s">
        <v>6837</v>
      </c>
      <c r="JAL1" t="s">
        <v>6838</v>
      </c>
      <c r="JAM1" t="s">
        <v>6839</v>
      </c>
      <c r="JAN1" t="s">
        <v>6840</v>
      </c>
      <c r="JAO1" t="s">
        <v>6841</v>
      </c>
      <c r="JAP1" t="s">
        <v>6842</v>
      </c>
      <c r="JAQ1" t="s">
        <v>6843</v>
      </c>
      <c r="JAR1" t="s">
        <v>6844</v>
      </c>
      <c r="JAS1" t="s">
        <v>6845</v>
      </c>
      <c r="JAT1" t="s">
        <v>6846</v>
      </c>
      <c r="JAU1" t="s">
        <v>6847</v>
      </c>
      <c r="JAV1" t="s">
        <v>6848</v>
      </c>
      <c r="JAW1" t="s">
        <v>6849</v>
      </c>
      <c r="JAX1" t="s">
        <v>6850</v>
      </c>
      <c r="JAY1" t="s">
        <v>6851</v>
      </c>
      <c r="JAZ1" t="s">
        <v>6852</v>
      </c>
      <c r="JBA1" t="s">
        <v>6853</v>
      </c>
      <c r="JBB1" t="s">
        <v>6854</v>
      </c>
      <c r="JBC1" t="s">
        <v>6855</v>
      </c>
      <c r="JBD1" t="s">
        <v>6856</v>
      </c>
      <c r="JBE1" t="s">
        <v>6857</v>
      </c>
      <c r="JBF1" t="s">
        <v>6858</v>
      </c>
      <c r="JBG1" t="s">
        <v>6859</v>
      </c>
      <c r="JBH1" t="s">
        <v>6860</v>
      </c>
      <c r="JBI1" t="s">
        <v>6861</v>
      </c>
      <c r="JBJ1" t="s">
        <v>6862</v>
      </c>
      <c r="JBK1" t="s">
        <v>6863</v>
      </c>
      <c r="JBL1" t="s">
        <v>6864</v>
      </c>
      <c r="JBM1" t="s">
        <v>6865</v>
      </c>
      <c r="JBN1" t="s">
        <v>6866</v>
      </c>
      <c r="JBO1" t="s">
        <v>6867</v>
      </c>
      <c r="JBP1" t="s">
        <v>6868</v>
      </c>
      <c r="JBQ1" t="s">
        <v>6869</v>
      </c>
      <c r="JBR1" t="s">
        <v>6870</v>
      </c>
      <c r="JBS1" t="s">
        <v>6871</v>
      </c>
      <c r="JBT1" t="s">
        <v>6872</v>
      </c>
      <c r="JBU1" t="s">
        <v>6873</v>
      </c>
      <c r="JBV1" t="s">
        <v>6874</v>
      </c>
      <c r="JBW1" t="s">
        <v>6875</v>
      </c>
      <c r="JBX1" t="s">
        <v>6876</v>
      </c>
      <c r="JBY1" t="s">
        <v>6877</v>
      </c>
      <c r="JBZ1" t="s">
        <v>6878</v>
      </c>
      <c r="JCA1" t="s">
        <v>6879</v>
      </c>
      <c r="JCB1" t="s">
        <v>6880</v>
      </c>
      <c r="JCC1" t="s">
        <v>6881</v>
      </c>
      <c r="JCD1" t="s">
        <v>6882</v>
      </c>
      <c r="JCE1" t="s">
        <v>6883</v>
      </c>
      <c r="JCF1" t="s">
        <v>6884</v>
      </c>
      <c r="JCG1" t="s">
        <v>6885</v>
      </c>
      <c r="JCH1" t="s">
        <v>6886</v>
      </c>
      <c r="JCI1" t="s">
        <v>6887</v>
      </c>
      <c r="JCJ1" t="s">
        <v>6888</v>
      </c>
      <c r="JCK1" t="s">
        <v>6889</v>
      </c>
      <c r="JCL1" t="s">
        <v>6890</v>
      </c>
      <c r="JCM1" t="s">
        <v>6891</v>
      </c>
      <c r="JCN1" t="s">
        <v>6892</v>
      </c>
      <c r="JCO1" t="s">
        <v>6893</v>
      </c>
      <c r="JCP1" t="s">
        <v>6894</v>
      </c>
      <c r="JCQ1" t="s">
        <v>6895</v>
      </c>
      <c r="JCR1" t="s">
        <v>6896</v>
      </c>
      <c r="JCS1" t="s">
        <v>6897</v>
      </c>
      <c r="JCT1" t="s">
        <v>6898</v>
      </c>
      <c r="JCU1" t="s">
        <v>6899</v>
      </c>
      <c r="JCV1" t="s">
        <v>6900</v>
      </c>
      <c r="JCW1" t="s">
        <v>6901</v>
      </c>
      <c r="JCX1" t="s">
        <v>6902</v>
      </c>
      <c r="JCY1" t="s">
        <v>6903</v>
      </c>
      <c r="JCZ1" t="s">
        <v>6904</v>
      </c>
      <c r="JDA1" t="s">
        <v>6905</v>
      </c>
      <c r="JDB1" t="s">
        <v>6906</v>
      </c>
      <c r="JDC1" t="s">
        <v>6907</v>
      </c>
      <c r="JDD1" t="s">
        <v>6908</v>
      </c>
      <c r="JDE1" t="s">
        <v>6909</v>
      </c>
      <c r="JDF1" t="s">
        <v>6910</v>
      </c>
      <c r="JDG1" t="s">
        <v>6911</v>
      </c>
      <c r="JDH1" t="s">
        <v>6912</v>
      </c>
      <c r="JDI1" t="s">
        <v>6913</v>
      </c>
      <c r="JDJ1" t="s">
        <v>6914</v>
      </c>
      <c r="JDK1" t="s">
        <v>6915</v>
      </c>
      <c r="JDL1" t="s">
        <v>6916</v>
      </c>
      <c r="JDM1" t="s">
        <v>6917</v>
      </c>
      <c r="JDN1" t="s">
        <v>6918</v>
      </c>
      <c r="JDO1" t="s">
        <v>6919</v>
      </c>
      <c r="JDP1" t="s">
        <v>6920</v>
      </c>
      <c r="JDQ1" t="s">
        <v>6921</v>
      </c>
      <c r="JDR1" t="s">
        <v>6922</v>
      </c>
      <c r="JDS1" t="s">
        <v>6923</v>
      </c>
      <c r="JDT1" t="s">
        <v>6924</v>
      </c>
      <c r="JDU1" t="s">
        <v>6925</v>
      </c>
      <c r="JDV1" t="s">
        <v>6926</v>
      </c>
      <c r="JDW1" t="s">
        <v>6927</v>
      </c>
      <c r="JDX1" t="s">
        <v>6928</v>
      </c>
      <c r="JDY1" t="s">
        <v>6929</v>
      </c>
      <c r="JDZ1" t="s">
        <v>6930</v>
      </c>
      <c r="JEA1" t="s">
        <v>6931</v>
      </c>
      <c r="JEB1" t="s">
        <v>6932</v>
      </c>
      <c r="JEC1" t="s">
        <v>6933</v>
      </c>
      <c r="JED1" t="s">
        <v>6934</v>
      </c>
      <c r="JEE1" t="s">
        <v>6935</v>
      </c>
      <c r="JEF1" t="s">
        <v>6936</v>
      </c>
      <c r="JEG1" t="s">
        <v>6937</v>
      </c>
      <c r="JEH1" t="s">
        <v>6938</v>
      </c>
      <c r="JEI1" t="s">
        <v>6939</v>
      </c>
      <c r="JEJ1" t="s">
        <v>6940</v>
      </c>
      <c r="JEK1" t="s">
        <v>6941</v>
      </c>
      <c r="JEL1" t="s">
        <v>6942</v>
      </c>
      <c r="JEM1" t="s">
        <v>6943</v>
      </c>
      <c r="JEN1" t="s">
        <v>6944</v>
      </c>
      <c r="JEO1" t="s">
        <v>6945</v>
      </c>
      <c r="JEP1" t="s">
        <v>6946</v>
      </c>
      <c r="JEQ1" t="s">
        <v>6947</v>
      </c>
      <c r="JER1" t="s">
        <v>6948</v>
      </c>
      <c r="JES1" t="s">
        <v>6949</v>
      </c>
      <c r="JET1" t="s">
        <v>6950</v>
      </c>
      <c r="JEU1" t="s">
        <v>6951</v>
      </c>
      <c r="JEV1" t="s">
        <v>6952</v>
      </c>
      <c r="JEW1" t="s">
        <v>6953</v>
      </c>
      <c r="JEX1" t="s">
        <v>6954</v>
      </c>
      <c r="JEY1" t="s">
        <v>6955</v>
      </c>
      <c r="JEZ1" t="s">
        <v>6956</v>
      </c>
      <c r="JFA1" t="s">
        <v>6957</v>
      </c>
      <c r="JFB1" t="s">
        <v>6958</v>
      </c>
      <c r="JFC1" t="s">
        <v>6959</v>
      </c>
      <c r="JFD1" t="s">
        <v>6960</v>
      </c>
      <c r="JFE1" t="s">
        <v>6961</v>
      </c>
      <c r="JFF1" t="s">
        <v>6962</v>
      </c>
      <c r="JFG1" t="s">
        <v>6963</v>
      </c>
      <c r="JFH1" t="s">
        <v>6964</v>
      </c>
      <c r="JFI1" t="s">
        <v>6965</v>
      </c>
      <c r="JFJ1" t="s">
        <v>6966</v>
      </c>
      <c r="JFK1" t="s">
        <v>6967</v>
      </c>
      <c r="JFL1" t="s">
        <v>6968</v>
      </c>
      <c r="JFM1" t="s">
        <v>6969</v>
      </c>
      <c r="JFN1" t="s">
        <v>6970</v>
      </c>
      <c r="JFO1" t="s">
        <v>6971</v>
      </c>
      <c r="JFP1" t="s">
        <v>6972</v>
      </c>
      <c r="JFQ1" t="s">
        <v>6973</v>
      </c>
      <c r="JFR1" t="s">
        <v>6974</v>
      </c>
      <c r="JFS1" t="s">
        <v>6975</v>
      </c>
      <c r="JFT1" t="s">
        <v>6976</v>
      </c>
      <c r="JFU1" t="s">
        <v>6977</v>
      </c>
      <c r="JFV1" t="s">
        <v>6978</v>
      </c>
      <c r="JFW1" t="s">
        <v>6979</v>
      </c>
      <c r="JFX1" t="s">
        <v>6980</v>
      </c>
      <c r="JFY1" t="s">
        <v>6981</v>
      </c>
      <c r="JFZ1" t="s">
        <v>6982</v>
      </c>
      <c r="JGA1" t="s">
        <v>6983</v>
      </c>
      <c r="JGB1" t="s">
        <v>6984</v>
      </c>
      <c r="JGC1" t="s">
        <v>6985</v>
      </c>
      <c r="JGD1" t="s">
        <v>6986</v>
      </c>
      <c r="JGE1" t="s">
        <v>6987</v>
      </c>
      <c r="JGF1" t="s">
        <v>6988</v>
      </c>
      <c r="JGG1" t="s">
        <v>6989</v>
      </c>
      <c r="JGH1" t="s">
        <v>6990</v>
      </c>
      <c r="JGI1" t="s">
        <v>6991</v>
      </c>
      <c r="JGJ1" t="s">
        <v>6992</v>
      </c>
      <c r="JGK1" t="s">
        <v>6993</v>
      </c>
      <c r="JGL1" t="s">
        <v>6994</v>
      </c>
      <c r="JGM1" t="s">
        <v>6995</v>
      </c>
      <c r="JGN1" t="s">
        <v>6996</v>
      </c>
      <c r="JGO1" t="s">
        <v>6997</v>
      </c>
      <c r="JGP1" t="s">
        <v>6998</v>
      </c>
      <c r="JGQ1" t="s">
        <v>6999</v>
      </c>
      <c r="JGR1" t="s">
        <v>7000</v>
      </c>
      <c r="JGS1" t="s">
        <v>7001</v>
      </c>
      <c r="JGT1" t="s">
        <v>7002</v>
      </c>
      <c r="JGU1" t="s">
        <v>7003</v>
      </c>
      <c r="JGV1" t="s">
        <v>7004</v>
      </c>
      <c r="JGW1" t="s">
        <v>7005</v>
      </c>
      <c r="JGX1" t="s">
        <v>7006</v>
      </c>
      <c r="JGY1" t="s">
        <v>7007</v>
      </c>
      <c r="JGZ1" t="s">
        <v>7008</v>
      </c>
      <c r="JHA1" t="s">
        <v>7009</v>
      </c>
      <c r="JHB1" t="s">
        <v>7010</v>
      </c>
      <c r="JHC1" t="s">
        <v>7011</v>
      </c>
      <c r="JHD1" t="s">
        <v>7012</v>
      </c>
      <c r="JHE1" t="s">
        <v>7013</v>
      </c>
      <c r="JHF1" t="s">
        <v>7014</v>
      </c>
      <c r="JHG1" t="s">
        <v>7015</v>
      </c>
      <c r="JHH1" t="s">
        <v>7016</v>
      </c>
      <c r="JHI1" t="s">
        <v>7017</v>
      </c>
      <c r="JHJ1" t="s">
        <v>7018</v>
      </c>
      <c r="JHK1" t="s">
        <v>7019</v>
      </c>
      <c r="JHL1" t="s">
        <v>7020</v>
      </c>
      <c r="JHM1" t="s">
        <v>7021</v>
      </c>
      <c r="JHN1" t="s">
        <v>7022</v>
      </c>
      <c r="JHO1" t="s">
        <v>7023</v>
      </c>
      <c r="JHP1" t="s">
        <v>7024</v>
      </c>
      <c r="JHQ1" t="s">
        <v>7025</v>
      </c>
      <c r="JHR1" t="s">
        <v>7026</v>
      </c>
      <c r="JHS1" t="s">
        <v>7027</v>
      </c>
      <c r="JHT1" t="s">
        <v>7028</v>
      </c>
      <c r="JHU1" t="s">
        <v>7029</v>
      </c>
      <c r="JHV1" t="s">
        <v>7030</v>
      </c>
      <c r="JHW1" t="s">
        <v>7031</v>
      </c>
      <c r="JHX1" t="s">
        <v>7032</v>
      </c>
      <c r="JHY1" t="s">
        <v>7033</v>
      </c>
      <c r="JHZ1" t="s">
        <v>7034</v>
      </c>
      <c r="JIA1" t="s">
        <v>7035</v>
      </c>
      <c r="JIB1" t="s">
        <v>7036</v>
      </c>
      <c r="JIC1" t="s">
        <v>7037</v>
      </c>
      <c r="JID1" t="s">
        <v>7038</v>
      </c>
      <c r="JIE1" t="s">
        <v>7039</v>
      </c>
      <c r="JIF1" t="s">
        <v>7040</v>
      </c>
      <c r="JIG1" t="s">
        <v>7041</v>
      </c>
      <c r="JIH1" t="s">
        <v>7042</v>
      </c>
      <c r="JII1" t="s">
        <v>7043</v>
      </c>
      <c r="JIJ1" t="s">
        <v>7044</v>
      </c>
      <c r="JIK1" t="s">
        <v>7045</v>
      </c>
      <c r="JIL1" t="s">
        <v>7046</v>
      </c>
      <c r="JIM1" t="s">
        <v>7047</v>
      </c>
      <c r="JIN1" t="s">
        <v>7048</v>
      </c>
      <c r="JIO1" t="s">
        <v>7049</v>
      </c>
      <c r="JIP1" t="s">
        <v>7050</v>
      </c>
      <c r="JIQ1" t="s">
        <v>7051</v>
      </c>
      <c r="JIR1" t="s">
        <v>7052</v>
      </c>
      <c r="JIS1" t="s">
        <v>7053</v>
      </c>
      <c r="JIT1" t="s">
        <v>7054</v>
      </c>
      <c r="JIU1" t="s">
        <v>7055</v>
      </c>
      <c r="JIV1" t="s">
        <v>7056</v>
      </c>
      <c r="JIW1" t="s">
        <v>7057</v>
      </c>
      <c r="JIX1" t="s">
        <v>7058</v>
      </c>
      <c r="JIY1" t="s">
        <v>7059</v>
      </c>
      <c r="JIZ1" t="s">
        <v>7060</v>
      </c>
      <c r="JJA1" t="s">
        <v>7061</v>
      </c>
      <c r="JJB1" t="s">
        <v>7062</v>
      </c>
      <c r="JJC1" t="s">
        <v>7063</v>
      </c>
      <c r="JJD1" t="s">
        <v>7064</v>
      </c>
      <c r="JJE1" t="s">
        <v>7065</v>
      </c>
      <c r="JJF1" t="s">
        <v>7066</v>
      </c>
      <c r="JJG1" t="s">
        <v>7067</v>
      </c>
      <c r="JJH1" t="s">
        <v>7068</v>
      </c>
      <c r="JJI1" t="s">
        <v>7069</v>
      </c>
      <c r="JJJ1" t="s">
        <v>7070</v>
      </c>
      <c r="JJK1" t="s">
        <v>7071</v>
      </c>
      <c r="JJL1" t="s">
        <v>7072</v>
      </c>
      <c r="JJM1" t="s">
        <v>7073</v>
      </c>
      <c r="JJN1" t="s">
        <v>7074</v>
      </c>
      <c r="JJO1" t="s">
        <v>7075</v>
      </c>
      <c r="JJP1" t="s">
        <v>7076</v>
      </c>
      <c r="JJQ1" t="s">
        <v>7077</v>
      </c>
      <c r="JJR1" t="s">
        <v>7078</v>
      </c>
      <c r="JJS1" t="s">
        <v>7079</v>
      </c>
      <c r="JJT1" t="s">
        <v>7080</v>
      </c>
      <c r="JJU1" t="s">
        <v>7081</v>
      </c>
      <c r="JJV1" t="s">
        <v>7082</v>
      </c>
      <c r="JJW1" t="s">
        <v>7083</v>
      </c>
      <c r="JJX1" t="s">
        <v>7084</v>
      </c>
      <c r="JJY1" t="s">
        <v>7085</v>
      </c>
      <c r="JJZ1" t="s">
        <v>7086</v>
      </c>
      <c r="JKA1" t="s">
        <v>7087</v>
      </c>
      <c r="JKB1" t="s">
        <v>7088</v>
      </c>
      <c r="JKC1" t="s">
        <v>7089</v>
      </c>
      <c r="JKD1" t="s">
        <v>7090</v>
      </c>
      <c r="JKE1" t="s">
        <v>7091</v>
      </c>
      <c r="JKF1" t="s">
        <v>7092</v>
      </c>
      <c r="JKG1" t="s">
        <v>7093</v>
      </c>
      <c r="JKH1" t="s">
        <v>7094</v>
      </c>
      <c r="JKI1" t="s">
        <v>7095</v>
      </c>
      <c r="JKJ1" t="s">
        <v>7096</v>
      </c>
      <c r="JKK1" t="s">
        <v>7097</v>
      </c>
      <c r="JKL1" t="s">
        <v>7098</v>
      </c>
      <c r="JKM1" t="s">
        <v>7099</v>
      </c>
      <c r="JKN1" t="s">
        <v>7100</v>
      </c>
      <c r="JKO1" t="s">
        <v>7101</v>
      </c>
      <c r="JKP1" t="s">
        <v>7102</v>
      </c>
      <c r="JKQ1" t="s">
        <v>7103</v>
      </c>
      <c r="JKR1" t="s">
        <v>7104</v>
      </c>
      <c r="JKS1" t="s">
        <v>7105</v>
      </c>
      <c r="JKT1" t="s">
        <v>7106</v>
      </c>
      <c r="JKU1" t="s">
        <v>7107</v>
      </c>
      <c r="JKV1" t="s">
        <v>7108</v>
      </c>
      <c r="JKW1" t="s">
        <v>7109</v>
      </c>
      <c r="JKX1" t="s">
        <v>7110</v>
      </c>
      <c r="JKY1" t="s">
        <v>7111</v>
      </c>
      <c r="JKZ1" t="s">
        <v>7112</v>
      </c>
      <c r="JLA1" t="s">
        <v>7113</v>
      </c>
      <c r="JLB1" t="s">
        <v>7114</v>
      </c>
      <c r="JLC1" t="s">
        <v>7115</v>
      </c>
      <c r="JLD1" t="s">
        <v>7116</v>
      </c>
      <c r="JLE1" t="s">
        <v>7117</v>
      </c>
      <c r="JLF1" t="s">
        <v>7118</v>
      </c>
      <c r="JLG1" t="s">
        <v>7119</v>
      </c>
      <c r="JLH1" t="s">
        <v>7120</v>
      </c>
      <c r="JLI1" t="s">
        <v>7121</v>
      </c>
      <c r="JLJ1" t="s">
        <v>7122</v>
      </c>
      <c r="JLK1" t="s">
        <v>7123</v>
      </c>
      <c r="JLL1" t="s">
        <v>7124</v>
      </c>
      <c r="JLM1" t="s">
        <v>7125</v>
      </c>
      <c r="JLN1" t="s">
        <v>7126</v>
      </c>
      <c r="JLO1" t="s">
        <v>7127</v>
      </c>
      <c r="JLP1" t="s">
        <v>7128</v>
      </c>
      <c r="JLQ1" t="s">
        <v>7129</v>
      </c>
      <c r="JLR1" t="s">
        <v>7130</v>
      </c>
      <c r="JLS1" t="s">
        <v>7131</v>
      </c>
      <c r="JLT1" t="s">
        <v>7132</v>
      </c>
      <c r="JLU1" t="s">
        <v>7133</v>
      </c>
      <c r="JLV1" t="s">
        <v>7134</v>
      </c>
      <c r="JLW1" t="s">
        <v>7135</v>
      </c>
      <c r="JLX1" t="s">
        <v>7136</v>
      </c>
      <c r="JLY1" t="s">
        <v>7137</v>
      </c>
      <c r="JLZ1" t="s">
        <v>7138</v>
      </c>
      <c r="JMA1" t="s">
        <v>7139</v>
      </c>
      <c r="JMB1" t="s">
        <v>7140</v>
      </c>
      <c r="JMC1" t="s">
        <v>7141</v>
      </c>
      <c r="JMD1" t="s">
        <v>7142</v>
      </c>
      <c r="JME1" t="s">
        <v>7143</v>
      </c>
      <c r="JMF1" t="s">
        <v>7144</v>
      </c>
      <c r="JMG1" t="s">
        <v>7145</v>
      </c>
      <c r="JMH1" t="s">
        <v>7146</v>
      </c>
      <c r="JMI1" t="s">
        <v>7147</v>
      </c>
      <c r="JMJ1" t="s">
        <v>7148</v>
      </c>
      <c r="JMK1" t="s">
        <v>7149</v>
      </c>
      <c r="JML1" t="s">
        <v>7150</v>
      </c>
      <c r="JMM1" t="s">
        <v>7151</v>
      </c>
      <c r="JMN1" t="s">
        <v>7152</v>
      </c>
      <c r="JMO1" t="s">
        <v>7153</v>
      </c>
      <c r="JMP1" t="s">
        <v>7154</v>
      </c>
      <c r="JMQ1" t="s">
        <v>7155</v>
      </c>
      <c r="JMR1" t="s">
        <v>7156</v>
      </c>
      <c r="JMS1" t="s">
        <v>7157</v>
      </c>
      <c r="JMT1" t="s">
        <v>7158</v>
      </c>
      <c r="JMU1" t="s">
        <v>7159</v>
      </c>
      <c r="JMV1" t="s">
        <v>7160</v>
      </c>
      <c r="JMW1" t="s">
        <v>7161</v>
      </c>
      <c r="JMX1" t="s">
        <v>7162</v>
      </c>
      <c r="JMY1" t="s">
        <v>7163</v>
      </c>
      <c r="JMZ1" t="s">
        <v>7164</v>
      </c>
      <c r="JNA1" t="s">
        <v>7165</v>
      </c>
      <c r="JNB1" t="s">
        <v>7166</v>
      </c>
      <c r="JNC1" t="s">
        <v>7167</v>
      </c>
      <c r="JND1" t="s">
        <v>7168</v>
      </c>
      <c r="JNE1" t="s">
        <v>7169</v>
      </c>
      <c r="JNF1" t="s">
        <v>7170</v>
      </c>
      <c r="JNG1" t="s">
        <v>7171</v>
      </c>
      <c r="JNH1" t="s">
        <v>7172</v>
      </c>
      <c r="JNI1" t="s">
        <v>7173</v>
      </c>
      <c r="JNJ1" t="s">
        <v>7174</v>
      </c>
      <c r="JNK1" t="s">
        <v>7175</v>
      </c>
      <c r="JNL1" t="s">
        <v>7176</v>
      </c>
      <c r="JNM1" t="s">
        <v>7177</v>
      </c>
      <c r="JNN1" t="s">
        <v>7178</v>
      </c>
      <c r="JNO1" t="s">
        <v>7179</v>
      </c>
      <c r="JNP1" t="s">
        <v>7180</v>
      </c>
      <c r="JNQ1" t="s">
        <v>7181</v>
      </c>
      <c r="JNR1" t="s">
        <v>7182</v>
      </c>
      <c r="JNS1" t="s">
        <v>7183</v>
      </c>
      <c r="JNT1" t="s">
        <v>7184</v>
      </c>
      <c r="JNU1" t="s">
        <v>7185</v>
      </c>
      <c r="JNV1" t="s">
        <v>7186</v>
      </c>
      <c r="JNW1" t="s">
        <v>7187</v>
      </c>
      <c r="JNX1" t="s">
        <v>7188</v>
      </c>
      <c r="JNY1" t="s">
        <v>7189</v>
      </c>
      <c r="JNZ1" t="s">
        <v>7190</v>
      </c>
      <c r="JOA1" t="s">
        <v>7191</v>
      </c>
      <c r="JOB1" t="s">
        <v>7192</v>
      </c>
      <c r="JOC1" t="s">
        <v>7193</v>
      </c>
      <c r="JOD1" t="s">
        <v>7194</v>
      </c>
      <c r="JOE1" t="s">
        <v>7195</v>
      </c>
      <c r="JOF1" t="s">
        <v>7196</v>
      </c>
      <c r="JOG1" t="s">
        <v>7197</v>
      </c>
      <c r="JOH1" t="s">
        <v>7198</v>
      </c>
      <c r="JOI1" t="s">
        <v>7199</v>
      </c>
      <c r="JOJ1" t="s">
        <v>7200</v>
      </c>
      <c r="JOK1" t="s">
        <v>7201</v>
      </c>
      <c r="JOL1" t="s">
        <v>7202</v>
      </c>
      <c r="JOM1" t="s">
        <v>7203</v>
      </c>
      <c r="JON1" t="s">
        <v>7204</v>
      </c>
      <c r="JOO1" t="s">
        <v>7205</v>
      </c>
      <c r="JOP1" t="s">
        <v>7206</v>
      </c>
      <c r="JOQ1" t="s">
        <v>7207</v>
      </c>
      <c r="JOR1" t="s">
        <v>7208</v>
      </c>
      <c r="JOS1" t="s">
        <v>7209</v>
      </c>
      <c r="JOT1" t="s">
        <v>7210</v>
      </c>
      <c r="JOU1" t="s">
        <v>7211</v>
      </c>
      <c r="JOV1" t="s">
        <v>7212</v>
      </c>
      <c r="JOW1" t="s">
        <v>7213</v>
      </c>
      <c r="JOX1" t="s">
        <v>7214</v>
      </c>
      <c r="JOY1" t="s">
        <v>7215</v>
      </c>
      <c r="JOZ1" t="s">
        <v>7216</v>
      </c>
      <c r="JPA1" t="s">
        <v>7217</v>
      </c>
      <c r="JPB1" t="s">
        <v>7218</v>
      </c>
      <c r="JPC1" t="s">
        <v>7219</v>
      </c>
      <c r="JPD1" t="s">
        <v>7220</v>
      </c>
      <c r="JPE1" t="s">
        <v>7221</v>
      </c>
      <c r="JPF1" t="s">
        <v>7222</v>
      </c>
      <c r="JPG1" t="s">
        <v>7223</v>
      </c>
      <c r="JPH1" t="s">
        <v>7224</v>
      </c>
      <c r="JPI1" t="s">
        <v>7225</v>
      </c>
      <c r="JPJ1" t="s">
        <v>7226</v>
      </c>
      <c r="JPK1" t="s">
        <v>7227</v>
      </c>
      <c r="JPL1" t="s">
        <v>7228</v>
      </c>
      <c r="JPM1" t="s">
        <v>7229</v>
      </c>
      <c r="JPN1" t="s">
        <v>7230</v>
      </c>
      <c r="JPO1" t="s">
        <v>7231</v>
      </c>
      <c r="JPP1" t="s">
        <v>7232</v>
      </c>
      <c r="JPQ1" t="s">
        <v>7233</v>
      </c>
      <c r="JPR1" t="s">
        <v>7234</v>
      </c>
      <c r="JPS1" t="s">
        <v>7235</v>
      </c>
      <c r="JPT1" t="s">
        <v>7236</v>
      </c>
      <c r="JPU1" t="s">
        <v>7237</v>
      </c>
      <c r="JPV1" t="s">
        <v>7238</v>
      </c>
      <c r="JPW1" t="s">
        <v>7239</v>
      </c>
      <c r="JPX1" t="s">
        <v>7240</v>
      </c>
      <c r="JPY1" t="s">
        <v>7241</v>
      </c>
      <c r="JPZ1" t="s">
        <v>7242</v>
      </c>
      <c r="JQA1" t="s">
        <v>7243</v>
      </c>
      <c r="JQB1" t="s">
        <v>7244</v>
      </c>
      <c r="JQC1" t="s">
        <v>7245</v>
      </c>
      <c r="JQD1" t="s">
        <v>7246</v>
      </c>
      <c r="JQE1" t="s">
        <v>7247</v>
      </c>
      <c r="JQF1" t="s">
        <v>7248</v>
      </c>
      <c r="JQG1" t="s">
        <v>7249</v>
      </c>
      <c r="JQH1" t="s">
        <v>7250</v>
      </c>
      <c r="JQI1" t="s">
        <v>7251</v>
      </c>
      <c r="JQJ1" t="s">
        <v>7252</v>
      </c>
      <c r="JQK1" t="s">
        <v>7253</v>
      </c>
      <c r="JQL1" t="s">
        <v>7254</v>
      </c>
      <c r="JQM1" t="s">
        <v>7255</v>
      </c>
      <c r="JQN1" t="s">
        <v>7256</v>
      </c>
      <c r="JQO1" t="s">
        <v>7257</v>
      </c>
      <c r="JQP1" t="s">
        <v>7258</v>
      </c>
      <c r="JQQ1" t="s">
        <v>7259</v>
      </c>
      <c r="JQR1" t="s">
        <v>7260</v>
      </c>
      <c r="JQS1" t="s">
        <v>7261</v>
      </c>
      <c r="JQT1" t="s">
        <v>7262</v>
      </c>
      <c r="JQU1" t="s">
        <v>7263</v>
      </c>
      <c r="JQV1" t="s">
        <v>7264</v>
      </c>
      <c r="JQW1" t="s">
        <v>7265</v>
      </c>
      <c r="JQX1" t="s">
        <v>7266</v>
      </c>
      <c r="JQY1" t="s">
        <v>7267</v>
      </c>
      <c r="JQZ1" t="s">
        <v>7268</v>
      </c>
      <c r="JRA1" t="s">
        <v>7269</v>
      </c>
      <c r="JRB1" t="s">
        <v>7270</v>
      </c>
      <c r="JRC1" t="s">
        <v>7271</v>
      </c>
      <c r="JRD1" t="s">
        <v>7272</v>
      </c>
      <c r="JRE1" t="s">
        <v>7273</v>
      </c>
      <c r="JRF1" t="s">
        <v>7274</v>
      </c>
      <c r="JRG1" t="s">
        <v>7275</v>
      </c>
      <c r="JRH1" t="s">
        <v>7276</v>
      </c>
      <c r="JRI1" t="s">
        <v>7277</v>
      </c>
      <c r="JRJ1" t="s">
        <v>7278</v>
      </c>
      <c r="JRK1" t="s">
        <v>7279</v>
      </c>
      <c r="JRL1" t="s">
        <v>7280</v>
      </c>
      <c r="JRM1" t="s">
        <v>7281</v>
      </c>
      <c r="JRN1" t="s">
        <v>7282</v>
      </c>
      <c r="JRO1" t="s">
        <v>7283</v>
      </c>
      <c r="JRP1" t="s">
        <v>7284</v>
      </c>
      <c r="JRQ1" t="s">
        <v>7285</v>
      </c>
      <c r="JRR1" t="s">
        <v>7286</v>
      </c>
      <c r="JRS1" t="s">
        <v>7287</v>
      </c>
      <c r="JRT1" t="s">
        <v>7288</v>
      </c>
      <c r="JRU1" t="s">
        <v>7289</v>
      </c>
      <c r="JRV1" t="s">
        <v>7290</v>
      </c>
      <c r="JRW1" t="s">
        <v>7291</v>
      </c>
      <c r="JRX1" t="s">
        <v>7292</v>
      </c>
      <c r="JRY1" t="s">
        <v>7293</v>
      </c>
      <c r="JRZ1" t="s">
        <v>7294</v>
      </c>
      <c r="JSA1" t="s">
        <v>7295</v>
      </c>
      <c r="JSB1" t="s">
        <v>7296</v>
      </c>
      <c r="JSC1" t="s">
        <v>7297</v>
      </c>
      <c r="JSD1" t="s">
        <v>7298</v>
      </c>
      <c r="JSE1" t="s">
        <v>7299</v>
      </c>
      <c r="JSF1" t="s">
        <v>7300</v>
      </c>
      <c r="JSG1" t="s">
        <v>7301</v>
      </c>
      <c r="JSH1" t="s">
        <v>7302</v>
      </c>
      <c r="JSI1" t="s">
        <v>7303</v>
      </c>
      <c r="JSJ1" t="s">
        <v>7304</v>
      </c>
      <c r="JSK1" t="s">
        <v>7305</v>
      </c>
      <c r="JSL1" t="s">
        <v>7306</v>
      </c>
      <c r="JSM1" t="s">
        <v>7307</v>
      </c>
      <c r="JSN1" t="s">
        <v>7308</v>
      </c>
      <c r="JSO1" t="s">
        <v>7309</v>
      </c>
      <c r="JSP1" t="s">
        <v>7310</v>
      </c>
      <c r="JSQ1" t="s">
        <v>7311</v>
      </c>
      <c r="JSR1" t="s">
        <v>7312</v>
      </c>
      <c r="JSS1" t="s">
        <v>7313</v>
      </c>
      <c r="JST1" t="s">
        <v>7314</v>
      </c>
      <c r="JSU1" t="s">
        <v>7315</v>
      </c>
      <c r="JSV1" t="s">
        <v>7316</v>
      </c>
      <c r="JSW1" t="s">
        <v>7317</v>
      </c>
      <c r="JSX1" t="s">
        <v>7318</v>
      </c>
      <c r="JSY1" t="s">
        <v>7319</v>
      </c>
      <c r="JSZ1" t="s">
        <v>7320</v>
      </c>
      <c r="JTA1" t="s">
        <v>7321</v>
      </c>
      <c r="JTB1" t="s">
        <v>7322</v>
      </c>
      <c r="JTC1" t="s">
        <v>7323</v>
      </c>
      <c r="JTD1" t="s">
        <v>7324</v>
      </c>
      <c r="JTE1" t="s">
        <v>7325</v>
      </c>
      <c r="JTF1" t="s">
        <v>7326</v>
      </c>
      <c r="JTG1" t="s">
        <v>7327</v>
      </c>
      <c r="JTH1" t="s">
        <v>7328</v>
      </c>
      <c r="JTI1" t="s">
        <v>7329</v>
      </c>
      <c r="JTJ1" t="s">
        <v>7330</v>
      </c>
      <c r="JTK1" t="s">
        <v>7331</v>
      </c>
      <c r="JTL1" t="s">
        <v>7332</v>
      </c>
      <c r="JTM1" t="s">
        <v>7333</v>
      </c>
      <c r="JTN1" t="s">
        <v>7334</v>
      </c>
      <c r="JTO1" t="s">
        <v>7335</v>
      </c>
      <c r="JTP1" t="s">
        <v>7336</v>
      </c>
      <c r="JTQ1" t="s">
        <v>7337</v>
      </c>
      <c r="JTR1" t="s">
        <v>7338</v>
      </c>
      <c r="JTS1" t="s">
        <v>7339</v>
      </c>
      <c r="JTT1" t="s">
        <v>7340</v>
      </c>
      <c r="JTU1" t="s">
        <v>7341</v>
      </c>
      <c r="JTV1" t="s">
        <v>7342</v>
      </c>
      <c r="JTW1" t="s">
        <v>7343</v>
      </c>
      <c r="JTX1" t="s">
        <v>7344</v>
      </c>
      <c r="JTY1" t="s">
        <v>7345</v>
      </c>
      <c r="JTZ1" t="s">
        <v>7346</v>
      </c>
      <c r="JUA1" t="s">
        <v>7347</v>
      </c>
      <c r="JUB1" t="s">
        <v>7348</v>
      </c>
      <c r="JUC1" t="s">
        <v>7349</v>
      </c>
      <c r="JUD1" t="s">
        <v>7350</v>
      </c>
      <c r="JUE1" t="s">
        <v>7351</v>
      </c>
      <c r="JUF1" t="s">
        <v>7352</v>
      </c>
      <c r="JUG1" t="s">
        <v>7353</v>
      </c>
      <c r="JUH1" t="s">
        <v>7354</v>
      </c>
      <c r="JUI1" t="s">
        <v>7355</v>
      </c>
      <c r="JUJ1" t="s">
        <v>7356</v>
      </c>
      <c r="JUK1" t="s">
        <v>7357</v>
      </c>
      <c r="JUL1" t="s">
        <v>7358</v>
      </c>
      <c r="JUM1" t="s">
        <v>7359</v>
      </c>
      <c r="JUN1" t="s">
        <v>7360</v>
      </c>
      <c r="JUO1" t="s">
        <v>7361</v>
      </c>
      <c r="JUP1" t="s">
        <v>7362</v>
      </c>
      <c r="JUQ1" t="s">
        <v>7363</v>
      </c>
      <c r="JUR1" t="s">
        <v>7364</v>
      </c>
      <c r="JUS1" t="s">
        <v>7365</v>
      </c>
      <c r="JUT1" t="s">
        <v>7366</v>
      </c>
      <c r="JUU1" t="s">
        <v>7367</v>
      </c>
      <c r="JUV1" t="s">
        <v>7368</v>
      </c>
      <c r="JUW1" t="s">
        <v>7369</v>
      </c>
      <c r="JUX1" t="s">
        <v>7370</v>
      </c>
      <c r="JUY1" t="s">
        <v>7371</v>
      </c>
      <c r="JUZ1" t="s">
        <v>7372</v>
      </c>
      <c r="JVA1" t="s">
        <v>7373</v>
      </c>
      <c r="JVB1" t="s">
        <v>7374</v>
      </c>
      <c r="JVC1" t="s">
        <v>7375</v>
      </c>
      <c r="JVD1" t="s">
        <v>7376</v>
      </c>
      <c r="JVE1" t="s">
        <v>7377</v>
      </c>
      <c r="JVF1" t="s">
        <v>7378</v>
      </c>
      <c r="JVG1" t="s">
        <v>7379</v>
      </c>
      <c r="JVH1" t="s">
        <v>7380</v>
      </c>
      <c r="JVI1" t="s">
        <v>7381</v>
      </c>
      <c r="JVJ1" t="s">
        <v>7382</v>
      </c>
      <c r="JVK1" t="s">
        <v>7383</v>
      </c>
      <c r="JVL1" t="s">
        <v>7384</v>
      </c>
      <c r="JVM1" t="s">
        <v>7385</v>
      </c>
      <c r="JVN1" t="s">
        <v>7386</v>
      </c>
      <c r="JVO1" t="s">
        <v>7387</v>
      </c>
      <c r="JVP1" t="s">
        <v>7388</v>
      </c>
      <c r="JVQ1" t="s">
        <v>7389</v>
      </c>
      <c r="JVR1" t="s">
        <v>7390</v>
      </c>
      <c r="JVS1" t="s">
        <v>7391</v>
      </c>
      <c r="JVT1" t="s">
        <v>7392</v>
      </c>
      <c r="JVU1" t="s">
        <v>7393</v>
      </c>
      <c r="JVV1" t="s">
        <v>7394</v>
      </c>
      <c r="JVW1" t="s">
        <v>7395</v>
      </c>
      <c r="JVX1" t="s">
        <v>7396</v>
      </c>
      <c r="JVY1" t="s">
        <v>7397</v>
      </c>
      <c r="JVZ1" t="s">
        <v>7398</v>
      </c>
      <c r="JWA1" t="s">
        <v>7399</v>
      </c>
      <c r="JWB1" t="s">
        <v>7400</v>
      </c>
      <c r="JWC1" t="s">
        <v>7401</v>
      </c>
      <c r="JWD1" t="s">
        <v>7402</v>
      </c>
      <c r="JWE1" t="s">
        <v>7403</v>
      </c>
      <c r="JWF1" t="s">
        <v>7404</v>
      </c>
      <c r="JWG1" t="s">
        <v>7405</v>
      </c>
      <c r="JWH1" t="s">
        <v>7406</v>
      </c>
      <c r="JWI1" t="s">
        <v>7407</v>
      </c>
      <c r="JWJ1" t="s">
        <v>7408</v>
      </c>
      <c r="JWK1" t="s">
        <v>7409</v>
      </c>
      <c r="JWL1" t="s">
        <v>7410</v>
      </c>
      <c r="JWM1" t="s">
        <v>7411</v>
      </c>
      <c r="JWN1" t="s">
        <v>7412</v>
      </c>
      <c r="JWO1" t="s">
        <v>7413</v>
      </c>
      <c r="JWP1" t="s">
        <v>7414</v>
      </c>
      <c r="JWQ1" t="s">
        <v>7415</v>
      </c>
      <c r="JWR1" t="s">
        <v>7416</v>
      </c>
      <c r="JWS1" t="s">
        <v>7417</v>
      </c>
      <c r="JWT1" t="s">
        <v>7418</v>
      </c>
      <c r="JWU1" t="s">
        <v>7419</v>
      </c>
      <c r="JWV1" t="s">
        <v>7420</v>
      </c>
      <c r="JWW1" t="s">
        <v>7421</v>
      </c>
      <c r="JWX1" t="s">
        <v>7422</v>
      </c>
      <c r="JWY1" t="s">
        <v>7423</v>
      </c>
      <c r="JWZ1" t="s">
        <v>7424</v>
      </c>
      <c r="JXA1" t="s">
        <v>7425</v>
      </c>
      <c r="JXB1" t="s">
        <v>7426</v>
      </c>
      <c r="JXC1" t="s">
        <v>7427</v>
      </c>
      <c r="JXD1" t="s">
        <v>7428</v>
      </c>
      <c r="JXE1" t="s">
        <v>7429</v>
      </c>
      <c r="JXF1" t="s">
        <v>7430</v>
      </c>
      <c r="JXG1" t="s">
        <v>7431</v>
      </c>
      <c r="JXH1" t="s">
        <v>7432</v>
      </c>
      <c r="JXI1" t="s">
        <v>7433</v>
      </c>
      <c r="JXJ1" t="s">
        <v>7434</v>
      </c>
      <c r="JXK1" t="s">
        <v>7435</v>
      </c>
      <c r="JXL1" t="s">
        <v>7436</v>
      </c>
      <c r="JXM1" t="s">
        <v>7437</v>
      </c>
      <c r="JXN1" t="s">
        <v>7438</v>
      </c>
      <c r="JXO1" t="s">
        <v>7439</v>
      </c>
      <c r="JXP1" t="s">
        <v>7440</v>
      </c>
      <c r="JXQ1" t="s">
        <v>7441</v>
      </c>
      <c r="JXR1" t="s">
        <v>7442</v>
      </c>
      <c r="JXS1" t="s">
        <v>7443</v>
      </c>
      <c r="JXT1" t="s">
        <v>7444</v>
      </c>
      <c r="JXU1" t="s">
        <v>7445</v>
      </c>
      <c r="JXV1" t="s">
        <v>7446</v>
      </c>
      <c r="JXW1" t="s">
        <v>7447</v>
      </c>
      <c r="JXX1" t="s">
        <v>7448</v>
      </c>
      <c r="JXY1" t="s">
        <v>7449</v>
      </c>
      <c r="JXZ1" t="s">
        <v>7450</v>
      </c>
      <c r="JYA1" t="s">
        <v>7451</v>
      </c>
      <c r="JYB1" t="s">
        <v>7452</v>
      </c>
      <c r="JYC1" t="s">
        <v>7453</v>
      </c>
      <c r="JYD1" t="s">
        <v>7454</v>
      </c>
      <c r="JYE1" t="s">
        <v>7455</v>
      </c>
      <c r="JYF1" t="s">
        <v>7456</v>
      </c>
      <c r="JYG1" t="s">
        <v>7457</v>
      </c>
      <c r="JYH1" t="s">
        <v>7458</v>
      </c>
      <c r="JYI1" t="s">
        <v>7459</v>
      </c>
      <c r="JYJ1" t="s">
        <v>7460</v>
      </c>
      <c r="JYK1" t="s">
        <v>7461</v>
      </c>
      <c r="JYL1" t="s">
        <v>7462</v>
      </c>
      <c r="JYM1" t="s">
        <v>7463</v>
      </c>
      <c r="JYN1" t="s">
        <v>7464</v>
      </c>
      <c r="JYO1" t="s">
        <v>7465</v>
      </c>
      <c r="JYP1" t="s">
        <v>7466</v>
      </c>
      <c r="JYQ1" t="s">
        <v>7467</v>
      </c>
      <c r="JYR1" t="s">
        <v>7468</v>
      </c>
      <c r="JYS1" t="s">
        <v>7469</v>
      </c>
      <c r="JYT1" t="s">
        <v>7470</v>
      </c>
      <c r="JYU1" t="s">
        <v>7471</v>
      </c>
      <c r="JYV1" t="s">
        <v>7472</v>
      </c>
      <c r="JYW1" t="s">
        <v>7473</v>
      </c>
      <c r="JYX1" t="s">
        <v>7474</v>
      </c>
      <c r="JYY1" t="s">
        <v>7475</v>
      </c>
      <c r="JYZ1" t="s">
        <v>7476</v>
      </c>
      <c r="JZA1" t="s">
        <v>7477</v>
      </c>
      <c r="JZB1" t="s">
        <v>7478</v>
      </c>
      <c r="JZC1" t="s">
        <v>7479</v>
      </c>
      <c r="JZD1" t="s">
        <v>7480</v>
      </c>
      <c r="JZE1" t="s">
        <v>7481</v>
      </c>
      <c r="JZF1" t="s">
        <v>7482</v>
      </c>
      <c r="JZG1" t="s">
        <v>7483</v>
      </c>
      <c r="JZH1" t="s">
        <v>7484</v>
      </c>
      <c r="JZI1" t="s">
        <v>7485</v>
      </c>
      <c r="JZJ1" t="s">
        <v>7486</v>
      </c>
      <c r="JZK1" t="s">
        <v>7487</v>
      </c>
      <c r="JZL1" t="s">
        <v>7488</v>
      </c>
      <c r="JZM1" t="s">
        <v>7489</v>
      </c>
      <c r="JZN1" t="s">
        <v>7490</v>
      </c>
      <c r="JZO1" t="s">
        <v>7491</v>
      </c>
      <c r="JZP1" t="s">
        <v>7492</v>
      </c>
      <c r="JZQ1" t="s">
        <v>7493</v>
      </c>
      <c r="JZR1" t="s">
        <v>7494</v>
      </c>
      <c r="JZS1" t="s">
        <v>7495</v>
      </c>
      <c r="JZT1" t="s">
        <v>7496</v>
      </c>
      <c r="JZU1" t="s">
        <v>7497</v>
      </c>
      <c r="JZV1" t="s">
        <v>7498</v>
      </c>
      <c r="JZW1" t="s">
        <v>7499</v>
      </c>
      <c r="JZX1" t="s">
        <v>7500</v>
      </c>
      <c r="JZY1" t="s">
        <v>7501</v>
      </c>
      <c r="JZZ1" t="s">
        <v>7502</v>
      </c>
      <c r="KAA1" t="s">
        <v>7503</v>
      </c>
      <c r="KAB1" t="s">
        <v>7504</v>
      </c>
      <c r="KAC1" t="s">
        <v>7505</v>
      </c>
      <c r="KAD1" t="s">
        <v>7506</v>
      </c>
      <c r="KAE1" t="s">
        <v>7507</v>
      </c>
      <c r="KAF1" t="s">
        <v>7508</v>
      </c>
      <c r="KAG1" t="s">
        <v>7509</v>
      </c>
      <c r="KAH1" t="s">
        <v>7510</v>
      </c>
      <c r="KAI1" t="s">
        <v>7511</v>
      </c>
      <c r="KAJ1" t="s">
        <v>7512</v>
      </c>
      <c r="KAK1" t="s">
        <v>7513</v>
      </c>
      <c r="KAL1" t="s">
        <v>7514</v>
      </c>
      <c r="KAM1" t="s">
        <v>7515</v>
      </c>
      <c r="KAN1" t="s">
        <v>7516</v>
      </c>
      <c r="KAO1" t="s">
        <v>7517</v>
      </c>
      <c r="KAP1" t="s">
        <v>7518</v>
      </c>
      <c r="KAQ1" t="s">
        <v>7519</v>
      </c>
      <c r="KAR1" t="s">
        <v>7520</v>
      </c>
      <c r="KAS1" t="s">
        <v>7521</v>
      </c>
      <c r="KAT1" t="s">
        <v>7522</v>
      </c>
      <c r="KAU1" t="s">
        <v>7523</v>
      </c>
      <c r="KAV1" t="s">
        <v>7524</v>
      </c>
      <c r="KAW1" t="s">
        <v>7525</v>
      </c>
      <c r="KAX1" t="s">
        <v>7526</v>
      </c>
      <c r="KAY1" t="s">
        <v>7527</v>
      </c>
      <c r="KAZ1" t="s">
        <v>7528</v>
      </c>
      <c r="KBA1" t="s">
        <v>7529</v>
      </c>
      <c r="KBB1" t="s">
        <v>7530</v>
      </c>
      <c r="KBC1" t="s">
        <v>7531</v>
      </c>
      <c r="KBD1" t="s">
        <v>7532</v>
      </c>
      <c r="KBE1" t="s">
        <v>7533</v>
      </c>
      <c r="KBF1" t="s">
        <v>7534</v>
      </c>
      <c r="KBG1" t="s">
        <v>7535</v>
      </c>
      <c r="KBH1" t="s">
        <v>7536</v>
      </c>
      <c r="KBI1" t="s">
        <v>7537</v>
      </c>
      <c r="KBJ1" t="s">
        <v>7538</v>
      </c>
      <c r="KBK1" t="s">
        <v>7539</v>
      </c>
      <c r="KBL1" t="s">
        <v>7540</v>
      </c>
      <c r="KBM1" t="s">
        <v>7541</v>
      </c>
      <c r="KBN1" t="s">
        <v>7542</v>
      </c>
      <c r="KBO1" t="s">
        <v>7543</v>
      </c>
      <c r="KBP1" t="s">
        <v>7544</v>
      </c>
      <c r="KBQ1" t="s">
        <v>7545</v>
      </c>
      <c r="KBR1" t="s">
        <v>7546</v>
      </c>
      <c r="KBS1" t="s">
        <v>7547</v>
      </c>
      <c r="KBT1" t="s">
        <v>7548</v>
      </c>
      <c r="KBU1" t="s">
        <v>7549</v>
      </c>
      <c r="KBV1" t="s">
        <v>7550</v>
      </c>
      <c r="KBW1" t="s">
        <v>7551</v>
      </c>
      <c r="KBX1" t="s">
        <v>7552</v>
      </c>
      <c r="KBY1" t="s">
        <v>7553</v>
      </c>
      <c r="KBZ1" t="s">
        <v>7554</v>
      </c>
      <c r="KCA1" t="s">
        <v>7555</v>
      </c>
      <c r="KCB1" t="s">
        <v>7556</v>
      </c>
      <c r="KCC1" t="s">
        <v>7557</v>
      </c>
      <c r="KCD1" t="s">
        <v>7558</v>
      </c>
      <c r="KCE1" t="s">
        <v>7559</v>
      </c>
      <c r="KCF1" t="s">
        <v>7560</v>
      </c>
      <c r="KCG1" t="s">
        <v>7561</v>
      </c>
      <c r="KCH1" t="s">
        <v>7562</v>
      </c>
      <c r="KCI1" t="s">
        <v>7563</v>
      </c>
      <c r="KCJ1" t="s">
        <v>7564</v>
      </c>
      <c r="KCK1" t="s">
        <v>7565</v>
      </c>
      <c r="KCL1" t="s">
        <v>7566</v>
      </c>
      <c r="KCM1" t="s">
        <v>7567</v>
      </c>
      <c r="KCN1" t="s">
        <v>7568</v>
      </c>
      <c r="KCO1" t="s">
        <v>7569</v>
      </c>
      <c r="KCP1" t="s">
        <v>7570</v>
      </c>
      <c r="KCQ1" t="s">
        <v>7571</v>
      </c>
      <c r="KCR1" t="s">
        <v>7572</v>
      </c>
      <c r="KCS1" t="s">
        <v>7573</v>
      </c>
      <c r="KCT1" t="s">
        <v>7574</v>
      </c>
      <c r="KCU1" t="s">
        <v>7575</v>
      </c>
      <c r="KCV1" t="s">
        <v>7576</v>
      </c>
      <c r="KCW1" t="s">
        <v>7577</v>
      </c>
      <c r="KCX1" t="s">
        <v>7578</v>
      </c>
      <c r="KCY1" t="s">
        <v>7579</v>
      </c>
      <c r="KCZ1" t="s">
        <v>7580</v>
      </c>
      <c r="KDA1" t="s">
        <v>7581</v>
      </c>
      <c r="KDB1" t="s">
        <v>7582</v>
      </c>
      <c r="KDC1" t="s">
        <v>7583</v>
      </c>
      <c r="KDD1" t="s">
        <v>7584</v>
      </c>
      <c r="KDE1" t="s">
        <v>7585</v>
      </c>
      <c r="KDF1" t="s">
        <v>7586</v>
      </c>
      <c r="KDG1" t="s">
        <v>7587</v>
      </c>
      <c r="KDH1" t="s">
        <v>7588</v>
      </c>
      <c r="KDI1" t="s">
        <v>7589</v>
      </c>
      <c r="KDJ1" t="s">
        <v>7590</v>
      </c>
      <c r="KDK1" t="s">
        <v>7591</v>
      </c>
      <c r="KDL1" t="s">
        <v>7592</v>
      </c>
      <c r="KDM1" t="s">
        <v>7593</v>
      </c>
      <c r="KDN1" t="s">
        <v>7594</v>
      </c>
      <c r="KDO1" t="s">
        <v>7595</v>
      </c>
      <c r="KDP1" t="s">
        <v>7596</v>
      </c>
      <c r="KDQ1" t="s">
        <v>7597</v>
      </c>
      <c r="KDR1" t="s">
        <v>7598</v>
      </c>
      <c r="KDS1" t="s">
        <v>7599</v>
      </c>
      <c r="KDT1" t="s">
        <v>7600</v>
      </c>
      <c r="KDU1" t="s">
        <v>7601</v>
      </c>
      <c r="KDV1" t="s">
        <v>7602</v>
      </c>
      <c r="KDW1" t="s">
        <v>7603</v>
      </c>
      <c r="KDX1" t="s">
        <v>7604</v>
      </c>
      <c r="KDY1" t="s">
        <v>7605</v>
      </c>
      <c r="KDZ1" t="s">
        <v>7606</v>
      </c>
      <c r="KEA1" t="s">
        <v>7607</v>
      </c>
      <c r="KEB1" t="s">
        <v>7608</v>
      </c>
      <c r="KEC1" t="s">
        <v>7609</v>
      </c>
      <c r="KED1" t="s">
        <v>7610</v>
      </c>
      <c r="KEE1" t="s">
        <v>7611</v>
      </c>
      <c r="KEF1" t="s">
        <v>7612</v>
      </c>
      <c r="KEG1" t="s">
        <v>7613</v>
      </c>
      <c r="KEH1" t="s">
        <v>7614</v>
      </c>
      <c r="KEI1" t="s">
        <v>7615</v>
      </c>
      <c r="KEJ1" t="s">
        <v>7616</v>
      </c>
      <c r="KEK1" t="s">
        <v>7617</v>
      </c>
      <c r="KEL1" t="s">
        <v>7618</v>
      </c>
      <c r="KEM1" t="s">
        <v>7619</v>
      </c>
      <c r="KEN1" t="s">
        <v>7620</v>
      </c>
      <c r="KEO1" t="s">
        <v>7621</v>
      </c>
      <c r="KEP1" t="s">
        <v>7622</v>
      </c>
      <c r="KEQ1" t="s">
        <v>7623</v>
      </c>
      <c r="KER1" t="s">
        <v>7624</v>
      </c>
      <c r="KES1" t="s">
        <v>7625</v>
      </c>
      <c r="KET1" t="s">
        <v>7626</v>
      </c>
      <c r="KEU1" t="s">
        <v>7627</v>
      </c>
      <c r="KEV1" t="s">
        <v>7628</v>
      </c>
      <c r="KEW1" t="s">
        <v>7629</v>
      </c>
      <c r="KEX1" t="s">
        <v>7630</v>
      </c>
      <c r="KEY1" t="s">
        <v>7631</v>
      </c>
      <c r="KEZ1" t="s">
        <v>7632</v>
      </c>
      <c r="KFA1" t="s">
        <v>7633</v>
      </c>
      <c r="KFB1" t="s">
        <v>7634</v>
      </c>
      <c r="KFC1" t="s">
        <v>7635</v>
      </c>
      <c r="KFD1" t="s">
        <v>7636</v>
      </c>
      <c r="KFE1" t="s">
        <v>7637</v>
      </c>
      <c r="KFF1" t="s">
        <v>7638</v>
      </c>
      <c r="KFG1" t="s">
        <v>7639</v>
      </c>
      <c r="KFH1" t="s">
        <v>7640</v>
      </c>
      <c r="KFI1" t="s">
        <v>7641</v>
      </c>
      <c r="KFJ1" t="s">
        <v>7642</v>
      </c>
      <c r="KFK1" t="s">
        <v>7643</v>
      </c>
      <c r="KFL1" t="s">
        <v>7644</v>
      </c>
      <c r="KFM1" t="s">
        <v>7645</v>
      </c>
      <c r="KFN1" t="s">
        <v>7646</v>
      </c>
      <c r="KFO1" t="s">
        <v>7647</v>
      </c>
      <c r="KFP1" t="s">
        <v>7648</v>
      </c>
      <c r="KFQ1" t="s">
        <v>7649</v>
      </c>
      <c r="KFR1" t="s">
        <v>7650</v>
      </c>
      <c r="KFS1" t="s">
        <v>7651</v>
      </c>
      <c r="KFT1" t="s">
        <v>7652</v>
      </c>
      <c r="KFU1" t="s">
        <v>7653</v>
      </c>
      <c r="KFV1" t="s">
        <v>7654</v>
      </c>
      <c r="KFW1" t="s">
        <v>7655</v>
      </c>
      <c r="KFX1" t="s">
        <v>7656</v>
      </c>
      <c r="KFY1" t="s">
        <v>7657</v>
      </c>
      <c r="KFZ1" t="s">
        <v>7658</v>
      </c>
      <c r="KGA1" t="s">
        <v>7659</v>
      </c>
      <c r="KGB1" t="s">
        <v>7660</v>
      </c>
      <c r="KGC1" t="s">
        <v>7661</v>
      </c>
      <c r="KGD1" t="s">
        <v>7662</v>
      </c>
      <c r="KGE1" t="s">
        <v>7663</v>
      </c>
      <c r="KGF1" t="s">
        <v>7664</v>
      </c>
      <c r="KGG1" t="s">
        <v>7665</v>
      </c>
      <c r="KGH1" t="s">
        <v>7666</v>
      </c>
      <c r="KGI1" t="s">
        <v>7667</v>
      </c>
      <c r="KGJ1" t="s">
        <v>7668</v>
      </c>
      <c r="KGK1" t="s">
        <v>7669</v>
      </c>
      <c r="KGL1" t="s">
        <v>7670</v>
      </c>
      <c r="KGM1" t="s">
        <v>7671</v>
      </c>
      <c r="KGN1" t="s">
        <v>7672</v>
      </c>
      <c r="KGO1" t="s">
        <v>7673</v>
      </c>
      <c r="KGP1" t="s">
        <v>7674</v>
      </c>
      <c r="KGQ1" t="s">
        <v>7675</v>
      </c>
      <c r="KGR1" t="s">
        <v>7676</v>
      </c>
      <c r="KGS1" t="s">
        <v>7677</v>
      </c>
      <c r="KGT1" t="s">
        <v>7678</v>
      </c>
      <c r="KGU1" t="s">
        <v>7679</v>
      </c>
      <c r="KGV1" t="s">
        <v>7680</v>
      </c>
      <c r="KGW1" t="s">
        <v>7681</v>
      </c>
      <c r="KGX1" t="s">
        <v>7682</v>
      </c>
      <c r="KGY1" t="s">
        <v>7683</v>
      </c>
      <c r="KGZ1" t="s">
        <v>7684</v>
      </c>
      <c r="KHA1" t="s">
        <v>7685</v>
      </c>
      <c r="KHB1" t="s">
        <v>7686</v>
      </c>
      <c r="KHC1" t="s">
        <v>7687</v>
      </c>
      <c r="KHD1" t="s">
        <v>7688</v>
      </c>
      <c r="KHE1" t="s">
        <v>7689</v>
      </c>
      <c r="KHF1" t="s">
        <v>7690</v>
      </c>
      <c r="KHG1" t="s">
        <v>7691</v>
      </c>
      <c r="KHH1" t="s">
        <v>7692</v>
      </c>
      <c r="KHI1" t="s">
        <v>7693</v>
      </c>
      <c r="KHJ1" t="s">
        <v>7694</v>
      </c>
      <c r="KHK1" t="s">
        <v>7695</v>
      </c>
      <c r="KHL1" t="s">
        <v>7696</v>
      </c>
      <c r="KHM1" t="s">
        <v>7697</v>
      </c>
      <c r="KHN1" t="s">
        <v>7698</v>
      </c>
      <c r="KHO1" t="s">
        <v>7699</v>
      </c>
      <c r="KHP1" t="s">
        <v>7700</v>
      </c>
      <c r="KHQ1" t="s">
        <v>7701</v>
      </c>
      <c r="KHR1" t="s">
        <v>7702</v>
      </c>
      <c r="KHS1" t="s">
        <v>7703</v>
      </c>
      <c r="KHT1" t="s">
        <v>7704</v>
      </c>
      <c r="KHU1" t="s">
        <v>7705</v>
      </c>
      <c r="KHV1" t="s">
        <v>7706</v>
      </c>
      <c r="KHW1" t="s">
        <v>7707</v>
      </c>
      <c r="KHX1" t="s">
        <v>7708</v>
      </c>
      <c r="KHY1" t="s">
        <v>7709</v>
      </c>
      <c r="KHZ1" t="s">
        <v>7710</v>
      </c>
      <c r="KIA1" t="s">
        <v>7711</v>
      </c>
      <c r="KIB1" t="s">
        <v>7712</v>
      </c>
      <c r="KIC1" t="s">
        <v>7713</v>
      </c>
      <c r="KID1" t="s">
        <v>7714</v>
      </c>
      <c r="KIE1" t="s">
        <v>7715</v>
      </c>
      <c r="KIF1" t="s">
        <v>7716</v>
      </c>
      <c r="KIG1" t="s">
        <v>7717</v>
      </c>
      <c r="KIH1" t="s">
        <v>7718</v>
      </c>
      <c r="KII1" t="s">
        <v>7719</v>
      </c>
      <c r="KIJ1" t="s">
        <v>7720</v>
      </c>
      <c r="KIK1" t="s">
        <v>7721</v>
      </c>
      <c r="KIL1" t="s">
        <v>7722</v>
      </c>
      <c r="KIM1" t="s">
        <v>7723</v>
      </c>
      <c r="KIN1" t="s">
        <v>7724</v>
      </c>
      <c r="KIO1" t="s">
        <v>7725</v>
      </c>
      <c r="KIP1" t="s">
        <v>7726</v>
      </c>
      <c r="KIQ1" t="s">
        <v>7727</v>
      </c>
      <c r="KIR1" t="s">
        <v>7728</v>
      </c>
      <c r="KIS1" t="s">
        <v>7729</v>
      </c>
      <c r="KIT1" t="s">
        <v>7730</v>
      </c>
      <c r="KIU1" t="s">
        <v>7731</v>
      </c>
      <c r="KIV1" t="s">
        <v>7732</v>
      </c>
      <c r="KIW1" t="s">
        <v>7733</v>
      </c>
      <c r="KIX1" t="s">
        <v>7734</v>
      </c>
      <c r="KIY1" t="s">
        <v>7735</v>
      </c>
      <c r="KIZ1" t="s">
        <v>7736</v>
      </c>
      <c r="KJA1" t="s">
        <v>7737</v>
      </c>
      <c r="KJB1" t="s">
        <v>7738</v>
      </c>
      <c r="KJC1" t="s">
        <v>7739</v>
      </c>
      <c r="KJD1" t="s">
        <v>7740</v>
      </c>
      <c r="KJE1" t="s">
        <v>7741</v>
      </c>
      <c r="KJF1" t="s">
        <v>7742</v>
      </c>
      <c r="KJG1" t="s">
        <v>7743</v>
      </c>
      <c r="KJH1" t="s">
        <v>7744</v>
      </c>
      <c r="KJI1" t="s">
        <v>7745</v>
      </c>
      <c r="KJJ1" t="s">
        <v>7746</v>
      </c>
      <c r="KJK1" t="s">
        <v>7747</v>
      </c>
      <c r="KJL1" t="s">
        <v>7748</v>
      </c>
      <c r="KJM1" t="s">
        <v>7749</v>
      </c>
      <c r="KJN1" t="s">
        <v>7750</v>
      </c>
      <c r="KJO1" t="s">
        <v>7751</v>
      </c>
      <c r="KJP1" t="s">
        <v>7752</v>
      </c>
      <c r="KJQ1" t="s">
        <v>7753</v>
      </c>
      <c r="KJR1" t="s">
        <v>7754</v>
      </c>
      <c r="KJS1" t="s">
        <v>7755</v>
      </c>
      <c r="KJT1" t="s">
        <v>7756</v>
      </c>
      <c r="KJU1" t="s">
        <v>7757</v>
      </c>
      <c r="KJV1" t="s">
        <v>7758</v>
      </c>
      <c r="KJW1" t="s">
        <v>7759</v>
      </c>
      <c r="KJX1" t="s">
        <v>7760</v>
      </c>
      <c r="KJY1" t="s">
        <v>7761</v>
      </c>
      <c r="KJZ1" t="s">
        <v>7762</v>
      </c>
      <c r="KKA1" t="s">
        <v>7763</v>
      </c>
      <c r="KKB1" t="s">
        <v>7764</v>
      </c>
      <c r="KKC1" t="s">
        <v>7765</v>
      </c>
      <c r="KKD1" t="s">
        <v>7766</v>
      </c>
      <c r="KKE1" t="s">
        <v>7767</v>
      </c>
      <c r="KKF1" t="s">
        <v>7768</v>
      </c>
      <c r="KKG1" t="s">
        <v>7769</v>
      </c>
      <c r="KKH1" t="s">
        <v>7770</v>
      </c>
      <c r="KKI1" t="s">
        <v>7771</v>
      </c>
      <c r="KKJ1" t="s">
        <v>7772</v>
      </c>
      <c r="KKK1" t="s">
        <v>7773</v>
      </c>
      <c r="KKL1" t="s">
        <v>7774</v>
      </c>
      <c r="KKM1" t="s">
        <v>7775</v>
      </c>
      <c r="KKN1" t="s">
        <v>7776</v>
      </c>
      <c r="KKO1" t="s">
        <v>7777</v>
      </c>
      <c r="KKP1" t="s">
        <v>7778</v>
      </c>
      <c r="KKQ1" t="s">
        <v>7779</v>
      </c>
      <c r="KKR1" t="s">
        <v>7780</v>
      </c>
      <c r="KKS1" t="s">
        <v>7781</v>
      </c>
      <c r="KKT1" t="s">
        <v>7782</v>
      </c>
      <c r="KKU1" t="s">
        <v>7783</v>
      </c>
      <c r="KKV1" t="s">
        <v>7784</v>
      </c>
      <c r="KKW1" t="s">
        <v>7785</v>
      </c>
      <c r="KKX1" t="s">
        <v>7786</v>
      </c>
      <c r="KKY1" t="s">
        <v>7787</v>
      </c>
      <c r="KKZ1" t="s">
        <v>7788</v>
      </c>
      <c r="KLA1" t="s">
        <v>7789</v>
      </c>
      <c r="KLB1" t="s">
        <v>7790</v>
      </c>
      <c r="KLC1" t="s">
        <v>7791</v>
      </c>
      <c r="KLD1" t="s">
        <v>7792</v>
      </c>
      <c r="KLE1" t="s">
        <v>7793</v>
      </c>
      <c r="KLF1" t="s">
        <v>7794</v>
      </c>
      <c r="KLG1" t="s">
        <v>7795</v>
      </c>
      <c r="KLH1" t="s">
        <v>7796</v>
      </c>
      <c r="KLI1" t="s">
        <v>7797</v>
      </c>
      <c r="KLJ1" t="s">
        <v>7798</v>
      </c>
      <c r="KLK1" t="s">
        <v>7799</v>
      </c>
      <c r="KLL1" t="s">
        <v>7800</v>
      </c>
      <c r="KLM1" t="s">
        <v>7801</v>
      </c>
      <c r="KLN1" t="s">
        <v>7802</v>
      </c>
      <c r="KLO1" t="s">
        <v>7803</v>
      </c>
      <c r="KLP1" t="s">
        <v>7804</v>
      </c>
      <c r="KLQ1" t="s">
        <v>7805</v>
      </c>
      <c r="KLR1" t="s">
        <v>7806</v>
      </c>
      <c r="KLS1" t="s">
        <v>7807</v>
      </c>
      <c r="KLT1" t="s">
        <v>7808</v>
      </c>
      <c r="KLU1" t="s">
        <v>7809</v>
      </c>
      <c r="KLV1" t="s">
        <v>7810</v>
      </c>
      <c r="KLW1" t="s">
        <v>7811</v>
      </c>
      <c r="KLX1" t="s">
        <v>7812</v>
      </c>
      <c r="KLY1" t="s">
        <v>7813</v>
      </c>
      <c r="KLZ1" t="s">
        <v>7814</v>
      </c>
      <c r="KMA1" t="s">
        <v>7815</v>
      </c>
      <c r="KMB1" t="s">
        <v>7816</v>
      </c>
      <c r="KMC1" t="s">
        <v>7817</v>
      </c>
      <c r="KMD1" t="s">
        <v>7818</v>
      </c>
      <c r="KME1" t="s">
        <v>7819</v>
      </c>
      <c r="KMF1" t="s">
        <v>7820</v>
      </c>
      <c r="KMG1" t="s">
        <v>7821</v>
      </c>
      <c r="KMH1" t="s">
        <v>7822</v>
      </c>
      <c r="KMI1" t="s">
        <v>7823</v>
      </c>
      <c r="KMJ1" t="s">
        <v>7824</v>
      </c>
      <c r="KMK1" t="s">
        <v>7825</v>
      </c>
      <c r="KML1" t="s">
        <v>7826</v>
      </c>
      <c r="KMM1" t="s">
        <v>7827</v>
      </c>
      <c r="KMN1" t="s">
        <v>7828</v>
      </c>
      <c r="KMO1" t="s">
        <v>7829</v>
      </c>
      <c r="KMP1" t="s">
        <v>7830</v>
      </c>
      <c r="KMQ1" t="s">
        <v>7831</v>
      </c>
      <c r="KMR1" t="s">
        <v>7832</v>
      </c>
      <c r="KMS1" t="s">
        <v>7833</v>
      </c>
      <c r="KMT1" t="s">
        <v>7834</v>
      </c>
      <c r="KMU1" t="s">
        <v>7835</v>
      </c>
      <c r="KMV1" t="s">
        <v>7836</v>
      </c>
      <c r="KMW1" t="s">
        <v>7837</v>
      </c>
      <c r="KMX1" t="s">
        <v>7838</v>
      </c>
      <c r="KMY1" t="s">
        <v>7839</v>
      </c>
      <c r="KMZ1" t="s">
        <v>7840</v>
      </c>
      <c r="KNA1" t="s">
        <v>7841</v>
      </c>
      <c r="KNB1" t="s">
        <v>7842</v>
      </c>
      <c r="KNC1" t="s">
        <v>7843</v>
      </c>
      <c r="KND1" t="s">
        <v>7844</v>
      </c>
      <c r="KNE1" t="s">
        <v>7845</v>
      </c>
      <c r="KNF1" t="s">
        <v>7846</v>
      </c>
      <c r="KNG1" t="s">
        <v>7847</v>
      </c>
      <c r="KNH1" t="s">
        <v>7848</v>
      </c>
      <c r="KNI1" t="s">
        <v>7849</v>
      </c>
      <c r="KNJ1" t="s">
        <v>7850</v>
      </c>
      <c r="KNK1" t="s">
        <v>7851</v>
      </c>
      <c r="KNL1" t="s">
        <v>7852</v>
      </c>
      <c r="KNM1" t="s">
        <v>7853</v>
      </c>
      <c r="KNN1" t="s">
        <v>7854</v>
      </c>
      <c r="KNO1" t="s">
        <v>7855</v>
      </c>
      <c r="KNP1" t="s">
        <v>7856</v>
      </c>
      <c r="KNQ1" t="s">
        <v>7857</v>
      </c>
      <c r="KNR1" t="s">
        <v>7858</v>
      </c>
      <c r="KNS1" t="s">
        <v>7859</v>
      </c>
      <c r="KNT1" t="s">
        <v>7860</v>
      </c>
      <c r="KNU1" t="s">
        <v>7861</v>
      </c>
      <c r="KNV1" t="s">
        <v>7862</v>
      </c>
      <c r="KNW1" t="s">
        <v>7863</v>
      </c>
      <c r="KNX1" t="s">
        <v>7864</v>
      </c>
      <c r="KNY1" t="s">
        <v>7865</v>
      </c>
      <c r="KNZ1" t="s">
        <v>7866</v>
      </c>
      <c r="KOA1" t="s">
        <v>7867</v>
      </c>
      <c r="KOB1" t="s">
        <v>7868</v>
      </c>
      <c r="KOC1" t="s">
        <v>7869</v>
      </c>
      <c r="KOD1" t="s">
        <v>7870</v>
      </c>
      <c r="KOE1" t="s">
        <v>7871</v>
      </c>
      <c r="KOF1" t="s">
        <v>7872</v>
      </c>
      <c r="KOG1" t="s">
        <v>7873</v>
      </c>
      <c r="KOH1" t="s">
        <v>7874</v>
      </c>
      <c r="KOI1" t="s">
        <v>7875</v>
      </c>
      <c r="KOJ1" t="s">
        <v>7876</v>
      </c>
      <c r="KOK1" t="s">
        <v>7877</v>
      </c>
      <c r="KOL1" t="s">
        <v>7878</v>
      </c>
      <c r="KOM1" t="s">
        <v>7879</v>
      </c>
      <c r="KON1" t="s">
        <v>7880</v>
      </c>
      <c r="KOO1" t="s">
        <v>7881</v>
      </c>
      <c r="KOP1" t="s">
        <v>7882</v>
      </c>
      <c r="KOQ1" t="s">
        <v>7883</v>
      </c>
      <c r="KOR1" t="s">
        <v>7884</v>
      </c>
      <c r="KOS1" t="s">
        <v>7885</v>
      </c>
      <c r="KOT1" t="s">
        <v>7886</v>
      </c>
      <c r="KOU1" t="s">
        <v>7887</v>
      </c>
      <c r="KOV1" t="s">
        <v>7888</v>
      </c>
      <c r="KOW1" t="s">
        <v>7889</v>
      </c>
      <c r="KOX1" t="s">
        <v>7890</v>
      </c>
      <c r="KOY1" t="s">
        <v>7891</v>
      </c>
      <c r="KOZ1" t="s">
        <v>7892</v>
      </c>
      <c r="KPA1" t="s">
        <v>7893</v>
      </c>
      <c r="KPB1" t="s">
        <v>7894</v>
      </c>
      <c r="KPC1" t="s">
        <v>7895</v>
      </c>
      <c r="KPD1" t="s">
        <v>7896</v>
      </c>
      <c r="KPE1" t="s">
        <v>7897</v>
      </c>
      <c r="KPF1" t="s">
        <v>7898</v>
      </c>
      <c r="KPG1" t="s">
        <v>7899</v>
      </c>
      <c r="KPH1" t="s">
        <v>7900</v>
      </c>
      <c r="KPI1" t="s">
        <v>7901</v>
      </c>
      <c r="KPJ1" t="s">
        <v>7902</v>
      </c>
      <c r="KPK1" t="s">
        <v>7903</v>
      </c>
      <c r="KPL1" t="s">
        <v>7904</v>
      </c>
      <c r="KPM1" t="s">
        <v>7905</v>
      </c>
      <c r="KPN1" t="s">
        <v>7906</v>
      </c>
      <c r="KPO1" t="s">
        <v>7907</v>
      </c>
      <c r="KPP1" t="s">
        <v>7908</v>
      </c>
      <c r="KPQ1" t="s">
        <v>7909</v>
      </c>
      <c r="KPR1" t="s">
        <v>7910</v>
      </c>
      <c r="KPS1" t="s">
        <v>7911</v>
      </c>
      <c r="KPT1" t="s">
        <v>7912</v>
      </c>
      <c r="KPU1" t="s">
        <v>7913</v>
      </c>
      <c r="KPV1" t="s">
        <v>7914</v>
      </c>
      <c r="KPW1" t="s">
        <v>7915</v>
      </c>
      <c r="KPX1" t="s">
        <v>7916</v>
      </c>
      <c r="KPY1" t="s">
        <v>7917</v>
      </c>
      <c r="KPZ1" t="s">
        <v>7918</v>
      </c>
      <c r="KQA1" t="s">
        <v>7919</v>
      </c>
      <c r="KQB1" t="s">
        <v>7920</v>
      </c>
      <c r="KQC1" t="s">
        <v>7921</v>
      </c>
      <c r="KQD1" t="s">
        <v>7922</v>
      </c>
      <c r="KQE1" t="s">
        <v>7923</v>
      </c>
      <c r="KQF1" t="s">
        <v>7924</v>
      </c>
      <c r="KQG1" t="s">
        <v>7925</v>
      </c>
      <c r="KQH1" t="s">
        <v>7926</v>
      </c>
      <c r="KQI1" t="s">
        <v>7927</v>
      </c>
      <c r="KQJ1" t="s">
        <v>7928</v>
      </c>
      <c r="KQK1" t="s">
        <v>7929</v>
      </c>
      <c r="KQL1" t="s">
        <v>7930</v>
      </c>
      <c r="KQM1" t="s">
        <v>7931</v>
      </c>
      <c r="KQN1" t="s">
        <v>7932</v>
      </c>
      <c r="KQO1" t="s">
        <v>7933</v>
      </c>
      <c r="KQP1" t="s">
        <v>7934</v>
      </c>
      <c r="KQQ1" t="s">
        <v>7935</v>
      </c>
      <c r="KQR1" t="s">
        <v>7936</v>
      </c>
      <c r="KQS1" t="s">
        <v>7937</v>
      </c>
      <c r="KQT1" t="s">
        <v>7938</v>
      </c>
      <c r="KQU1" t="s">
        <v>7939</v>
      </c>
      <c r="KQV1" t="s">
        <v>7940</v>
      </c>
      <c r="KQW1" t="s">
        <v>7941</v>
      </c>
      <c r="KQX1" t="s">
        <v>7942</v>
      </c>
      <c r="KQY1" t="s">
        <v>7943</v>
      </c>
      <c r="KQZ1" t="s">
        <v>7944</v>
      </c>
      <c r="KRA1" t="s">
        <v>7945</v>
      </c>
      <c r="KRB1" t="s">
        <v>7946</v>
      </c>
      <c r="KRC1" t="s">
        <v>7947</v>
      </c>
      <c r="KRD1" t="s">
        <v>7948</v>
      </c>
      <c r="KRE1" t="s">
        <v>7949</v>
      </c>
      <c r="KRF1" t="s">
        <v>7950</v>
      </c>
      <c r="KRG1" t="s">
        <v>7951</v>
      </c>
      <c r="KRH1" t="s">
        <v>7952</v>
      </c>
      <c r="KRI1" t="s">
        <v>7953</v>
      </c>
      <c r="KRJ1" t="s">
        <v>7954</v>
      </c>
      <c r="KRK1" t="s">
        <v>7955</v>
      </c>
      <c r="KRL1" t="s">
        <v>7956</v>
      </c>
      <c r="KRM1" t="s">
        <v>7957</v>
      </c>
      <c r="KRN1" t="s">
        <v>7958</v>
      </c>
      <c r="KRO1" t="s">
        <v>7959</v>
      </c>
      <c r="KRP1" t="s">
        <v>7960</v>
      </c>
      <c r="KRQ1" t="s">
        <v>7961</v>
      </c>
      <c r="KRR1" t="s">
        <v>7962</v>
      </c>
      <c r="KRS1" t="s">
        <v>7963</v>
      </c>
      <c r="KRT1" t="s">
        <v>7964</v>
      </c>
      <c r="KRU1" t="s">
        <v>7965</v>
      </c>
      <c r="KRV1" t="s">
        <v>7966</v>
      </c>
      <c r="KRW1" t="s">
        <v>7967</v>
      </c>
      <c r="KRX1" t="s">
        <v>7968</v>
      </c>
      <c r="KRY1" t="s">
        <v>7969</v>
      </c>
      <c r="KRZ1" t="s">
        <v>7970</v>
      </c>
      <c r="KSA1" t="s">
        <v>7971</v>
      </c>
      <c r="KSB1" t="s">
        <v>7972</v>
      </c>
      <c r="KSC1" t="s">
        <v>7973</v>
      </c>
      <c r="KSD1" t="s">
        <v>7974</v>
      </c>
      <c r="KSE1" t="s">
        <v>7975</v>
      </c>
      <c r="KSF1" t="s">
        <v>7976</v>
      </c>
      <c r="KSG1" t="s">
        <v>7977</v>
      </c>
      <c r="KSH1" t="s">
        <v>7978</v>
      </c>
      <c r="KSI1" t="s">
        <v>7979</v>
      </c>
      <c r="KSJ1" t="s">
        <v>7980</v>
      </c>
      <c r="KSK1" t="s">
        <v>7981</v>
      </c>
      <c r="KSL1" t="s">
        <v>7982</v>
      </c>
      <c r="KSM1" t="s">
        <v>7983</v>
      </c>
      <c r="KSN1" t="s">
        <v>7984</v>
      </c>
      <c r="KSO1" t="s">
        <v>7985</v>
      </c>
      <c r="KSP1" t="s">
        <v>7986</v>
      </c>
      <c r="KSQ1" t="s">
        <v>7987</v>
      </c>
      <c r="KSR1" t="s">
        <v>7988</v>
      </c>
      <c r="KSS1" t="s">
        <v>7989</v>
      </c>
      <c r="KST1" t="s">
        <v>7990</v>
      </c>
      <c r="KSU1" t="s">
        <v>7991</v>
      </c>
      <c r="KSV1" t="s">
        <v>7992</v>
      </c>
      <c r="KSW1" t="s">
        <v>7993</v>
      </c>
      <c r="KSX1" t="s">
        <v>7994</v>
      </c>
      <c r="KSY1" t="s">
        <v>7995</v>
      </c>
      <c r="KSZ1" t="s">
        <v>7996</v>
      </c>
      <c r="KTA1" t="s">
        <v>7997</v>
      </c>
      <c r="KTB1" t="s">
        <v>7998</v>
      </c>
      <c r="KTC1" t="s">
        <v>7999</v>
      </c>
      <c r="KTD1" t="s">
        <v>8000</v>
      </c>
      <c r="KTE1" t="s">
        <v>8001</v>
      </c>
      <c r="KTF1" t="s">
        <v>8002</v>
      </c>
      <c r="KTG1" t="s">
        <v>8003</v>
      </c>
      <c r="KTH1" t="s">
        <v>8004</v>
      </c>
      <c r="KTI1" t="s">
        <v>8005</v>
      </c>
      <c r="KTJ1" t="s">
        <v>8006</v>
      </c>
      <c r="KTK1" t="s">
        <v>8007</v>
      </c>
      <c r="KTL1" t="s">
        <v>8008</v>
      </c>
      <c r="KTM1" t="s">
        <v>8009</v>
      </c>
      <c r="KTN1" t="s">
        <v>8010</v>
      </c>
      <c r="KTO1" t="s">
        <v>8011</v>
      </c>
      <c r="KTP1" t="s">
        <v>8012</v>
      </c>
      <c r="KTQ1" t="s">
        <v>8013</v>
      </c>
      <c r="KTR1" t="s">
        <v>8014</v>
      </c>
      <c r="KTS1" t="s">
        <v>8015</v>
      </c>
      <c r="KTT1" t="s">
        <v>8016</v>
      </c>
      <c r="KTU1" t="s">
        <v>8017</v>
      </c>
      <c r="KTV1" t="s">
        <v>8018</v>
      </c>
      <c r="KTW1" t="s">
        <v>8019</v>
      </c>
      <c r="KTX1" t="s">
        <v>8020</v>
      </c>
      <c r="KTY1" t="s">
        <v>8021</v>
      </c>
      <c r="KTZ1" t="s">
        <v>8022</v>
      </c>
      <c r="KUA1" t="s">
        <v>8023</v>
      </c>
      <c r="KUB1" t="s">
        <v>8024</v>
      </c>
      <c r="KUC1" t="s">
        <v>8025</v>
      </c>
      <c r="KUD1" t="s">
        <v>8026</v>
      </c>
      <c r="KUE1" t="s">
        <v>8027</v>
      </c>
      <c r="KUF1" t="s">
        <v>8028</v>
      </c>
      <c r="KUG1" t="s">
        <v>8029</v>
      </c>
      <c r="KUH1" t="s">
        <v>8030</v>
      </c>
      <c r="KUI1" t="s">
        <v>8031</v>
      </c>
      <c r="KUJ1" t="s">
        <v>8032</v>
      </c>
      <c r="KUK1" t="s">
        <v>8033</v>
      </c>
      <c r="KUL1" t="s">
        <v>8034</v>
      </c>
      <c r="KUM1" t="s">
        <v>8035</v>
      </c>
      <c r="KUN1" t="s">
        <v>8036</v>
      </c>
      <c r="KUO1" t="s">
        <v>8037</v>
      </c>
      <c r="KUP1" t="s">
        <v>8038</v>
      </c>
      <c r="KUQ1" t="s">
        <v>8039</v>
      </c>
      <c r="KUR1" t="s">
        <v>8040</v>
      </c>
      <c r="KUS1" t="s">
        <v>8041</v>
      </c>
      <c r="KUT1" t="s">
        <v>8042</v>
      </c>
      <c r="KUU1" t="s">
        <v>8043</v>
      </c>
      <c r="KUV1" t="s">
        <v>8044</v>
      </c>
      <c r="KUW1" t="s">
        <v>8045</v>
      </c>
      <c r="KUX1" t="s">
        <v>8046</v>
      </c>
      <c r="KUY1" t="s">
        <v>8047</v>
      </c>
      <c r="KUZ1" t="s">
        <v>8048</v>
      </c>
      <c r="KVA1" t="s">
        <v>8049</v>
      </c>
      <c r="KVB1" t="s">
        <v>8050</v>
      </c>
      <c r="KVC1" t="s">
        <v>8051</v>
      </c>
      <c r="KVD1" t="s">
        <v>8052</v>
      </c>
      <c r="KVE1" t="s">
        <v>8053</v>
      </c>
      <c r="KVF1" t="s">
        <v>8054</v>
      </c>
      <c r="KVG1" t="s">
        <v>8055</v>
      </c>
      <c r="KVH1" t="s">
        <v>8056</v>
      </c>
      <c r="KVI1" t="s">
        <v>8057</v>
      </c>
      <c r="KVJ1" t="s">
        <v>8058</v>
      </c>
      <c r="KVK1" t="s">
        <v>8059</v>
      </c>
      <c r="KVL1" t="s">
        <v>8060</v>
      </c>
      <c r="KVM1" t="s">
        <v>8061</v>
      </c>
      <c r="KVN1" t="s">
        <v>8062</v>
      </c>
      <c r="KVO1" t="s">
        <v>8063</v>
      </c>
      <c r="KVP1" t="s">
        <v>8064</v>
      </c>
      <c r="KVQ1" t="s">
        <v>8065</v>
      </c>
      <c r="KVR1" t="s">
        <v>8066</v>
      </c>
      <c r="KVS1" t="s">
        <v>8067</v>
      </c>
      <c r="KVT1" t="s">
        <v>8068</v>
      </c>
      <c r="KVU1" t="s">
        <v>8069</v>
      </c>
      <c r="KVV1" t="s">
        <v>8070</v>
      </c>
      <c r="KVW1" t="s">
        <v>8071</v>
      </c>
      <c r="KVX1" t="s">
        <v>8072</v>
      </c>
      <c r="KVY1" t="s">
        <v>8073</v>
      </c>
      <c r="KVZ1" t="s">
        <v>8074</v>
      </c>
      <c r="KWA1" t="s">
        <v>8075</v>
      </c>
      <c r="KWB1" t="s">
        <v>8076</v>
      </c>
      <c r="KWC1" t="s">
        <v>8077</v>
      </c>
      <c r="KWD1" t="s">
        <v>8078</v>
      </c>
      <c r="KWE1" t="s">
        <v>8079</v>
      </c>
      <c r="KWF1" t="s">
        <v>8080</v>
      </c>
      <c r="KWG1" t="s">
        <v>8081</v>
      </c>
      <c r="KWH1" t="s">
        <v>8082</v>
      </c>
      <c r="KWI1" t="s">
        <v>8083</v>
      </c>
      <c r="KWJ1" t="s">
        <v>8084</v>
      </c>
      <c r="KWK1" t="s">
        <v>8085</v>
      </c>
      <c r="KWL1" t="s">
        <v>8086</v>
      </c>
      <c r="KWM1" t="s">
        <v>8087</v>
      </c>
      <c r="KWN1" t="s">
        <v>8088</v>
      </c>
      <c r="KWO1" t="s">
        <v>8089</v>
      </c>
      <c r="KWP1" t="s">
        <v>8090</v>
      </c>
      <c r="KWQ1" t="s">
        <v>8091</v>
      </c>
      <c r="KWR1" t="s">
        <v>8092</v>
      </c>
      <c r="KWS1" t="s">
        <v>8093</v>
      </c>
      <c r="KWT1" t="s">
        <v>8094</v>
      </c>
      <c r="KWU1" t="s">
        <v>8095</v>
      </c>
      <c r="KWV1" t="s">
        <v>8096</v>
      </c>
      <c r="KWW1" t="s">
        <v>8097</v>
      </c>
      <c r="KWX1" t="s">
        <v>8098</v>
      </c>
      <c r="KWY1" t="s">
        <v>8099</v>
      </c>
      <c r="KWZ1" t="s">
        <v>8100</v>
      </c>
      <c r="KXA1" t="s">
        <v>8101</v>
      </c>
      <c r="KXB1" t="s">
        <v>8102</v>
      </c>
      <c r="KXC1" t="s">
        <v>8103</v>
      </c>
      <c r="KXD1" t="s">
        <v>8104</v>
      </c>
      <c r="KXE1" t="s">
        <v>8105</v>
      </c>
      <c r="KXF1" t="s">
        <v>8106</v>
      </c>
      <c r="KXG1" t="s">
        <v>8107</v>
      </c>
      <c r="KXH1" t="s">
        <v>8108</v>
      </c>
      <c r="KXI1" t="s">
        <v>8109</v>
      </c>
      <c r="KXJ1" t="s">
        <v>8110</v>
      </c>
      <c r="KXK1" t="s">
        <v>8111</v>
      </c>
      <c r="KXL1" t="s">
        <v>8112</v>
      </c>
      <c r="KXM1" t="s">
        <v>8113</v>
      </c>
      <c r="KXN1" t="s">
        <v>8114</v>
      </c>
      <c r="KXO1" t="s">
        <v>8115</v>
      </c>
      <c r="KXP1" t="s">
        <v>8116</v>
      </c>
      <c r="KXQ1" t="s">
        <v>8117</v>
      </c>
      <c r="KXR1" t="s">
        <v>8118</v>
      </c>
      <c r="KXS1" t="s">
        <v>8119</v>
      </c>
      <c r="KXT1" t="s">
        <v>8120</v>
      </c>
      <c r="KXU1" t="s">
        <v>8121</v>
      </c>
      <c r="KXV1" t="s">
        <v>8122</v>
      </c>
      <c r="KXW1" t="s">
        <v>8123</v>
      </c>
      <c r="KXX1" t="s">
        <v>8124</v>
      </c>
      <c r="KXY1" t="s">
        <v>8125</v>
      </c>
      <c r="KXZ1" t="s">
        <v>8126</v>
      </c>
      <c r="KYA1" t="s">
        <v>8127</v>
      </c>
      <c r="KYB1" t="s">
        <v>8128</v>
      </c>
      <c r="KYC1" t="s">
        <v>8129</v>
      </c>
      <c r="KYD1" t="s">
        <v>8130</v>
      </c>
      <c r="KYE1" t="s">
        <v>8131</v>
      </c>
      <c r="KYF1" t="s">
        <v>8132</v>
      </c>
      <c r="KYG1" t="s">
        <v>8133</v>
      </c>
      <c r="KYH1" t="s">
        <v>8134</v>
      </c>
      <c r="KYI1" t="s">
        <v>8135</v>
      </c>
      <c r="KYJ1" t="s">
        <v>8136</v>
      </c>
      <c r="KYK1" t="s">
        <v>8137</v>
      </c>
      <c r="KYL1" t="s">
        <v>8138</v>
      </c>
      <c r="KYM1" t="s">
        <v>8139</v>
      </c>
      <c r="KYN1" t="s">
        <v>8140</v>
      </c>
      <c r="KYO1" t="s">
        <v>8141</v>
      </c>
      <c r="KYP1" t="s">
        <v>8142</v>
      </c>
      <c r="KYQ1" t="s">
        <v>8143</v>
      </c>
      <c r="KYR1" t="s">
        <v>8144</v>
      </c>
      <c r="KYS1" t="s">
        <v>8145</v>
      </c>
      <c r="KYT1" t="s">
        <v>8146</v>
      </c>
      <c r="KYU1" t="s">
        <v>8147</v>
      </c>
      <c r="KYV1" t="s">
        <v>8148</v>
      </c>
      <c r="KYW1" t="s">
        <v>8149</v>
      </c>
      <c r="KYX1" t="s">
        <v>8150</v>
      </c>
      <c r="KYY1" t="s">
        <v>8151</v>
      </c>
      <c r="KYZ1" t="s">
        <v>8152</v>
      </c>
      <c r="KZA1" t="s">
        <v>8153</v>
      </c>
      <c r="KZB1" t="s">
        <v>8154</v>
      </c>
      <c r="KZC1" t="s">
        <v>8155</v>
      </c>
      <c r="KZD1" t="s">
        <v>8156</v>
      </c>
      <c r="KZE1" t="s">
        <v>8157</v>
      </c>
      <c r="KZF1" t="s">
        <v>8158</v>
      </c>
      <c r="KZG1" t="s">
        <v>8159</v>
      </c>
      <c r="KZH1" t="s">
        <v>8160</v>
      </c>
      <c r="KZI1" t="s">
        <v>8161</v>
      </c>
      <c r="KZJ1" t="s">
        <v>8162</v>
      </c>
      <c r="KZK1" t="s">
        <v>8163</v>
      </c>
      <c r="KZL1" t="s">
        <v>8164</v>
      </c>
      <c r="KZM1" t="s">
        <v>8165</v>
      </c>
      <c r="KZN1" t="s">
        <v>8166</v>
      </c>
      <c r="KZO1" t="s">
        <v>8167</v>
      </c>
      <c r="KZP1" t="s">
        <v>8168</v>
      </c>
      <c r="KZQ1" t="s">
        <v>8169</v>
      </c>
      <c r="KZR1" t="s">
        <v>8170</v>
      </c>
      <c r="KZS1" t="s">
        <v>8171</v>
      </c>
      <c r="KZT1" t="s">
        <v>8172</v>
      </c>
      <c r="KZU1" t="s">
        <v>8173</v>
      </c>
      <c r="KZV1" t="s">
        <v>8174</v>
      </c>
      <c r="KZW1" t="s">
        <v>8175</v>
      </c>
      <c r="KZX1" t="s">
        <v>8176</v>
      </c>
      <c r="KZY1" t="s">
        <v>8177</v>
      </c>
      <c r="KZZ1" t="s">
        <v>8178</v>
      </c>
      <c r="LAA1" t="s">
        <v>8179</v>
      </c>
      <c r="LAB1" t="s">
        <v>8180</v>
      </c>
      <c r="LAC1" t="s">
        <v>8181</v>
      </c>
      <c r="LAD1" t="s">
        <v>8182</v>
      </c>
      <c r="LAE1" t="s">
        <v>8183</v>
      </c>
      <c r="LAF1" t="s">
        <v>8184</v>
      </c>
      <c r="LAG1" t="s">
        <v>8185</v>
      </c>
      <c r="LAH1" t="s">
        <v>8186</v>
      </c>
      <c r="LAI1" t="s">
        <v>8187</v>
      </c>
      <c r="LAJ1" t="s">
        <v>8188</v>
      </c>
      <c r="LAK1" t="s">
        <v>8189</v>
      </c>
      <c r="LAL1" t="s">
        <v>8190</v>
      </c>
      <c r="LAM1" t="s">
        <v>8191</v>
      </c>
      <c r="LAN1" t="s">
        <v>8192</v>
      </c>
      <c r="LAO1" t="s">
        <v>8193</v>
      </c>
      <c r="LAP1" t="s">
        <v>8194</v>
      </c>
      <c r="LAQ1" t="s">
        <v>8195</v>
      </c>
      <c r="LAR1" t="s">
        <v>8196</v>
      </c>
      <c r="LAS1" t="s">
        <v>8197</v>
      </c>
      <c r="LAT1" t="s">
        <v>8198</v>
      </c>
      <c r="LAU1" t="s">
        <v>8199</v>
      </c>
      <c r="LAV1" t="s">
        <v>8200</v>
      </c>
      <c r="LAW1" t="s">
        <v>8201</v>
      </c>
      <c r="LAX1" t="s">
        <v>8202</v>
      </c>
      <c r="LAY1" t="s">
        <v>8203</v>
      </c>
      <c r="LAZ1" t="s">
        <v>8204</v>
      </c>
      <c r="LBA1" t="s">
        <v>8205</v>
      </c>
      <c r="LBB1" t="s">
        <v>8206</v>
      </c>
      <c r="LBC1" t="s">
        <v>8207</v>
      </c>
      <c r="LBD1" t="s">
        <v>8208</v>
      </c>
      <c r="LBE1" t="s">
        <v>8209</v>
      </c>
      <c r="LBF1" t="s">
        <v>8210</v>
      </c>
      <c r="LBG1" t="s">
        <v>8211</v>
      </c>
      <c r="LBH1" t="s">
        <v>8212</v>
      </c>
      <c r="LBI1" t="s">
        <v>8213</v>
      </c>
      <c r="LBJ1" t="s">
        <v>8214</v>
      </c>
      <c r="LBK1" t="s">
        <v>8215</v>
      </c>
      <c r="LBL1" t="s">
        <v>8216</v>
      </c>
      <c r="LBM1" t="s">
        <v>8217</v>
      </c>
      <c r="LBN1" t="s">
        <v>8218</v>
      </c>
      <c r="LBO1" t="s">
        <v>8219</v>
      </c>
      <c r="LBP1" t="s">
        <v>8220</v>
      </c>
      <c r="LBQ1" t="s">
        <v>8221</v>
      </c>
      <c r="LBR1" t="s">
        <v>8222</v>
      </c>
      <c r="LBS1" t="s">
        <v>8223</v>
      </c>
      <c r="LBT1" t="s">
        <v>8224</v>
      </c>
      <c r="LBU1" t="s">
        <v>8225</v>
      </c>
      <c r="LBV1" t="s">
        <v>8226</v>
      </c>
      <c r="LBW1" t="s">
        <v>8227</v>
      </c>
      <c r="LBX1" t="s">
        <v>8228</v>
      </c>
      <c r="LBY1" t="s">
        <v>8229</v>
      </c>
      <c r="LBZ1" t="s">
        <v>8230</v>
      </c>
      <c r="LCA1" t="s">
        <v>8231</v>
      </c>
      <c r="LCB1" t="s">
        <v>8232</v>
      </c>
      <c r="LCC1" t="s">
        <v>8233</v>
      </c>
      <c r="LCD1" t="s">
        <v>8234</v>
      </c>
      <c r="LCE1" t="s">
        <v>8235</v>
      </c>
      <c r="LCF1" t="s">
        <v>8236</v>
      </c>
      <c r="LCG1" t="s">
        <v>8237</v>
      </c>
      <c r="LCH1" t="s">
        <v>8238</v>
      </c>
      <c r="LCI1" t="s">
        <v>8239</v>
      </c>
      <c r="LCJ1" t="s">
        <v>8240</v>
      </c>
      <c r="LCK1" t="s">
        <v>8241</v>
      </c>
      <c r="LCL1" t="s">
        <v>8242</v>
      </c>
      <c r="LCM1" t="s">
        <v>8243</v>
      </c>
      <c r="LCN1" t="s">
        <v>8244</v>
      </c>
      <c r="LCO1" t="s">
        <v>8245</v>
      </c>
      <c r="LCP1" t="s">
        <v>8246</v>
      </c>
      <c r="LCQ1" t="s">
        <v>8247</v>
      </c>
      <c r="LCR1" t="s">
        <v>8248</v>
      </c>
      <c r="LCS1" t="s">
        <v>8249</v>
      </c>
      <c r="LCT1" t="s">
        <v>8250</v>
      </c>
      <c r="LCU1" t="s">
        <v>8251</v>
      </c>
      <c r="LCV1" t="s">
        <v>8252</v>
      </c>
      <c r="LCW1" t="s">
        <v>8253</v>
      </c>
      <c r="LCX1" t="s">
        <v>8254</v>
      </c>
      <c r="LCY1" t="s">
        <v>8255</v>
      </c>
      <c r="LCZ1" t="s">
        <v>8256</v>
      </c>
      <c r="LDA1" t="s">
        <v>8257</v>
      </c>
      <c r="LDB1" t="s">
        <v>8258</v>
      </c>
      <c r="LDC1" t="s">
        <v>8259</v>
      </c>
      <c r="LDD1" t="s">
        <v>8260</v>
      </c>
      <c r="LDE1" t="s">
        <v>8261</v>
      </c>
      <c r="LDF1" t="s">
        <v>8262</v>
      </c>
      <c r="LDG1" t="s">
        <v>8263</v>
      </c>
      <c r="LDH1" t="s">
        <v>8264</v>
      </c>
      <c r="LDI1" t="s">
        <v>8265</v>
      </c>
      <c r="LDJ1" t="s">
        <v>8266</v>
      </c>
      <c r="LDK1" t="s">
        <v>8267</v>
      </c>
      <c r="LDL1" t="s">
        <v>8268</v>
      </c>
      <c r="LDM1" t="s">
        <v>8269</v>
      </c>
      <c r="LDN1" t="s">
        <v>8270</v>
      </c>
      <c r="LDO1" t="s">
        <v>8271</v>
      </c>
      <c r="LDP1" t="s">
        <v>8272</v>
      </c>
      <c r="LDQ1" t="s">
        <v>8273</v>
      </c>
      <c r="LDR1" t="s">
        <v>8274</v>
      </c>
      <c r="LDS1" t="s">
        <v>8275</v>
      </c>
      <c r="LDT1" t="s">
        <v>8276</v>
      </c>
      <c r="LDU1" t="s">
        <v>8277</v>
      </c>
      <c r="LDV1" t="s">
        <v>8278</v>
      </c>
      <c r="LDW1" t="s">
        <v>8279</v>
      </c>
      <c r="LDX1" t="s">
        <v>8280</v>
      </c>
      <c r="LDY1" t="s">
        <v>8281</v>
      </c>
      <c r="LDZ1" t="s">
        <v>8282</v>
      </c>
      <c r="LEA1" t="s">
        <v>8283</v>
      </c>
      <c r="LEB1" t="s">
        <v>8284</v>
      </c>
      <c r="LEC1" t="s">
        <v>8285</v>
      </c>
      <c r="LED1" t="s">
        <v>8286</v>
      </c>
      <c r="LEE1" t="s">
        <v>8287</v>
      </c>
      <c r="LEF1" t="s">
        <v>8288</v>
      </c>
      <c r="LEG1" t="s">
        <v>8289</v>
      </c>
      <c r="LEH1" t="s">
        <v>8290</v>
      </c>
      <c r="LEI1" t="s">
        <v>8291</v>
      </c>
      <c r="LEJ1" t="s">
        <v>8292</v>
      </c>
      <c r="LEK1" t="s">
        <v>8293</v>
      </c>
      <c r="LEL1" t="s">
        <v>8294</v>
      </c>
      <c r="LEM1" t="s">
        <v>8295</v>
      </c>
      <c r="LEN1" t="s">
        <v>8296</v>
      </c>
      <c r="LEO1" t="s">
        <v>8297</v>
      </c>
      <c r="LEP1" t="s">
        <v>8298</v>
      </c>
      <c r="LEQ1" t="s">
        <v>8299</v>
      </c>
      <c r="LER1" t="s">
        <v>8300</v>
      </c>
      <c r="LES1" t="s">
        <v>8301</v>
      </c>
      <c r="LET1" t="s">
        <v>8302</v>
      </c>
      <c r="LEU1" t="s">
        <v>8303</v>
      </c>
      <c r="LEV1" t="s">
        <v>8304</v>
      </c>
      <c r="LEW1" t="s">
        <v>8305</v>
      </c>
      <c r="LEX1" t="s">
        <v>8306</v>
      </c>
      <c r="LEY1" t="s">
        <v>8307</v>
      </c>
      <c r="LEZ1" t="s">
        <v>8308</v>
      </c>
      <c r="LFA1" t="s">
        <v>8309</v>
      </c>
      <c r="LFB1" t="s">
        <v>8310</v>
      </c>
      <c r="LFC1" t="s">
        <v>8311</v>
      </c>
      <c r="LFD1" t="s">
        <v>8312</v>
      </c>
      <c r="LFE1" t="s">
        <v>8313</v>
      </c>
      <c r="LFF1" t="s">
        <v>8314</v>
      </c>
      <c r="LFG1" t="s">
        <v>8315</v>
      </c>
      <c r="LFH1" t="s">
        <v>8316</v>
      </c>
      <c r="LFI1" t="s">
        <v>8317</v>
      </c>
      <c r="LFJ1" t="s">
        <v>8318</v>
      </c>
      <c r="LFK1" t="s">
        <v>8319</v>
      </c>
      <c r="LFL1" t="s">
        <v>8320</v>
      </c>
      <c r="LFM1" t="s">
        <v>8321</v>
      </c>
      <c r="LFN1" t="s">
        <v>8322</v>
      </c>
      <c r="LFO1" t="s">
        <v>8323</v>
      </c>
      <c r="LFP1" t="s">
        <v>8324</v>
      </c>
      <c r="LFQ1" t="s">
        <v>8325</v>
      </c>
      <c r="LFR1" t="s">
        <v>8326</v>
      </c>
      <c r="LFS1" t="s">
        <v>8327</v>
      </c>
      <c r="LFT1" t="s">
        <v>8328</v>
      </c>
      <c r="LFU1" t="s">
        <v>8329</v>
      </c>
      <c r="LFV1" t="s">
        <v>8330</v>
      </c>
      <c r="LFW1" t="s">
        <v>8331</v>
      </c>
      <c r="LFX1" t="s">
        <v>8332</v>
      </c>
      <c r="LFY1" t="s">
        <v>8333</v>
      </c>
      <c r="LFZ1" t="s">
        <v>8334</v>
      </c>
      <c r="LGA1" t="s">
        <v>8335</v>
      </c>
      <c r="LGB1" t="s">
        <v>8336</v>
      </c>
      <c r="LGC1" t="s">
        <v>8337</v>
      </c>
      <c r="LGD1" t="s">
        <v>8338</v>
      </c>
      <c r="LGE1" t="s">
        <v>8339</v>
      </c>
      <c r="LGF1" t="s">
        <v>8340</v>
      </c>
      <c r="LGG1" t="s">
        <v>8341</v>
      </c>
      <c r="LGH1" t="s">
        <v>8342</v>
      </c>
      <c r="LGI1" t="s">
        <v>8343</v>
      </c>
      <c r="LGJ1" t="s">
        <v>8344</v>
      </c>
      <c r="LGK1" t="s">
        <v>8345</v>
      </c>
      <c r="LGL1" t="s">
        <v>8346</v>
      </c>
      <c r="LGM1" t="s">
        <v>8347</v>
      </c>
      <c r="LGN1" t="s">
        <v>8348</v>
      </c>
      <c r="LGO1" t="s">
        <v>8349</v>
      </c>
      <c r="LGP1" t="s">
        <v>8350</v>
      </c>
      <c r="LGQ1" t="s">
        <v>8351</v>
      </c>
      <c r="LGR1" t="s">
        <v>8352</v>
      </c>
      <c r="LGS1" t="s">
        <v>8353</v>
      </c>
      <c r="LGT1" t="s">
        <v>8354</v>
      </c>
      <c r="LGU1" t="s">
        <v>8355</v>
      </c>
      <c r="LGV1" t="s">
        <v>8356</v>
      </c>
      <c r="LGW1" t="s">
        <v>8357</v>
      </c>
      <c r="LGX1" t="s">
        <v>8358</v>
      </c>
      <c r="LGY1" t="s">
        <v>8359</v>
      </c>
      <c r="LGZ1" t="s">
        <v>8360</v>
      </c>
      <c r="LHA1" t="s">
        <v>8361</v>
      </c>
      <c r="LHB1" t="s">
        <v>8362</v>
      </c>
      <c r="LHC1" t="s">
        <v>8363</v>
      </c>
      <c r="LHD1" t="s">
        <v>8364</v>
      </c>
      <c r="LHE1" t="s">
        <v>8365</v>
      </c>
      <c r="LHF1" t="s">
        <v>8366</v>
      </c>
      <c r="LHG1" t="s">
        <v>8367</v>
      </c>
      <c r="LHH1" t="s">
        <v>8368</v>
      </c>
      <c r="LHI1" t="s">
        <v>8369</v>
      </c>
      <c r="LHJ1" t="s">
        <v>8370</v>
      </c>
      <c r="LHK1" t="s">
        <v>8371</v>
      </c>
      <c r="LHL1" t="s">
        <v>8372</v>
      </c>
      <c r="LHM1" t="s">
        <v>8373</v>
      </c>
      <c r="LHN1" t="s">
        <v>8374</v>
      </c>
      <c r="LHO1" t="s">
        <v>8375</v>
      </c>
      <c r="LHP1" t="s">
        <v>8376</v>
      </c>
      <c r="LHQ1" t="s">
        <v>8377</v>
      </c>
      <c r="LHR1" t="s">
        <v>8378</v>
      </c>
      <c r="LHS1" t="s">
        <v>8379</v>
      </c>
      <c r="LHT1" t="s">
        <v>8380</v>
      </c>
      <c r="LHU1" t="s">
        <v>8381</v>
      </c>
      <c r="LHV1" t="s">
        <v>8382</v>
      </c>
      <c r="LHW1" t="s">
        <v>8383</v>
      </c>
      <c r="LHX1" t="s">
        <v>8384</v>
      </c>
      <c r="LHY1" t="s">
        <v>8385</v>
      </c>
      <c r="LHZ1" t="s">
        <v>8386</v>
      </c>
      <c r="LIA1" t="s">
        <v>8387</v>
      </c>
      <c r="LIB1" t="s">
        <v>8388</v>
      </c>
      <c r="LIC1" t="s">
        <v>8389</v>
      </c>
      <c r="LID1" t="s">
        <v>8390</v>
      </c>
      <c r="LIE1" t="s">
        <v>8391</v>
      </c>
      <c r="LIF1" t="s">
        <v>8392</v>
      </c>
      <c r="LIG1" t="s">
        <v>8393</v>
      </c>
      <c r="LIH1" t="s">
        <v>8394</v>
      </c>
      <c r="LII1" t="s">
        <v>8395</v>
      </c>
      <c r="LIJ1" t="s">
        <v>8396</v>
      </c>
      <c r="LIK1" t="s">
        <v>8397</v>
      </c>
      <c r="LIL1" t="s">
        <v>8398</v>
      </c>
      <c r="LIM1" t="s">
        <v>8399</v>
      </c>
      <c r="LIN1" t="s">
        <v>8400</v>
      </c>
      <c r="LIO1" t="s">
        <v>8401</v>
      </c>
      <c r="LIP1" t="s">
        <v>8402</v>
      </c>
      <c r="LIQ1" t="s">
        <v>8403</v>
      </c>
      <c r="LIR1" t="s">
        <v>8404</v>
      </c>
      <c r="LIS1" t="s">
        <v>8405</v>
      </c>
      <c r="LIT1" t="s">
        <v>8406</v>
      </c>
      <c r="LIU1" t="s">
        <v>8407</v>
      </c>
      <c r="LIV1" t="s">
        <v>8408</v>
      </c>
      <c r="LIW1" t="s">
        <v>8409</v>
      </c>
      <c r="LIX1" t="s">
        <v>8410</v>
      </c>
      <c r="LIY1" t="s">
        <v>8411</v>
      </c>
      <c r="LIZ1" t="s">
        <v>8412</v>
      </c>
      <c r="LJA1" t="s">
        <v>8413</v>
      </c>
      <c r="LJB1" t="s">
        <v>8414</v>
      </c>
      <c r="LJC1" t="s">
        <v>8415</v>
      </c>
      <c r="LJD1" t="s">
        <v>8416</v>
      </c>
      <c r="LJE1" t="s">
        <v>8417</v>
      </c>
      <c r="LJF1" t="s">
        <v>8418</v>
      </c>
      <c r="LJG1" t="s">
        <v>8419</v>
      </c>
      <c r="LJH1" t="s">
        <v>8420</v>
      </c>
      <c r="LJI1" t="s">
        <v>8421</v>
      </c>
      <c r="LJJ1" t="s">
        <v>8422</v>
      </c>
      <c r="LJK1" t="s">
        <v>8423</v>
      </c>
      <c r="LJL1" t="s">
        <v>8424</v>
      </c>
      <c r="LJM1" t="s">
        <v>8425</v>
      </c>
      <c r="LJN1" t="s">
        <v>8426</v>
      </c>
      <c r="LJO1" t="s">
        <v>8427</v>
      </c>
      <c r="LJP1" t="s">
        <v>8428</v>
      </c>
      <c r="LJQ1" t="s">
        <v>8429</v>
      </c>
      <c r="LJR1" t="s">
        <v>8430</v>
      </c>
      <c r="LJS1" t="s">
        <v>8431</v>
      </c>
      <c r="LJT1" t="s">
        <v>8432</v>
      </c>
      <c r="LJU1" t="s">
        <v>8433</v>
      </c>
      <c r="LJV1" t="s">
        <v>8434</v>
      </c>
      <c r="LJW1" t="s">
        <v>8435</v>
      </c>
      <c r="LJX1" t="s">
        <v>8436</v>
      </c>
      <c r="LJY1" t="s">
        <v>8437</v>
      </c>
      <c r="LJZ1" t="s">
        <v>8438</v>
      </c>
      <c r="LKA1" t="s">
        <v>8439</v>
      </c>
      <c r="LKB1" t="s">
        <v>8440</v>
      </c>
      <c r="LKC1" t="s">
        <v>8441</v>
      </c>
      <c r="LKD1" t="s">
        <v>8442</v>
      </c>
      <c r="LKE1" t="s">
        <v>8443</v>
      </c>
      <c r="LKF1" t="s">
        <v>8444</v>
      </c>
      <c r="LKG1" t="s">
        <v>8445</v>
      </c>
      <c r="LKH1" t="s">
        <v>8446</v>
      </c>
      <c r="LKI1" t="s">
        <v>8447</v>
      </c>
      <c r="LKJ1" t="s">
        <v>8448</v>
      </c>
      <c r="LKK1" t="s">
        <v>8449</v>
      </c>
      <c r="LKL1" t="s">
        <v>8450</v>
      </c>
      <c r="LKM1" t="s">
        <v>8451</v>
      </c>
      <c r="LKN1" t="s">
        <v>8452</v>
      </c>
      <c r="LKO1" t="s">
        <v>8453</v>
      </c>
      <c r="LKP1" t="s">
        <v>8454</v>
      </c>
      <c r="LKQ1" t="s">
        <v>8455</v>
      </c>
      <c r="LKR1" t="s">
        <v>8456</v>
      </c>
      <c r="LKS1" t="s">
        <v>8457</v>
      </c>
      <c r="LKT1" t="s">
        <v>8458</v>
      </c>
      <c r="LKU1" t="s">
        <v>8459</v>
      </c>
      <c r="LKV1" t="s">
        <v>8460</v>
      </c>
      <c r="LKW1" t="s">
        <v>8461</v>
      </c>
      <c r="LKX1" t="s">
        <v>8462</v>
      </c>
      <c r="LKY1" t="s">
        <v>8463</v>
      </c>
      <c r="LKZ1" t="s">
        <v>8464</v>
      </c>
      <c r="LLA1" t="s">
        <v>8465</v>
      </c>
      <c r="LLB1" t="s">
        <v>8466</v>
      </c>
      <c r="LLC1" t="s">
        <v>8467</v>
      </c>
      <c r="LLD1" t="s">
        <v>8468</v>
      </c>
      <c r="LLE1" t="s">
        <v>8469</v>
      </c>
      <c r="LLF1" t="s">
        <v>8470</v>
      </c>
      <c r="LLG1" t="s">
        <v>8471</v>
      </c>
      <c r="LLH1" t="s">
        <v>8472</v>
      </c>
      <c r="LLI1" t="s">
        <v>8473</v>
      </c>
      <c r="LLJ1" t="s">
        <v>8474</v>
      </c>
      <c r="LLK1" t="s">
        <v>8475</v>
      </c>
      <c r="LLL1" t="s">
        <v>8476</v>
      </c>
      <c r="LLM1" t="s">
        <v>8477</v>
      </c>
      <c r="LLN1" t="s">
        <v>8478</v>
      </c>
      <c r="LLO1" t="s">
        <v>8479</v>
      </c>
      <c r="LLP1" t="s">
        <v>8480</v>
      </c>
      <c r="LLQ1" t="s">
        <v>8481</v>
      </c>
      <c r="LLR1" t="s">
        <v>8482</v>
      </c>
      <c r="LLS1" t="s">
        <v>8483</v>
      </c>
      <c r="LLT1" t="s">
        <v>8484</v>
      </c>
      <c r="LLU1" t="s">
        <v>8485</v>
      </c>
      <c r="LLV1" t="s">
        <v>8486</v>
      </c>
      <c r="LLW1" t="s">
        <v>8487</v>
      </c>
      <c r="LLX1" t="s">
        <v>8488</v>
      </c>
      <c r="LLY1" t="s">
        <v>8489</v>
      </c>
      <c r="LLZ1" t="s">
        <v>8490</v>
      </c>
      <c r="LMA1" t="s">
        <v>8491</v>
      </c>
      <c r="LMB1" t="s">
        <v>8492</v>
      </c>
      <c r="LMC1" t="s">
        <v>8493</v>
      </c>
      <c r="LMD1" t="s">
        <v>8494</v>
      </c>
      <c r="LME1" t="s">
        <v>8495</v>
      </c>
      <c r="LMF1" t="s">
        <v>8496</v>
      </c>
      <c r="LMG1" t="s">
        <v>8497</v>
      </c>
      <c r="LMH1" t="s">
        <v>8498</v>
      </c>
      <c r="LMI1" t="s">
        <v>8499</v>
      </c>
      <c r="LMJ1" t="s">
        <v>8500</v>
      </c>
      <c r="LMK1" t="s">
        <v>8501</v>
      </c>
      <c r="LML1" t="s">
        <v>8502</v>
      </c>
      <c r="LMM1" t="s">
        <v>8503</v>
      </c>
      <c r="LMN1" t="s">
        <v>8504</v>
      </c>
      <c r="LMO1" t="s">
        <v>8505</v>
      </c>
      <c r="LMP1" t="s">
        <v>8506</v>
      </c>
      <c r="LMQ1" t="s">
        <v>8507</v>
      </c>
      <c r="LMR1" t="s">
        <v>8508</v>
      </c>
      <c r="LMS1" t="s">
        <v>8509</v>
      </c>
      <c r="LMT1" t="s">
        <v>8510</v>
      </c>
      <c r="LMU1" t="s">
        <v>8511</v>
      </c>
      <c r="LMV1" t="s">
        <v>8512</v>
      </c>
      <c r="LMW1" t="s">
        <v>8513</v>
      </c>
      <c r="LMX1" t="s">
        <v>8514</v>
      </c>
      <c r="LMY1" t="s">
        <v>8515</v>
      </c>
      <c r="LMZ1" t="s">
        <v>8516</v>
      </c>
      <c r="LNA1" t="s">
        <v>8517</v>
      </c>
      <c r="LNB1" t="s">
        <v>8518</v>
      </c>
      <c r="LNC1" t="s">
        <v>8519</v>
      </c>
      <c r="LND1" t="s">
        <v>8520</v>
      </c>
      <c r="LNE1" t="s">
        <v>8521</v>
      </c>
      <c r="LNF1" t="s">
        <v>8522</v>
      </c>
      <c r="LNG1" t="s">
        <v>8523</v>
      </c>
      <c r="LNH1" t="s">
        <v>8524</v>
      </c>
      <c r="LNI1" t="s">
        <v>8525</v>
      </c>
      <c r="LNJ1" t="s">
        <v>8526</v>
      </c>
      <c r="LNK1" t="s">
        <v>8527</v>
      </c>
      <c r="LNL1" t="s">
        <v>8528</v>
      </c>
      <c r="LNM1" t="s">
        <v>8529</v>
      </c>
      <c r="LNN1" t="s">
        <v>8530</v>
      </c>
      <c r="LNO1" t="s">
        <v>8531</v>
      </c>
      <c r="LNP1" t="s">
        <v>8532</v>
      </c>
      <c r="LNQ1" t="s">
        <v>8533</v>
      </c>
      <c r="LNR1" t="s">
        <v>8534</v>
      </c>
      <c r="LNS1" t="s">
        <v>8535</v>
      </c>
      <c r="LNT1" t="s">
        <v>8536</v>
      </c>
      <c r="LNU1" t="s">
        <v>8537</v>
      </c>
      <c r="LNV1" t="s">
        <v>8538</v>
      </c>
      <c r="LNW1" t="s">
        <v>8539</v>
      </c>
      <c r="LNX1" t="s">
        <v>8540</v>
      </c>
      <c r="LNY1" t="s">
        <v>8541</v>
      </c>
      <c r="LNZ1" t="s">
        <v>8542</v>
      </c>
      <c r="LOA1" t="s">
        <v>8543</v>
      </c>
      <c r="LOB1" t="s">
        <v>8544</v>
      </c>
      <c r="LOC1" t="s">
        <v>8545</v>
      </c>
      <c r="LOD1" t="s">
        <v>8546</v>
      </c>
      <c r="LOE1" t="s">
        <v>8547</v>
      </c>
      <c r="LOF1" t="s">
        <v>8548</v>
      </c>
      <c r="LOG1" t="s">
        <v>8549</v>
      </c>
      <c r="LOH1" t="s">
        <v>8550</v>
      </c>
      <c r="LOI1" t="s">
        <v>8551</v>
      </c>
      <c r="LOJ1" t="s">
        <v>8552</v>
      </c>
      <c r="LOK1" t="s">
        <v>8553</v>
      </c>
      <c r="LOL1" t="s">
        <v>8554</v>
      </c>
      <c r="LOM1" t="s">
        <v>8555</v>
      </c>
      <c r="LON1" t="s">
        <v>8556</v>
      </c>
      <c r="LOO1" t="s">
        <v>8557</v>
      </c>
      <c r="LOP1" t="s">
        <v>8558</v>
      </c>
      <c r="LOQ1" t="s">
        <v>8559</v>
      </c>
      <c r="LOR1" t="s">
        <v>8560</v>
      </c>
      <c r="LOS1" t="s">
        <v>8561</v>
      </c>
      <c r="LOT1" t="s">
        <v>8562</v>
      </c>
      <c r="LOU1" t="s">
        <v>8563</v>
      </c>
      <c r="LOV1" t="s">
        <v>8564</v>
      </c>
      <c r="LOW1" t="s">
        <v>8565</v>
      </c>
      <c r="LOX1" t="s">
        <v>8566</v>
      </c>
      <c r="LOY1" t="s">
        <v>8567</v>
      </c>
      <c r="LOZ1" t="s">
        <v>8568</v>
      </c>
      <c r="LPA1" t="s">
        <v>8569</v>
      </c>
      <c r="LPB1" t="s">
        <v>8570</v>
      </c>
      <c r="LPC1" t="s">
        <v>8571</v>
      </c>
      <c r="LPD1" t="s">
        <v>8572</v>
      </c>
      <c r="LPE1" t="s">
        <v>8573</v>
      </c>
      <c r="LPF1" t="s">
        <v>8574</v>
      </c>
      <c r="LPG1" t="s">
        <v>8575</v>
      </c>
      <c r="LPH1" t="s">
        <v>8576</v>
      </c>
      <c r="LPI1" t="s">
        <v>8577</v>
      </c>
      <c r="LPJ1" t="s">
        <v>8578</v>
      </c>
      <c r="LPK1" t="s">
        <v>8579</v>
      </c>
      <c r="LPL1" t="s">
        <v>8580</v>
      </c>
      <c r="LPM1" t="s">
        <v>8581</v>
      </c>
      <c r="LPN1" t="s">
        <v>8582</v>
      </c>
      <c r="LPO1" t="s">
        <v>8583</v>
      </c>
      <c r="LPP1" t="s">
        <v>8584</v>
      </c>
      <c r="LPQ1" t="s">
        <v>8585</v>
      </c>
      <c r="LPR1" t="s">
        <v>8586</v>
      </c>
      <c r="LPS1" t="s">
        <v>8587</v>
      </c>
      <c r="LPT1" t="s">
        <v>8588</v>
      </c>
      <c r="LPU1" t="s">
        <v>8589</v>
      </c>
      <c r="LPV1" t="s">
        <v>8590</v>
      </c>
      <c r="LPW1" t="s">
        <v>8591</v>
      </c>
      <c r="LPX1" t="s">
        <v>8592</v>
      </c>
      <c r="LPY1" t="s">
        <v>8593</v>
      </c>
      <c r="LPZ1" t="s">
        <v>8594</v>
      </c>
      <c r="LQA1" t="s">
        <v>8595</v>
      </c>
      <c r="LQB1" t="s">
        <v>8596</v>
      </c>
      <c r="LQC1" t="s">
        <v>8597</v>
      </c>
      <c r="LQD1" t="s">
        <v>8598</v>
      </c>
      <c r="LQE1" t="s">
        <v>8599</v>
      </c>
      <c r="LQF1" t="s">
        <v>8600</v>
      </c>
      <c r="LQG1" t="s">
        <v>8601</v>
      </c>
      <c r="LQH1" t="s">
        <v>8602</v>
      </c>
      <c r="LQI1" t="s">
        <v>8603</v>
      </c>
      <c r="LQJ1" t="s">
        <v>8604</v>
      </c>
      <c r="LQK1" t="s">
        <v>8605</v>
      </c>
      <c r="LQL1" t="s">
        <v>8606</v>
      </c>
      <c r="LQM1" t="s">
        <v>8607</v>
      </c>
      <c r="LQN1" t="s">
        <v>8608</v>
      </c>
      <c r="LQO1" t="s">
        <v>8609</v>
      </c>
      <c r="LQP1" t="s">
        <v>8610</v>
      </c>
      <c r="LQQ1" t="s">
        <v>8611</v>
      </c>
      <c r="LQR1" t="s">
        <v>8612</v>
      </c>
      <c r="LQS1" t="s">
        <v>8613</v>
      </c>
      <c r="LQT1" t="s">
        <v>8614</v>
      </c>
      <c r="LQU1" t="s">
        <v>8615</v>
      </c>
      <c r="LQV1" t="s">
        <v>8616</v>
      </c>
      <c r="LQW1" t="s">
        <v>8617</v>
      </c>
      <c r="LQX1" t="s">
        <v>8618</v>
      </c>
      <c r="LQY1" t="s">
        <v>8619</v>
      </c>
      <c r="LQZ1" t="s">
        <v>8620</v>
      </c>
      <c r="LRA1" t="s">
        <v>8621</v>
      </c>
      <c r="LRB1" t="s">
        <v>8622</v>
      </c>
      <c r="LRC1" t="s">
        <v>8623</v>
      </c>
      <c r="LRD1" t="s">
        <v>8624</v>
      </c>
      <c r="LRE1" t="s">
        <v>8625</v>
      </c>
      <c r="LRF1" t="s">
        <v>8626</v>
      </c>
      <c r="LRG1" t="s">
        <v>8627</v>
      </c>
      <c r="LRH1" t="s">
        <v>8628</v>
      </c>
      <c r="LRI1" t="s">
        <v>8629</v>
      </c>
      <c r="LRJ1" t="s">
        <v>8630</v>
      </c>
      <c r="LRK1" t="s">
        <v>8631</v>
      </c>
      <c r="LRL1" t="s">
        <v>8632</v>
      </c>
      <c r="LRM1" t="s">
        <v>8633</v>
      </c>
      <c r="LRN1" t="s">
        <v>8634</v>
      </c>
      <c r="LRO1" t="s">
        <v>8635</v>
      </c>
      <c r="LRP1" t="s">
        <v>8636</v>
      </c>
      <c r="LRQ1" t="s">
        <v>8637</v>
      </c>
      <c r="LRR1" t="s">
        <v>8638</v>
      </c>
      <c r="LRS1" t="s">
        <v>8639</v>
      </c>
      <c r="LRT1" t="s">
        <v>8640</v>
      </c>
      <c r="LRU1" t="s">
        <v>8641</v>
      </c>
      <c r="LRV1" t="s">
        <v>8642</v>
      </c>
      <c r="LRW1" t="s">
        <v>8643</v>
      </c>
      <c r="LRX1" t="s">
        <v>8644</v>
      </c>
      <c r="LRY1" t="s">
        <v>8645</v>
      </c>
      <c r="LRZ1" t="s">
        <v>8646</v>
      </c>
      <c r="LSA1" t="s">
        <v>8647</v>
      </c>
      <c r="LSB1" t="s">
        <v>8648</v>
      </c>
      <c r="LSC1" t="s">
        <v>8649</v>
      </c>
      <c r="LSD1" t="s">
        <v>8650</v>
      </c>
      <c r="LSE1" t="s">
        <v>8651</v>
      </c>
      <c r="LSF1" t="s">
        <v>8652</v>
      </c>
      <c r="LSG1" t="s">
        <v>8653</v>
      </c>
      <c r="LSH1" t="s">
        <v>8654</v>
      </c>
      <c r="LSI1" t="s">
        <v>8655</v>
      </c>
      <c r="LSJ1" t="s">
        <v>8656</v>
      </c>
      <c r="LSK1" t="s">
        <v>8657</v>
      </c>
      <c r="LSL1" t="s">
        <v>8658</v>
      </c>
      <c r="LSM1" t="s">
        <v>8659</v>
      </c>
      <c r="LSN1" t="s">
        <v>8660</v>
      </c>
      <c r="LSO1" t="s">
        <v>8661</v>
      </c>
      <c r="LSP1" t="s">
        <v>8662</v>
      </c>
      <c r="LSQ1" t="s">
        <v>8663</v>
      </c>
      <c r="LSR1" t="s">
        <v>8664</v>
      </c>
      <c r="LSS1" t="s">
        <v>8665</v>
      </c>
      <c r="LST1" t="s">
        <v>8666</v>
      </c>
      <c r="LSU1" t="s">
        <v>8667</v>
      </c>
      <c r="LSV1" t="s">
        <v>8668</v>
      </c>
      <c r="LSW1" t="s">
        <v>8669</v>
      </c>
      <c r="LSX1" t="s">
        <v>8670</v>
      </c>
      <c r="LSY1" t="s">
        <v>8671</v>
      </c>
      <c r="LSZ1" t="s">
        <v>8672</v>
      </c>
      <c r="LTA1" t="s">
        <v>8673</v>
      </c>
      <c r="LTB1" t="s">
        <v>8674</v>
      </c>
      <c r="LTC1" t="s">
        <v>8675</v>
      </c>
      <c r="LTD1" t="s">
        <v>8676</v>
      </c>
      <c r="LTE1" t="s">
        <v>8677</v>
      </c>
      <c r="LTF1" t="s">
        <v>8678</v>
      </c>
      <c r="LTG1" t="s">
        <v>8679</v>
      </c>
      <c r="LTH1" t="s">
        <v>8680</v>
      </c>
      <c r="LTI1" t="s">
        <v>8681</v>
      </c>
      <c r="LTJ1" t="s">
        <v>8682</v>
      </c>
      <c r="LTK1" t="s">
        <v>8683</v>
      </c>
      <c r="LTL1" t="s">
        <v>8684</v>
      </c>
      <c r="LTM1" t="s">
        <v>8685</v>
      </c>
      <c r="LTN1" t="s">
        <v>8686</v>
      </c>
      <c r="LTO1" t="s">
        <v>8687</v>
      </c>
      <c r="LTP1" t="s">
        <v>8688</v>
      </c>
      <c r="LTQ1" t="s">
        <v>8689</v>
      </c>
      <c r="LTR1" t="s">
        <v>8690</v>
      </c>
      <c r="LTS1" t="s">
        <v>8691</v>
      </c>
      <c r="LTT1" t="s">
        <v>8692</v>
      </c>
      <c r="LTU1" t="s">
        <v>8693</v>
      </c>
      <c r="LTV1" t="s">
        <v>8694</v>
      </c>
      <c r="LTW1" t="s">
        <v>8695</v>
      </c>
      <c r="LTX1" t="s">
        <v>8696</v>
      </c>
      <c r="LTY1" t="s">
        <v>8697</v>
      </c>
      <c r="LTZ1" t="s">
        <v>8698</v>
      </c>
      <c r="LUA1" t="s">
        <v>8699</v>
      </c>
      <c r="LUB1" t="s">
        <v>8700</v>
      </c>
      <c r="LUC1" t="s">
        <v>8701</v>
      </c>
      <c r="LUD1" t="s">
        <v>8702</v>
      </c>
      <c r="LUE1" t="s">
        <v>8703</v>
      </c>
      <c r="LUF1" t="s">
        <v>8704</v>
      </c>
      <c r="LUG1" t="s">
        <v>8705</v>
      </c>
      <c r="LUH1" t="s">
        <v>8706</v>
      </c>
      <c r="LUI1" t="s">
        <v>8707</v>
      </c>
      <c r="LUJ1" t="s">
        <v>8708</v>
      </c>
      <c r="LUK1" t="s">
        <v>8709</v>
      </c>
      <c r="LUL1" t="s">
        <v>8710</v>
      </c>
      <c r="LUM1" t="s">
        <v>8711</v>
      </c>
      <c r="LUN1" t="s">
        <v>8712</v>
      </c>
      <c r="LUO1" t="s">
        <v>8713</v>
      </c>
      <c r="LUP1" t="s">
        <v>8714</v>
      </c>
      <c r="LUQ1" t="s">
        <v>8715</v>
      </c>
      <c r="LUR1" t="s">
        <v>8716</v>
      </c>
      <c r="LUS1" t="s">
        <v>8717</v>
      </c>
      <c r="LUT1" t="s">
        <v>8718</v>
      </c>
      <c r="LUU1" t="s">
        <v>8719</v>
      </c>
      <c r="LUV1" t="s">
        <v>8720</v>
      </c>
      <c r="LUW1" t="s">
        <v>8721</v>
      </c>
      <c r="LUX1" t="s">
        <v>8722</v>
      </c>
      <c r="LUY1" t="s">
        <v>8723</v>
      </c>
      <c r="LUZ1" t="s">
        <v>8724</v>
      </c>
      <c r="LVA1" t="s">
        <v>8725</v>
      </c>
      <c r="LVB1" t="s">
        <v>8726</v>
      </c>
      <c r="LVC1" t="s">
        <v>8727</v>
      </c>
      <c r="LVD1" t="s">
        <v>8728</v>
      </c>
      <c r="LVE1" t="s">
        <v>8729</v>
      </c>
      <c r="LVF1" t="s">
        <v>8730</v>
      </c>
      <c r="LVG1" t="s">
        <v>8731</v>
      </c>
      <c r="LVH1" t="s">
        <v>8732</v>
      </c>
      <c r="LVI1" t="s">
        <v>8733</v>
      </c>
      <c r="LVJ1" t="s">
        <v>8734</v>
      </c>
      <c r="LVK1" t="s">
        <v>8735</v>
      </c>
      <c r="LVL1" t="s">
        <v>8736</v>
      </c>
      <c r="LVM1" t="s">
        <v>8737</v>
      </c>
      <c r="LVN1" t="s">
        <v>8738</v>
      </c>
      <c r="LVO1" t="s">
        <v>8739</v>
      </c>
      <c r="LVP1" t="s">
        <v>8740</v>
      </c>
      <c r="LVQ1" t="s">
        <v>8741</v>
      </c>
      <c r="LVR1" t="s">
        <v>8742</v>
      </c>
      <c r="LVS1" t="s">
        <v>8743</v>
      </c>
      <c r="LVT1" t="s">
        <v>8744</v>
      </c>
      <c r="LVU1" t="s">
        <v>8745</v>
      </c>
      <c r="LVV1" t="s">
        <v>8746</v>
      </c>
      <c r="LVW1" t="s">
        <v>8747</v>
      </c>
      <c r="LVX1" t="s">
        <v>8748</v>
      </c>
      <c r="LVY1" t="s">
        <v>8749</v>
      </c>
      <c r="LVZ1" t="s">
        <v>8750</v>
      </c>
      <c r="LWA1" t="s">
        <v>8751</v>
      </c>
      <c r="LWB1" t="s">
        <v>8752</v>
      </c>
      <c r="LWC1" t="s">
        <v>8753</v>
      </c>
      <c r="LWD1" t="s">
        <v>8754</v>
      </c>
      <c r="LWE1" t="s">
        <v>8755</v>
      </c>
      <c r="LWF1" t="s">
        <v>8756</v>
      </c>
      <c r="LWG1" t="s">
        <v>8757</v>
      </c>
      <c r="LWH1" t="s">
        <v>8758</v>
      </c>
      <c r="LWI1" t="s">
        <v>8759</v>
      </c>
      <c r="LWJ1" t="s">
        <v>8760</v>
      </c>
      <c r="LWK1" t="s">
        <v>8761</v>
      </c>
      <c r="LWL1" t="s">
        <v>8762</v>
      </c>
      <c r="LWM1" t="s">
        <v>8763</v>
      </c>
      <c r="LWN1" t="s">
        <v>8764</v>
      </c>
      <c r="LWO1" t="s">
        <v>8765</v>
      </c>
      <c r="LWP1" t="s">
        <v>8766</v>
      </c>
      <c r="LWQ1" t="s">
        <v>8767</v>
      </c>
      <c r="LWR1" t="s">
        <v>8768</v>
      </c>
      <c r="LWS1" t="s">
        <v>8769</v>
      </c>
      <c r="LWT1" t="s">
        <v>8770</v>
      </c>
      <c r="LWU1" t="s">
        <v>8771</v>
      </c>
      <c r="LWV1" t="s">
        <v>8772</v>
      </c>
      <c r="LWW1" t="s">
        <v>8773</v>
      </c>
      <c r="LWX1" t="s">
        <v>8774</v>
      </c>
      <c r="LWY1" t="s">
        <v>8775</v>
      </c>
      <c r="LWZ1" t="s">
        <v>8776</v>
      </c>
      <c r="LXA1" t="s">
        <v>8777</v>
      </c>
      <c r="LXB1" t="s">
        <v>8778</v>
      </c>
      <c r="LXC1" t="s">
        <v>8779</v>
      </c>
      <c r="LXD1" t="s">
        <v>8780</v>
      </c>
      <c r="LXE1" t="s">
        <v>8781</v>
      </c>
      <c r="LXF1" t="s">
        <v>8782</v>
      </c>
      <c r="LXG1" t="s">
        <v>8783</v>
      </c>
      <c r="LXH1" t="s">
        <v>8784</v>
      </c>
      <c r="LXI1" t="s">
        <v>8785</v>
      </c>
      <c r="LXJ1" t="s">
        <v>8786</v>
      </c>
      <c r="LXK1" t="s">
        <v>8787</v>
      </c>
      <c r="LXL1" t="s">
        <v>8788</v>
      </c>
      <c r="LXM1" t="s">
        <v>8789</v>
      </c>
      <c r="LXN1" t="s">
        <v>8790</v>
      </c>
      <c r="LXO1" t="s">
        <v>8791</v>
      </c>
      <c r="LXP1" t="s">
        <v>8792</v>
      </c>
      <c r="LXQ1" t="s">
        <v>8793</v>
      </c>
      <c r="LXR1" t="s">
        <v>8794</v>
      </c>
      <c r="LXS1" t="s">
        <v>8795</v>
      </c>
      <c r="LXT1" t="s">
        <v>8796</v>
      </c>
      <c r="LXU1" t="s">
        <v>8797</v>
      </c>
      <c r="LXV1" t="s">
        <v>8798</v>
      </c>
      <c r="LXW1" t="s">
        <v>8799</v>
      </c>
      <c r="LXX1" t="s">
        <v>8800</v>
      </c>
      <c r="LXY1" t="s">
        <v>8801</v>
      </c>
      <c r="LXZ1" t="s">
        <v>8802</v>
      </c>
      <c r="LYA1" t="s">
        <v>8803</v>
      </c>
      <c r="LYB1" t="s">
        <v>8804</v>
      </c>
      <c r="LYC1" t="s">
        <v>8805</v>
      </c>
      <c r="LYD1" t="s">
        <v>8806</v>
      </c>
      <c r="LYE1" t="s">
        <v>8807</v>
      </c>
      <c r="LYF1" t="s">
        <v>8808</v>
      </c>
      <c r="LYG1" t="s">
        <v>8809</v>
      </c>
      <c r="LYH1" t="s">
        <v>8810</v>
      </c>
      <c r="LYI1" t="s">
        <v>8811</v>
      </c>
      <c r="LYJ1" t="s">
        <v>8812</v>
      </c>
      <c r="LYK1" t="s">
        <v>8813</v>
      </c>
      <c r="LYL1" t="s">
        <v>8814</v>
      </c>
      <c r="LYM1" t="s">
        <v>8815</v>
      </c>
      <c r="LYN1" t="s">
        <v>8816</v>
      </c>
      <c r="LYO1" t="s">
        <v>8817</v>
      </c>
      <c r="LYP1" t="s">
        <v>8818</v>
      </c>
      <c r="LYQ1" t="s">
        <v>8819</v>
      </c>
      <c r="LYR1" t="s">
        <v>8820</v>
      </c>
      <c r="LYS1" t="s">
        <v>8821</v>
      </c>
      <c r="LYT1" t="s">
        <v>8822</v>
      </c>
      <c r="LYU1" t="s">
        <v>8823</v>
      </c>
      <c r="LYV1" t="s">
        <v>8824</v>
      </c>
      <c r="LYW1" t="s">
        <v>8825</v>
      </c>
      <c r="LYX1" t="s">
        <v>8826</v>
      </c>
      <c r="LYY1" t="s">
        <v>8827</v>
      </c>
      <c r="LYZ1" t="s">
        <v>8828</v>
      </c>
      <c r="LZA1" t="s">
        <v>8829</v>
      </c>
      <c r="LZB1" t="s">
        <v>8830</v>
      </c>
      <c r="LZC1" t="s">
        <v>8831</v>
      </c>
      <c r="LZD1" t="s">
        <v>8832</v>
      </c>
      <c r="LZE1" t="s">
        <v>8833</v>
      </c>
      <c r="LZF1" t="s">
        <v>8834</v>
      </c>
      <c r="LZG1" t="s">
        <v>8835</v>
      </c>
      <c r="LZH1" t="s">
        <v>8836</v>
      </c>
      <c r="LZI1" t="s">
        <v>8837</v>
      </c>
      <c r="LZJ1" t="s">
        <v>8838</v>
      </c>
      <c r="LZK1" t="s">
        <v>8839</v>
      </c>
      <c r="LZL1" t="s">
        <v>8840</v>
      </c>
      <c r="LZM1" t="s">
        <v>8841</v>
      </c>
      <c r="LZN1" t="s">
        <v>8842</v>
      </c>
      <c r="LZO1" t="s">
        <v>8843</v>
      </c>
      <c r="LZP1" t="s">
        <v>8844</v>
      </c>
      <c r="LZQ1" t="s">
        <v>8845</v>
      </c>
      <c r="LZR1" t="s">
        <v>8846</v>
      </c>
      <c r="LZS1" t="s">
        <v>8847</v>
      </c>
      <c r="LZT1" t="s">
        <v>8848</v>
      </c>
      <c r="LZU1" t="s">
        <v>8849</v>
      </c>
      <c r="LZV1" t="s">
        <v>8850</v>
      </c>
      <c r="LZW1" t="s">
        <v>8851</v>
      </c>
      <c r="LZX1" t="s">
        <v>8852</v>
      </c>
      <c r="LZY1" t="s">
        <v>8853</v>
      </c>
      <c r="LZZ1" t="s">
        <v>8854</v>
      </c>
      <c r="MAA1" t="s">
        <v>8855</v>
      </c>
      <c r="MAB1" t="s">
        <v>8856</v>
      </c>
      <c r="MAC1" t="s">
        <v>8857</v>
      </c>
      <c r="MAD1" t="s">
        <v>8858</v>
      </c>
      <c r="MAE1" t="s">
        <v>8859</v>
      </c>
      <c r="MAF1" t="s">
        <v>8860</v>
      </c>
      <c r="MAG1" t="s">
        <v>8861</v>
      </c>
      <c r="MAH1" t="s">
        <v>8862</v>
      </c>
      <c r="MAI1" t="s">
        <v>8863</v>
      </c>
      <c r="MAJ1" t="s">
        <v>8864</v>
      </c>
      <c r="MAK1" t="s">
        <v>8865</v>
      </c>
      <c r="MAL1" t="s">
        <v>8866</v>
      </c>
      <c r="MAM1" t="s">
        <v>8867</v>
      </c>
      <c r="MAN1" t="s">
        <v>8868</v>
      </c>
      <c r="MAO1" t="s">
        <v>8869</v>
      </c>
      <c r="MAP1" t="s">
        <v>8870</v>
      </c>
      <c r="MAQ1" t="s">
        <v>8871</v>
      </c>
      <c r="MAR1" t="s">
        <v>8872</v>
      </c>
      <c r="MAS1" t="s">
        <v>8873</v>
      </c>
      <c r="MAT1" t="s">
        <v>8874</v>
      </c>
      <c r="MAU1" t="s">
        <v>8875</v>
      </c>
      <c r="MAV1" t="s">
        <v>8876</v>
      </c>
      <c r="MAW1" t="s">
        <v>8877</v>
      </c>
      <c r="MAX1" t="s">
        <v>8878</v>
      </c>
      <c r="MAY1" t="s">
        <v>8879</v>
      </c>
      <c r="MAZ1" t="s">
        <v>8880</v>
      </c>
      <c r="MBA1" t="s">
        <v>8881</v>
      </c>
      <c r="MBB1" t="s">
        <v>8882</v>
      </c>
      <c r="MBC1" t="s">
        <v>8883</v>
      </c>
      <c r="MBD1" t="s">
        <v>8884</v>
      </c>
      <c r="MBE1" t="s">
        <v>8885</v>
      </c>
      <c r="MBF1" t="s">
        <v>8886</v>
      </c>
      <c r="MBG1" t="s">
        <v>8887</v>
      </c>
      <c r="MBH1" t="s">
        <v>8888</v>
      </c>
      <c r="MBI1" t="s">
        <v>8889</v>
      </c>
      <c r="MBJ1" t="s">
        <v>8890</v>
      </c>
      <c r="MBK1" t="s">
        <v>8891</v>
      </c>
      <c r="MBL1" t="s">
        <v>8892</v>
      </c>
      <c r="MBM1" t="s">
        <v>8893</v>
      </c>
      <c r="MBN1" t="s">
        <v>8894</v>
      </c>
      <c r="MBO1" t="s">
        <v>8895</v>
      </c>
      <c r="MBP1" t="s">
        <v>8896</v>
      </c>
      <c r="MBQ1" t="s">
        <v>8897</v>
      </c>
      <c r="MBR1" t="s">
        <v>8898</v>
      </c>
      <c r="MBS1" t="s">
        <v>8899</v>
      </c>
      <c r="MBT1" t="s">
        <v>8900</v>
      </c>
      <c r="MBU1" t="s">
        <v>8901</v>
      </c>
      <c r="MBV1" t="s">
        <v>8902</v>
      </c>
      <c r="MBW1" t="s">
        <v>8903</v>
      </c>
      <c r="MBX1" t="s">
        <v>8904</v>
      </c>
      <c r="MBY1" t="s">
        <v>8905</v>
      </c>
      <c r="MBZ1" t="s">
        <v>8906</v>
      </c>
      <c r="MCA1" t="s">
        <v>8907</v>
      </c>
      <c r="MCB1" t="s">
        <v>8908</v>
      </c>
      <c r="MCC1" t="s">
        <v>8909</v>
      </c>
      <c r="MCD1" t="s">
        <v>8910</v>
      </c>
      <c r="MCE1" t="s">
        <v>8911</v>
      </c>
      <c r="MCF1" t="s">
        <v>8912</v>
      </c>
      <c r="MCG1" t="s">
        <v>8913</v>
      </c>
      <c r="MCH1" t="s">
        <v>8914</v>
      </c>
      <c r="MCI1" t="s">
        <v>8915</v>
      </c>
      <c r="MCJ1" t="s">
        <v>8916</v>
      </c>
      <c r="MCK1" t="s">
        <v>8917</v>
      </c>
      <c r="MCL1" t="s">
        <v>8918</v>
      </c>
      <c r="MCM1" t="s">
        <v>8919</v>
      </c>
      <c r="MCN1" t="s">
        <v>8920</v>
      </c>
      <c r="MCO1" t="s">
        <v>8921</v>
      </c>
      <c r="MCP1" t="s">
        <v>8922</v>
      </c>
      <c r="MCQ1" t="s">
        <v>8923</v>
      </c>
      <c r="MCR1" t="s">
        <v>8924</v>
      </c>
      <c r="MCS1" t="s">
        <v>8925</v>
      </c>
      <c r="MCT1" t="s">
        <v>8926</v>
      </c>
      <c r="MCU1" t="s">
        <v>8927</v>
      </c>
      <c r="MCV1" t="s">
        <v>8928</v>
      </c>
      <c r="MCW1" t="s">
        <v>8929</v>
      </c>
      <c r="MCX1" t="s">
        <v>8930</v>
      </c>
      <c r="MCY1" t="s">
        <v>8931</v>
      </c>
      <c r="MCZ1" t="s">
        <v>8932</v>
      </c>
      <c r="MDA1" t="s">
        <v>8933</v>
      </c>
      <c r="MDB1" t="s">
        <v>8934</v>
      </c>
      <c r="MDC1" t="s">
        <v>8935</v>
      </c>
      <c r="MDD1" t="s">
        <v>8936</v>
      </c>
      <c r="MDE1" t="s">
        <v>8937</v>
      </c>
      <c r="MDF1" t="s">
        <v>8938</v>
      </c>
      <c r="MDG1" t="s">
        <v>8939</v>
      </c>
      <c r="MDH1" t="s">
        <v>8940</v>
      </c>
      <c r="MDI1" t="s">
        <v>8941</v>
      </c>
      <c r="MDJ1" t="s">
        <v>8942</v>
      </c>
      <c r="MDK1" t="s">
        <v>8943</v>
      </c>
      <c r="MDL1" t="s">
        <v>8944</v>
      </c>
      <c r="MDM1" t="s">
        <v>8945</v>
      </c>
      <c r="MDN1" t="s">
        <v>8946</v>
      </c>
      <c r="MDO1" t="s">
        <v>8947</v>
      </c>
      <c r="MDP1" t="s">
        <v>8948</v>
      </c>
      <c r="MDQ1" t="s">
        <v>8949</v>
      </c>
      <c r="MDR1" t="s">
        <v>8950</v>
      </c>
      <c r="MDS1" t="s">
        <v>8951</v>
      </c>
      <c r="MDT1" t="s">
        <v>8952</v>
      </c>
      <c r="MDU1" t="s">
        <v>8953</v>
      </c>
      <c r="MDV1" t="s">
        <v>8954</v>
      </c>
      <c r="MDW1" t="s">
        <v>8955</v>
      </c>
      <c r="MDX1" t="s">
        <v>8956</v>
      </c>
      <c r="MDY1" t="s">
        <v>8957</v>
      </c>
      <c r="MDZ1" t="s">
        <v>8958</v>
      </c>
      <c r="MEA1" t="s">
        <v>8959</v>
      </c>
      <c r="MEB1" t="s">
        <v>8960</v>
      </c>
      <c r="MEC1" t="s">
        <v>8961</v>
      </c>
      <c r="MED1" t="s">
        <v>8962</v>
      </c>
      <c r="MEE1" t="s">
        <v>8963</v>
      </c>
      <c r="MEF1" t="s">
        <v>8964</v>
      </c>
      <c r="MEG1" t="s">
        <v>8965</v>
      </c>
      <c r="MEH1" t="s">
        <v>8966</v>
      </c>
      <c r="MEI1" t="s">
        <v>8967</v>
      </c>
      <c r="MEJ1" t="s">
        <v>8968</v>
      </c>
      <c r="MEK1" t="s">
        <v>8969</v>
      </c>
      <c r="MEL1" t="s">
        <v>8970</v>
      </c>
      <c r="MEM1" t="s">
        <v>8971</v>
      </c>
      <c r="MEN1" t="s">
        <v>8972</v>
      </c>
      <c r="MEO1" t="s">
        <v>8973</v>
      </c>
      <c r="MEP1" t="s">
        <v>8974</v>
      </c>
      <c r="MEQ1" t="s">
        <v>8975</v>
      </c>
      <c r="MER1" t="s">
        <v>8976</v>
      </c>
      <c r="MES1" t="s">
        <v>8977</v>
      </c>
      <c r="MET1" t="s">
        <v>8978</v>
      </c>
      <c r="MEU1" t="s">
        <v>8979</v>
      </c>
      <c r="MEV1" t="s">
        <v>8980</v>
      </c>
      <c r="MEW1" t="s">
        <v>8981</v>
      </c>
      <c r="MEX1" t="s">
        <v>8982</v>
      </c>
      <c r="MEY1" t="s">
        <v>8983</v>
      </c>
      <c r="MEZ1" t="s">
        <v>8984</v>
      </c>
      <c r="MFA1" t="s">
        <v>8985</v>
      </c>
      <c r="MFB1" t="s">
        <v>8986</v>
      </c>
      <c r="MFC1" t="s">
        <v>8987</v>
      </c>
      <c r="MFD1" t="s">
        <v>8988</v>
      </c>
      <c r="MFE1" t="s">
        <v>8989</v>
      </c>
      <c r="MFF1" t="s">
        <v>8990</v>
      </c>
      <c r="MFG1" t="s">
        <v>8991</v>
      </c>
      <c r="MFH1" t="s">
        <v>8992</v>
      </c>
      <c r="MFI1" t="s">
        <v>8993</v>
      </c>
      <c r="MFJ1" t="s">
        <v>8994</v>
      </c>
      <c r="MFK1" t="s">
        <v>8995</v>
      </c>
      <c r="MFL1" t="s">
        <v>8996</v>
      </c>
      <c r="MFM1" t="s">
        <v>8997</v>
      </c>
      <c r="MFN1" t="s">
        <v>8998</v>
      </c>
      <c r="MFO1" t="s">
        <v>8999</v>
      </c>
      <c r="MFP1" t="s">
        <v>9000</v>
      </c>
      <c r="MFQ1" t="s">
        <v>9001</v>
      </c>
      <c r="MFR1" t="s">
        <v>9002</v>
      </c>
      <c r="MFS1" t="s">
        <v>9003</v>
      </c>
      <c r="MFT1" t="s">
        <v>9004</v>
      </c>
      <c r="MFU1" t="s">
        <v>9005</v>
      </c>
      <c r="MFV1" t="s">
        <v>9006</v>
      </c>
      <c r="MFW1" t="s">
        <v>9007</v>
      </c>
      <c r="MFX1" t="s">
        <v>9008</v>
      </c>
      <c r="MFY1" t="s">
        <v>9009</v>
      </c>
      <c r="MFZ1" t="s">
        <v>9010</v>
      </c>
      <c r="MGA1" t="s">
        <v>9011</v>
      </c>
      <c r="MGB1" t="s">
        <v>9012</v>
      </c>
      <c r="MGC1" t="s">
        <v>9013</v>
      </c>
      <c r="MGD1" t="s">
        <v>9014</v>
      </c>
      <c r="MGE1" t="s">
        <v>9015</v>
      </c>
      <c r="MGF1" t="s">
        <v>9016</v>
      </c>
      <c r="MGG1" t="s">
        <v>9017</v>
      </c>
      <c r="MGH1" t="s">
        <v>9018</v>
      </c>
      <c r="MGI1" t="s">
        <v>9019</v>
      </c>
      <c r="MGJ1" t="s">
        <v>9020</v>
      </c>
      <c r="MGK1" t="s">
        <v>9021</v>
      </c>
      <c r="MGL1" t="s">
        <v>9022</v>
      </c>
      <c r="MGM1" t="s">
        <v>9023</v>
      </c>
      <c r="MGN1" t="s">
        <v>9024</v>
      </c>
      <c r="MGO1" t="s">
        <v>9025</v>
      </c>
      <c r="MGP1" t="s">
        <v>9026</v>
      </c>
      <c r="MGQ1" t="s">
        <v>9027</v>
      </c>
      <c r="MGR1" t="s">
        <v>9028</v>
      </c>
      <c r="MGS1" t="s">
        <v>9029</v>
      </c>
      <c r="MGT1" t="s">
        <v>9030</v>
      </c>
      <c r="MGU1" t="s">
        <v>9031</v>
      </c>
      <c r="MGV1" t="s">
        <v>9032</v>
      </c>
      <c r="MGW1" t="s">
        <v>9033</v>
      </c>
      <c r="MGX1" t="s">
        <v>9034</v>
      </c>
      <c r="MGY1" t="s">
        <v>9035</v>
      </c>
      <c r="MGZ1" t="s">
        <v>9036</v>
      </c>
      <c r="MHA1" t="s">
        <v>9037</v>
      </c>
      <c r="MHB1" t="s">
        <v>9038</v>
      </c>
      <c r="MHC1" t="s">
        <v>9039</v>
      </c>
      <c r="MHD1" t="s">
        <v>9040</v>
      </c>
      <c r="MHE1" t="s">
        <v>9041</v>
      </c>
      <c r="MHF1" t="s">
        <v>9042</v>
      </c>
      <c r="MHG1" t="s">
        <v>9043</v>
      </c>
      <c r="MHH1" t="s">
        <v>9044</v>
      </c>
      <c r="MHI1" t="s">
        <v>9045</v>
      </c>
      <c r="MHJ1" t="s">
        <v>9046</v>
      </c>
      <c r="MHK1" t="s">
        <v>9047</v>
      </c>
      <c r="MHL1" t="s">
        <v>9048</v>
      </c>
      <c r="MHM1" t="s">
        <v>9049</v>
      </c>
      <c r="MHN1" t="s">
        <v>9050</v>
      </c>
      <c r="MHO1" t="s">
        <v>9051</v>
      </c>
      <c r="MHP1" t="s">
        <v>9052</v>
      </c>
      <c r="MHQ1" t="s">
        <v>9053</v>
      </c>
      <c r="MHR1" t="s">
        <v>9054</v>
      </c>
      <c r="MHS1" t="s">
        <v>9055</v>
      </c>
      <c r="MHT1" t="s">
        <v>9056</v>
      </c>
      <c r="MHU1" t="s">
        <v>9057</v>
      </c>
      <c r="MHV1" t="s">
        <v>9058</v>
      </c>
      <c r="MHW1" t="s">
        <v>9059</v>
      </c>
      <c r="MHX1" t="s">
        <v>9060</v>
      </c>
      <c r="MHY1" t="s">
        <v>9061</v>
      </c>
      <c r="MHZ1" t="s">
        <v>9062</v>
      </c>
      <c r="MIA1" t="s">
        <v>9063</v>
      </c>
      <c r="MIB1" t="s">
        <v>9064</v>
      </c>
      <c r="MIC1" t="s">
        <v>9065</v>
      </c>
      <c r="MID1" t="s">
        <v>9066</v>
      </c>
      <c r="MIE1" t="s">
        <v>9067</v>
      </c>
      <c r="MIF1" t="s">
        <v>9068</v>
      </c>
      <c r="MIG1" t="s">
        <v>9069</v>
      </c>
      <c r="MIH1" t="s">
        <v>9070</v>
      </c>
      <c r="MII1" t="s">
        <v>9071</v>
      </c>
      <c r="MIJ1" t="s">
        <v>9072</v>
      </c>
      <c r="MIK1" t="s">
        <v>9073</v>
      </c>
      <c r="MIL1" t="s">
        <v>9074</v>
      </c>
      <c r="MIM1" t="s">
        <v>9075</v>
      </c>
      <c r="MIN1" t="s">
        <v>9076</v>
      </c>
      <c r="MIO1" t="s">
        <v>9077</v>
      </c>
      <c r="MIP1" t="s">
        <v>9078</v>
      </c>
      <c r="MIQ1" t="s">
        <v>9079</v>
      </c>
      <c r="MIR1" t="s">
        <v>9080</v>
      </c>
      <c r="MIS1" t="s">
        <v>9081</v>
      </c>
      <c r="MIT1" t="s">
        <v>9082</v>
      </c>
      <c r="MIU1" t="s">
        <v>9083</v>
      </c>
      <c r="MIV1" t="s">
        <v>9084</v>
      </c>
      <c r="MIW1" t="s">
        <v>9085</v>
      </c>
      <c r="MIX1" t="s">
        <v>9086</v>
      </c>
      <c r="MIY1" t="s">
        <v>9087</v>
      </c>
      <c r="MIZ1" t="s">
        <v>9088</v>
      </c>
      <c r="MJA1" t="s">
        <v>9089</v>
      </c>
      <c r="MJB1" t="s">
        <v>9090</v>
      </c>
      <c r="MJC1" t="s">
        <v>9091</v>
      </c>
      <c r="MJD1" t="s">
        <v>9092</v>
      </c>
      <c r="MJE1" t="s">
        <v>9093</v>
      </c>
      <c r="MJF1" t="s">
        <v>9094</v>
      </c>
      <c r="MJG1" t="s">
        <v>9095</v>
      </c>
      <c r="MJH1" t="s">
        <v>9096</v>
      </c>
      <c r="MJI1" t="s">
        <v>9097</v>
      </c>
      <c r="MJJ1" t="s">
        <v>9098</v>
      </c>
      <c r="MJK1" t="s">
        <v>9099</v>
      </c>
      <c r="MJL1" t="s">
        <v>9100</v>
      </c>
      <c r="MJM1" t="s">
        <v>9101</v>
      </c>
      <c r="MJN1" t="s">
        <v>9102</v>
      </c>
      <c r="MJO1" t="s">
        <v>9103</v>
      </c>
      <c r="MJP1" t="s">
        <v>9104</v>
      </c>
      <c r="MJQ1" t="s">
        <v>9105</v>
      </c>
      <c r="MJR1" t="s">
        <v>9106</v>
      </c>
      <c r="MJS1" t="s">
        <v>9107</v>
      </c>
      <c r="MJT1" t="s">
        <v>9108</v>
      </c>
      <c r="MJU1" t="s">
        <v>9109</v>
      </c>
      <c r="MJV1" t="s">
        <v>9110</v>
      </c>
      <c r="MJW1" t="s">
        <v>9111</v>
      </c>
      <c r="MJX1" t="s">
        <v>9112</v>
      </c>
      <c r="MJY1" t="s">
        <v>9113</v>
      </c>
      <c r="MJZ1" t="s">
        <v>9114</v>
      </c>
      <c r="MKA1" t="s">
        <v>9115</v>
      </c>
      <c r="MKB1" t="s">
        <v>9116</v>
      </c>
      <c r="MKC1" t="s">
        <v>9117</v>
      </c>
      <c r="MKD1" t="s">
        <v>9118</v>
      </c>
      <c r="MKE1" t="s">
        <v>9119</v>
      </c>
      <c r="MKF1" t="s">
        <v>9120</v>
      </c>
      <c r="MKG1" t="s">
        <v>9121</v>
      </c>
      <c r="MKH1" t="s">
        <v>9122</v>
      </c>
      <c r="MKI1" t="s">
        <v>9123</v>
      </c>
      <c r="MKJ1" t="s">
        <v>9124</v>
      </c>
      <c r="MKK1" t="s">
        <v>9125</v>
      </c>
      <c r="MKL1" t="s">
        <v>9126</v>
      </c>
      <c r="MKM1" t="s">
        <v>9127</v>
      </c>
      <c r="MKN1" t="s">
        <v>9128</v>
      </c>
      <c r="MKO1" t="s">
        <v>9129</v>
      </c>
      <c r="MKP1" t="s">
        <v>9130</v>
      </c>
      <c r="MKQ1" t="s">
        <v>9131</v>
      </c>
      <c r="MKR1" t="s">
        <v>9132</v>
      </c>
      <c r="MKS1" t="s">
        <v>9133</v>
      </c>
      <c r="MKT1" t="s">
        <v>9134</v>
      </c>
      <c r="MKU1" t="s">
        <v>9135</v>
      </c>
      <c r="MKV1" t="s">
        <v>9136</v>
      </c>
      <c r="MKW1" t="s">
        <v>9137</v>
      </c>
      <c r="MKX1" t="s">
        <v>9138</v>
      </c>
      <c r="MKY1" t="s">
        <v>9139</v>
      </c>
      <c r="MKZ1" t="s">
        <v>9140</v>
      </c>
      <c r="MLA1" t="s">
        <v>9141</v>
      </c>
      <c r="MLB1" t="s">
        <v>9142</v>
      </c>
      <c r="MLC1" t="s">
        <v>9143</v>
      </c>
      <c r="MLD1" t="s">
        <v>9144</v>
      </c>
      <c r="MLE1" t="s">
        <v>9145</v>
      </c>
      <c r="MLF1" t="s">
        <v>9146</v>
      </c>
      <c r="MLG1" t="s">
        <v>9147</v>
      </c>
      <c r="MLH1" t="s">
        <v>9148</v>
      </c>
      <c r="MLI1" t="s">
        <v>9149</v>
      </c>
      <c r="MLJ1" t="s">
        <v>9150</v>
      </c>
      <c r="MLK1" t="s">
        <v>9151</v>
      </c>
      <c r="MLL1" t="s">
        <v>9152</v>
      </c>
      <c r="MLM1" t="s">
        <v>9153</v>
      </c>
      <c r="MLN1" t="s">
        <v>9154</v>
      </c>
      <c r="MLO1" t="s">
        <v>9155</v>
      </c>
      <c r="MLP1" t="s">
        <v>9156</v>
      </c>
      <c r="MLQ1" t="s">
        <v>9157</v>
      </c>
      <c r="MLR1" t="s">
        <v>9158</v>
      </c>
      <c r="MLS1" t="s">
        <v>9159</v>
      </c>
      <c r="MLT1" t="s">
        <v>9160</v>
      </c>
      <c r="MLU1" t="s">
        <v>9161</v>
      </c>
      <c r="MLV1" t="s">
        <v>9162</v>
      </c>
      <c r="MLW1" t="s">
        <v>9163</v>
      </c>
      <c r="MLX1" t="s">
        <v>9164</v>
      </c>
      <c r="MLY1" t="s">
        <v>9165</v>
      </c>
      <c r="MLZ1" t="s">
        <v>9166</v>
      </c>
      <c r="MMA1" t="s">
        <v>9167</v>
      </c>
      <c r="MMB1" t="s">
        <v>9168</v>
      </c>
      <c r="MMC1" t="s">
        <v>9169</v>
      </c>
      <c r="MMD1" t="s">
        <v>9170</v>
      </c>
      <c r="MME1" t="s">
        <v>9171</v>
      </c>
      <c r="MMF1" t="s">
        <v>9172</v>
      </c>
      <c r="MMG1" t="s">
        <v>9173</v>
      </c>
      <c r="MMH1" t="s">
        <v>9174</v>
      </c>
      <c r="MMI1" t="s">
        <v>9175</v>
      </c>
      <c r="MMJ1" t="s">
        <v>9176</v>
      </c>
      <c r="MMK1" t="s">
        <v>9177</v>
      </c>
      <c r="MML1" t="s">
        <v>9178</v>
      </c>
      <c r="MMM1" t="s">
        <v>9179</v>
      </c>
      <c r="MMN1" t="s">
        <v>9180</v>
      </c>
      <c r="MMO1" t="s">
        <v>9181</v>
      </c>
      <c r="MMP1" t="s">
        <v>9182</v>
      </c>
      <c r="MMQ1" t="s">
        <v>9183</v>
      </c>
      <c r="MMR1" t="s">
        <v>9184</v>
      </c>
      <c r="MMS1" t="s">
        <v>9185</v>
      </c>
      <c r="MMT1" t="s">
        <v>9186</v>
      </c>
      <c r="MMU1" t="s">
        <v>9187</v>
      </c>
      <c r="MMV1" t="s">
        <v>9188</v>
      </c>
      <c r="MMW1" t="s">
        <v>9189</v>
      </c>
      <c r="MMX1" t="s">
        <v>9190</v>
      </c>
      <c r="MMY1" t="s">
        <v>9191</v>
      </c>
      <c r="MMZ1" t="s">
        <v>9192</v>
      </c>
      <c r="MNA1" t="s">
        <v>9193</v>
      </c>
      <c r="MNB1" t="s">
        <v>9194</v>
      </c>
      <c r="MNC1" t="s">
        <v>9195</v>
      </c>
      <c r="MND1" t="s">
        <v>9196</v>
      </c>
      <c r="MNE1" t="s">
        <v>9197</v>
      </c>
      <c r="MNF1" t="s">
        <v>9198</v>
      </c>
      <c r="MNG1" t="s">
        <v>9199</v>
      </c>
      <c r="MNH1" t="s">
        <v>9200</v>
      </c>
      <c r="MNI1" t="s">
        <v>9201</v>
      </c>
      <c r="MNJ1" t="s">
        <v>9202</v>
      </c>
      <c r="MNK1" t="s">
        <v>9203</v>
      </c>
      <c r="MNL1" t="s">
        <v>9204</v>
      </c>
      <c r="MNM1" t="s">
        <v>9205</v>
      </c>
      <c r="MNN1" t="s">
        <v>9206</v>
      </c>
      <c r="MNO1" t="s">
        <v>9207</v>
      </c>
      <c r="MNP1" t="s">
        <v>9208</v>
      </c>
      <c r="MNQ1" t="s">
        <v>9209</v>
      </c>
      <c r="MNR1" t="s">
        <v>9210</v>
      </c>
      <c r="MNS1" t="s">
        <v>9211</v>
      </c>
      <c r="MNT1" t="s">
        <v>9212</v>
      </c>
      <c r="MNU1" t="s">
        <v>9213</v>
      </c>
      <c r="MNV1" t="s">
        <v>9214</v>
      </c>
      <c r="MNW1" t="s">
        <v>9215</v>
      </c>
      <c r="MNX1" t="s">
        <v>9216</v>
      </c>
      <c r="MNY1" t="s">
        <v>9217</v>
      </c>
      <c r="MNZ1" t="s">
        <v>9218</v>
      </c>
      <c r="MOA1" t="s">
        <v>9219</v>
      </c>
      <c r="MOB1" t="s">
        <v>9220</v>
      </c>
      <c r="MOC1" t="s">
        <v>9221</v>
      </c>
      <c r="MOD1" t="s">
        <v>9222</v>
      </c>
      <c r="MOE1" t="s">
        <v>9223</v>
      </c>
      <c r="MOF1" t="s">
        <v>9224</v>
      </c>
      <c r="MOG1" t="s">
        <v>9225</v>
      </c>
      <c r="MOH1" t="s">
        <v>9226</v>
      </c>
      <c r="MOI1" t="s">
        <v>9227</v>
      </c>
      <c r="MOJ1" t="s">
        <v>9228</v>
      </c>
      <c r="MOK1" t="s">
        <v>9229</v>
      </c>
      <c r="MOL1" t="s">
        <v>9230</v>
      </c>
      <c r="MOM1" t="s">
        <v>9231</v>
      </c>
      <c r="MON1" t="s">
        <v>9232</v>
      </c>
      <c r="MOO1" t="s">
        <v>9233</v>
      </c>
      <c r="MOP1" t="s">
        <v>9234</v>
      </c>
      <c r="MOQ1" t="s">
        <v>9235</v>
      </c>
      <c r="MOR1" t="s">
        <v>9236</v>
      </c>
      <c r="MOS1" t="s">
        <v>9237</v>
      </c>
      <c r="MOT1" t="s">
        <v>9238</v>
      </c>
      <c r="MOU1" t="s">
        <v>9239</v>
      </c>
      <c r="MOV1" t="s">
        <v>9240</v>
      </c>
      <c r="MOW1" t="s">
        <v>9241</v>
      </c>
      <c r="MOX1" t="s">
        <v>9242</v>
      </c>
      <c r="MOY1" t="s">
        <v>9243</v>
      </c>
      <c r="MOZ1" t="s">
        <v>9244</v>
      </c>
      <c r="MPA1" t="s">
        <v>9245</v>
      </c>
      <c r="MPB1" t="s">
        <v>9246</v>
      </c>
      <c r="MPC1" t="s">
        <v>9247</v>
      </c>
      <c r="MPD1" t="s">
        <v>9248</v>
      </c>
      <c r="MPE1" t="s">
        <v>9249</v>
      </c>
      <c r="MPF1" t="s">
        <v>9250</v>
      </c>
      <c r="MPG1" t="s">
        <v>9251</v>
      </c>
      <c r="MPH1" t="s">
        <v>9252</v>
      </c>
      <c r="MPI1" t="s">
        <v>9253</v>
      </c>
      <c r="MPJ1" t="s">
        <v>9254</v>
      </c>
      <c r="MPK1" t="s">
        <v>9255</v>
      </c>
      <c r="MPL1" t="s">
        <v>9256</v>
      </c>
      <c r="MPM1" t="s">
        <v>9257</v>
      </c>
      <c r="MPN1" t="s">
        <v>9258</v>
      </c>
      <c r="MPO1" t="s">
        <v>9259</v>
      </c>
      <c r="MPP1" t="s">
        <v>9260</v>
      </c>
      <c r="MPQ1" t="s">
        <v>9261</v>
      </c>
      <c r="MPR1" t="s">
        <v>9262</v>
      </c>
      <c r="MPS1" t="s">
        <v>9263</v>
      </c>
      <c r="MPT1" t="s">
        <v>9264</v>
      </c>
      <c r="MPU1" t="s">
        <v>9265</v>
      </c>
      <c r="MPV1" t="s">
        <v>9266</v>
      </c>
      <c r="MPW1" t="s">
        <v>9267</v>
      </c>
      <c r="MPX1" t="s">
        <v>9268</v>
      </c>
      <c r="MPY1" t="s">
        <v>9269</v>
      </c>
      <c r="MPZ1" t="s">
        <v>9270</v>
      </c>
      <c r="MQA1" t="s">
        <v>9271</v>
      </c>
      <c r="MQB1" t="s">
        <v>9272</v>
      </c>
      <c r="MQC1" t="s">
        <v>9273</v>
      </c>
      <c r="MQD1" t="s">
        <v>9274</v>
      </c>
      <c r="MQE1" t="s">
        <v>9275</v>
      </c>
      <c r="MQF1" t="s">
        <v>9276</v>
      </c>
      <c r="MQG1" t="s">
        <v>9277</v>
      </c>
      <c r="MQH1" t="s">
        <v>9278</v>
      </c>
      <c r="MQI1" t="s">
        <v>9279</v>
      </c>
      <c r="MQJ1" t="s">
        <v>9280</v>
      </c>
      <c r="MQK1" t="s">
        <v>9281</v>
      </c>
      <c r="MQL1" t="s">
        <v>9282</v>
      </c>
      <c r="MQM1" t="s">
        <v>9283</v>
      </c>
      <c r="MQN1" t="s">
        <v>9284</v>
      </c>
      <c r="MQO1" t="s">
        <v>9285</v>
      </c>
      <c r="MQP1" t="s">
        <v>9286</v>
      </c>
      <c r="MQQ1" t="s">
        <v>9287</v>
      </c>
      <c r="MQR1" t="s">
        <v>9288</v>
      </c>
      <c r="MQS1" t="s">
        <v>9289</v>
      </c>
      <c r="MQT1" t="s">
        <v>9290</v>
      </c>
      <c r="MQU1" t="s">
        <v>9291</v>
      </c>
      <c r="MQV1" t="s">
        <v>9292</v>
      </c>
      <c r="MQW1" t="s">
        <v>9293</v>
      </c>
      <c r="MQX1" t="s">
        <v>9294</v>
      </c>
      <c r="MQY1" t="s">
        <v>9295</v>
      </c>
      <c r="MQZ1" t="s">
        <v>9296</v>
      </c>
      <c r="MRA1" t="s">
        <v>9297</v>
      </c>
      <c r="MRB1" t="s">
        <v>9298</v>
      </c>
      <c r="MRC1" t="s">
        <v>9299</v>
      </c>
      <c r="MRD1" t="s">
        <v>9300</v>
      </c>
      <c r="MRE1" t="s">
        <v>9301</v>
      </c>
      <c r="MRF1" t="s">
        <v>9302</v>
      </c>
      <c r="MRG1" t="s">
        <v>9303</v>
      </c>
      <c r="MRH1" t="s">
        <v>9304</v>
      </c>
      <c r="MRI1" t="s">
        <v>9305</v>
      </c>
      <c r="MRJ1" t="s">
        <v>9306</v>
      </c>
      <c r="MRK1" t="s">
        <v>9307</v>
      </c>
      <c r="MRL1" t="s">
        <v>9308</v>
      </c>
      <c r="MRM1" t="s">
        <v>9309</v>
      </c>
      <c r="MRN1" t="s">
        <v>9310</v>
      </c>
      <c r="MRO1" t="s">
        <v>9311</v>
      </c>
      <c r="MRP1" t="s">
        <v>9312</v>
      </c>
      <c r="MRQ1" t="s">
        <v>9313</v>
      </c>
      <c r="MRR1" t="s">
        <v>9314</v>
      </c>
      <c r="MRS1" t="s">
        <v>9315</v>
      </c>
      <c r="MRT1" t="s">
        <v>9316</v>
      </c>
      <c r="MRU1" t="s">
        <v>9317</v>
      </c>
      <c r="MRV1" t="s">
        <v>9318</v>
      </c>
      <c r="MRW1" t="s">
        <v>9319</v>
      </c>
      <c r="MRX1" t="s">
        <v>9320</v>
      </c>
      <c r="MRY1" t="s">
        <v>9321</v>
      </c>
      <c r="MRZ1" t="s">
        <v>9322</v>
      </c>
      <c r="MSA1" t="s">
        <v>9323</v>
      </c>
      <c r="MSB1" t="s">
        <v>9324</v>
      </c>
      <c r="MSC1" t="s">
        <v>9325</v>
      </c>
      <c r="MSD1" t="s">
        <v>9326</v>
      </c>
      <c r="MSE1" t="s">
        <v>9327</v>
      </c>
      <c r="MSF1" t="s">
        <v>9328</v>
      </c>
      <c r="MSG1" t="s">
        <v>9329</v>
      </c>
      <c r="MSH1" t="s">
        <v>9330</v>
      </c>
      <c r="MSI1" t="s">
        <v>9331</v>
      </c>
      <c r="MSJ1" t="s">
        <v>9332</v>
      </c>
      <c r="MSK1" t="s">
        <v>9333</v>
      </c>
      <c r="MSL1" t="s">
        <v>9334</v>
      </c>
      <c r="MSM1" t="s">
        <v>9335</v>
      </c>
      <c r="MSN1" t="s">
        <v>9336</v>
      </c>
      <c r="MSO1" t="s">
        <v>9337</v>
      </c>
      <c r="MSP1" t="s">
        <v>9338</v>
      </c>
      <c r="MSQ1" t="s">
        <v>9339</v>
      </c>
      <c r="MSR1" t="s">
        <v>9340</v>
      </c>
      <c r="MSS1" t="s">
        <v>9341</v>
      </c>
      <c r="MST1" t="s">
        <v>9342</v>
      </c>
      <c r="MSU1" t="s">
        <v>9343</v>
      </c>
      <c r="MSV1" t="s">
        <v>9344</v>
      </c>
      <c r="MSW1" t="s">
        <v>9345</v>
      </c>
      <c r="MSX1" t="s">
        <v>9346</v>
      </c>
      <c r="MSY1" t="s">
        <v>9347</v>
      </c>
      <c r="MSZ1" t="s">
        <v>9348</v>
      </c>
      <c r="MTA1" t="s">
        <v>9349</v>
      </c>
      <c r="MTB1" t="s">
        <v>9350</v>
      </c>
      <c r="MTC1" t="s">
        <v>9351</v>
      </c>
      <c r="MTD1" t="s">
        <v>9352</v>
      </c>
      <c r="MTE1" t="s">
        <v>9353</v>
      </c>
      <c r="MTF1" t="s">
        <v>9354</v>
      </c>
      <c r="MTG1" t="s">
        <v>9355</v>
      </c>
      <c r="MTH1" t="s">
        <v>9356</v>
      </c>
      <c r="MTI1" t="s">
        <v>9357</v>
      </c>
      <c r="MTJ1" t="s">
        <v>9358</v>
      </c>
      <c r="MTK1" t="s">
        <v>9359</v>
      </c>
      <c r="MTL1" t="s">
        <v>9360</v>
      </c>
      <c r="MTM1" t="s">
        <v>9361</v>
      </c>
      <c r="MTN1" t="s">
        <v>9362</v>
      </c>
      <c r="MTO1" t="s">
        <v>9363</v>
      </c>
      <c r="MTP1" t="s">
        <v>9364</v>
      </c>
      <c r="MTQ1" t="s">
        <v>9365</v>
      </c>
      <c r="MTR1" t="s">
        <v>9366</v>
      </c>
      <c r="MTS1" t="s">
        <v>9367</v>
      </c>
      <c r="MTT1" t="s">
        <v>9368</v>
      </c>
      <c r="MTU1" t="s">
        <v>9369</v>
      </c>
      <c r="MTV1" t="s">
        <v>9370</v>
      </c>
      <c r="MTW1" t="s">
        <v>9371</v>
      </c>
      <c r="MTX1" t="s">
        <v>9372</v>
      </c>
      <c r="MTY1" t="s">
        <v>9373</v>
      </c>
      <c r="MTZ1" t="s">
        <v>9374</v>
      </c>
      <c r="MUA1" t="s">
        <v>9375</v>
      </c>
      <c r="MUB1" t="s">
        <v>9376</v>
      </c>
      <c r="MUC1" t="s">
        <v>9377</v>
      </c>
      <c r="MUD1" t="s">
        <v>9378</v>
      </c>
      <c r="MUE1" t="s">
        <v>9379</v>
      </c>
      <c r="MUF1" t="s">
        <v>9380</v>
      </c>
      <c r="MUG1" t="s">
        <v>9381</v>
      </c>
      <c r="MUH1" t="s">
        <v>9382</v>
      </c>
      <c r="MUI1" t="s">
        <v>9383</v>
      </c>
      <c r="MUJ1" t="s">
        <v>9384</v>
      </c>
      <c r="MUK1" t="s">
        <v>9385</v>
      </c>
      <c r="MUL1" t="s">
        <v>9386</v>
      </c>
      <c r="MUM1" t="s">
        <v>9387</v>
      </c>
      <c r="MUN1" t="s">
        <v>9388</v>
      </c>
      <c r="MUO1" t="s">
        <v>9389</v>
      </c>
      <c r="MUP1" t="s">
        <v>9390</v>
      </c>
      <c r="MUQ1" t="s">
        <v>9391</v>
      </c>
      <c r="MUR1" t="s">
        <v>9392</v>
      </c>
      <c r="MUS1" t="s">
        <v>9393</v>
      </c>
      <c r="MUT1" t="s">
        <v>9394</v>
      </c>
      <c r="MUU1" t="s">
        <v>9395</v>
      </c>
      <c r="MUV1" t="s">
        <v>9396</v>
      </c>
      <c r="MUW1" t="s">
        <v>9397</v>
      </c>
      <c r="MUX1" t="s">
        <v>9398</v>
      </c>
      <c r="MUY1" t="s">
        <v>9399</v>
      </c>
      <c r="MUZ1" t="s">
        <v>9400</v>
      </c>
      <c r="MVA1" t="s">
        <v>9401</v>
      </c>
      <c r="MVB1" t="s">
        <v>9402</v>
      </c>
      <c r="MVC1" t="s">
        <v>9403</v>
      </c>
      <c r="MVD1" t="s">
        <v>9404</v>
      </c>
      <c r="MVE1" t="s">
        <v>9405</v>
      </c>
      <c r="MVF1" t="s">
        <v>9406</v>
      </c>
      <c r="MVG1" t="s">
        <v>9407</v>
      </c>
      <c r="MVH1" t="s">
        <v>9408</v>
      </c>
      <c r="MVI1" t="s">
        <v>9409</v>
      </c>
      <c r="MVJ1" t="s">
        <v>9410</v>
      </c>
      <c r="MVK1" t="s">
        <v>9411</v>
      </c>
      <c r="MVL1" t="s">
        <v>9412</v>
      </c>
      <c r="MVM1" t="s">
        <v>9413</v>
      </c>
      <c r="MVN1" t="s">
        <v>9414</v>
      </c>
      <c r="MVO1" t="s">
        <v>9415</v>
      </c>
      <c r="MVP1" t="s">
        <v>9416</v>
      </c>
      <c r="MVQ1" t="s">
        <v>9417</v>
      </c>
      <c r="MVR1" t="s">
        <v>9418</v>
      </c>
      <c r="MVS1" t="s">
        <v>9419</v>
      </c>
      <c r="MVT1" t="s">
        <v>9420</v>
      </c>
      <c r="MVU1" t="s">
        <v>9421</v>
      </c>
      <c r="MVV1" t="s">
        <v>9422</v>
      </c>
      <c r="MVW1" t="s">
        <v>9423</v>
      </c>
      <c r="MVX1" t="s">
        <v>9424</v>
      </c>
      <c r="MVY1" t="s">
        <v>9425</v>
      </c>
      <c r="MVZ1" t="s">
        <v>9426</v>
      </c>
      <c r="MWA1" t="s">
        <v>9427</v>
      </c>
      <c r="MWB1" t="s">
        <v>9428</v>
      </c>
      <c r="MWC1" t="s">
        <v>9429</v>
      </c>
      <c r="MWD1" t="s">
        <v>9430</v>
      </c>
      <c r="MWE1" t="s">
        <v>9431</v>
      </c>
      <c r="MWF1" t="s">
        <v>9432</v>
      </c>
      <c r="MWG1" t="s">
        <v>9433</v>
      </c>
      <c r="MWH1" t="s">
        <v>9434</v>
      </c>
      <c r="MWI1" t="s">
        <v>9435</v>
      </c>
      <c r="MWJ1" t="s">
        <v>9436</v>
      </c>
      <c r="MWK1" t="s">
        <v>9437</v>
      </c>
      <c r="MWL1" t="s">
        <v>9438</v>
      </c>
      <c r="MWM1" t="s">
        <v>9439</v>
      </c>
      <c r="MWN1" t="s">
        <v>9440</v>
      </c>
      <c r="MWO1" t="s">
        <v>9441</v>
      </c>
      <c r="MWP1" t="s">
        <v>9442</v>
      </c>
      <c r="MWQ1" t="s">
        <v>9443</v>
      </c>
      <c r="MWR1" t="s">
        <v>9444</v>
      </c>
      <c r="MWS1" t="s">
        <v>9445</v>
      </c>
      <c r="MWT1" t="s">
        <v>9446</v>
      </c>
      <c r="MWU1" t="s">
        <v>9447</v>
      </c>
      <c r="MWV1" t="s">
        <v>9448</v>
      </c>
      <c r="MWW1" t="s">
        <v>9449</v>
      </c>
      <c r="MWX1" t="s">
        <v>9450</v>
      </c>
      <c r="MWY1" t="s">
        <v>9451</v>
      </c>
      <c r="MWZ1" t="s">
        <v>9452</v>
      </c>
      <c r="MXA1" t="s">
        <v>9453</v>
      </c>
      <c r="MXB1" t="s">
        <v>9454</v>
      </c>
      <c r="MXC1" t="s">
        <v>9455</v>
      </c>
      <c r="MXD1" t="s">
        <v>9456</v>
      </c>
      <c r="MXE1" t="s">
        <v>9457</v>
      </c>
      <c r="MXF1" t="s">
        <v>9458</v>
      </c>
      <c r="MXG1" t="s">
        <v>9459</v>
      </c>
      <c r="MXH1" t="s">
        <v>9460</v>
      </c>
      <c r="MXI1" t="s">
        <v>9461</v>
      </c>
      <c r="MXJ1" t="s">
        <v>9462</v>
      </c>
      <c r="MXK1" t="s">
        <v>9463</v>
      </c>
      <c r="MXL1" t="s">
        <v>9464</v>
      </c>
      <c r="MXM1" t="s">
        <v>9465</v>
      </c>
      <c r="MXN1" t="s">
        <v>9466</v>
      </c>
      <c r="MXO1" t="s">
        <v>9467</v>
      </c>
      <c r="MXP1" t="s">
        <v>9468</v>
      </c>
      <c r="MXQ1" t="s">
        <v>9469</v>
      </c>
      <c r="MXR1" t="s">
        <v>9470</v>
      </c>
      <c r="MXS1" t="s">
        <v>9471</v>
      </c>
      <c r="MXT1" t="s">
        <v>9472</v>
      </c>
      <c r="MXU1" t="s">
        <v>9473</v>
      </c>
      <c r="MXV1" t="s">
        <v>9474</v>
      </c>
      <c r="MXW1" t="s">
        <v>9475</v>
      </c>
      <c r="MXX1" t="s">
        <v>9476</v>
      </c>
      <c r="MXY1" t="s">
        <v>9477</v>
      </c>
      <c r="MXZ1" t="s">
        <v>9478</v>
      </c>
      <c r="MYA1" t="s">
        <v>9479</v>
      </c>
      <c r="MYB1" t="s">
        <v>9480</v>
      </c>
      <c r="MYC1" t="s">
        <v>9481</v>
      </c>
      <c r="MYD1" t="s">
        <v>9482</v>
      </c>
      <c r="MYE1" t="s">
        <v>9483</v>
      </c>
      <c r="MYF1" t="s">
        <v>9484</v>
      </c>
      <c r="MYG1" t="s">
        <v>9485</v>
      </c>
      <c r="MYH1" t="s">
        <v>9486</v>
      </c>
      <c r="MYI1" t="s">
        <v>9487</v>
      </c>
      <c r="MYJ1" t="s">
        <v>9488</v>
      </c>
      <c r="MYK1" t="s">
        <v>9489</v>
      </c>
      <c r="MYL1" t="s">
        <v>9490</v>
      </c>
      <c r="MYM1" t="s">
        <v>9491</v>
      </c>
      <c r="MYN1" t="s">
        <v>9492</v>
      </c>
      <c r="MYO1" t="s">
        <v>9493</v>
      </c>
      <c r="MYP1" t="s">
        <v>9494</v>
      </c>
      <c r="MYQ1" t="s">
        <v>9495</v>
      </c>
      <c r="MYR1" t="s">
        <v>9496</v>
      </c>
      <c r="MYS1" t="s">
        <v>9497</v>
      </c>
      <c r="MYT1" t="s">
        <v>9498</v>
      </c>
      <c r="MYU1" t="s">
        <v>9499</v>
      </c>
      <c r="MYV1" t="s">
        <v>9500</v>
      </c>
      <c r="MYW1" t="s">
        <v>9501</v>
      </c>
      <c r="MYX1" t="s">
        <v>9502</v>
      </c>
      <c r="MYY1" t="s">
        <v>9503</v>
      </c>
      <c r="MYZ1" t="s">
        <v>9504</v>
      </c>
      <c r="MZA1" t="s">
        <v>9505</v>
      </c>
      <c r="MZB1" t="s">
        <v>9506</v>
      </c>
      <c r="MZC1" t="s">
        <v>9507</v>
      </c>
      <c r="MZD1" t="s">
        <v>9508</v>
      </c>
      <c r="MZE1" t="s">
        <v>9509</v>
      </c>
      <c r="MZF1" t="s">
        <v>9510</v>
      </c>
      <c r="MZG1" t="s">
        <v>9511</v>
      </c>
      <c r="MZH1" t="s">
        <v>9512</v>
      </c>
      <c r="MZI1" t="s">
        <v>9513</v>
      </c>
      <c r="MZJ1" t="s">
        <v>9514</v>
      </c>
      <c r="MZK1" t="s">
        <v>9515</v>
      </c>
      <c r="MZL1" t="s">
        <v>9516</v>
      </c>
      <c r="MZM1" t="s">
        <v>9517</v>
      </c>
      <c r="MZN1" t="s">
        <v>9518</v>
      </c>
      <c r="MZO1" t="s">
        <v>9519</v>
      </c>
      <c r="MZP1" t="s">
        <v>9520</v>
      </c>
      <c r="MZQ1" t="s">
        <v>9521</v>
      </c>
      <c r="MZR1" t="s">
        <v>9522</v>
      </c>
      <c r="MZS1" t="s">
        <v>9523</v>
      </c>
      <c r="MZT1" t="s">
        <v>9524</v>
      </c>
      <c r="MZU1" t="s">
        <v>9525</v>
      </c>
      <c r="MZV1" t="s">
        <v>9526</v>
      </c>
      <c r="MZW1" t="s">
        <v>9527</v>
      </c>
      <c r="MZX1" t="s">
        <v>9528</v>
      </c>
      <c r="MZY1" t="s">
        <v>9529</v>
      </c>
      <c r="MZZ1" t="s">
        <v>9530</v>
      </c>
      <c r="NAA1" t="s">
        <v>9531</v>
      </c>
      <c r="NAB1" t="s">
        <v>9532</v>
      </c>
      <c r="NAC1" t="s">
        <v>9533</v>
      </c>
      <c r="NAD1" t="s">
        <v>9534</v>
      </c>
      <c r="NAE1" t="s">
        <v>9535</v>
      </c>
      <c r="NAF1" t="s">
        <v>9536</v>
      </c>
      <c r="NAG1" t="s">
        <v>9537</v>
      </c>
      <c r="NAH1" t="s">
        <v>9538</v>
      </c>
      <c r="NAI1" t="s">
        <v>9539</v>
      </c>
      <c r="NAJ1" t="s">
        <v>9540</v>
      </c>
      <c r="NAK1" t="s">
        <v>9541</v>
      </c>
      <c r="NAL1" t="s">
        <v>9542</v>
      </c>
      <c r="NAM1" t="s">
        <v>9543</v>
      </c>
      <c r="NAN1" t="s">
        <v>9544</v>
      </c>
      <c r="NAO1" t="s">
        <v>9545</v>
      </c>
      <c r="NAP1" t="s">
        <v>9546</v>
      </c>
      <c r="NAQ1" t="s">
        <v>9547</v>
      </c>
      <c r="NAR1" t="s">
        <v>9548</v>
      </c>
      <c r="NAS1" t="s">
        <v>9549</v>
      </c>
      <c r="NAT1" t="s">
        <v>9550</v>
      </c>
      <c r="NAU1" t="s">
        <v>9551</v>
      </c>
      <c r="NAV1" t="s">
        <v>9552</v>
      </c>
      <c r="NAW1" t="s">
        <v>9553</v>
      </c>
      <c r="NAX1" t="s">
        <v>9554</v>
      </c>
      <c r="NAY1" t="s">
        <v>9555</v>
      </c>
      <c r="NAZ1" t="s">
        <v>9556</v>
      </c>
      <c r="NBA1" t="s">
        <v>9557</v>
      </c>
      <c r="NBB1" t="s">
        <v>9558</v>
      </c>
      <c r="NBC1" t="s">
        <v>9559</v>
      </c>
      <c r="NBD1" t="s">
        <v>9560</v>
      </c>
      <c r="NBE1" t="s">
        <v>9561</v>
      </c>
      <c r="NBF1" t="s">
        <v>9562</v>
      </c>
      <c r="NBG1" t="s">
        <v>9563</v>
      </c>
      <c r="NBH1" t="s">
        <v>9564</v>
      </c>
      <c r="NBI1" t="s">
        <v>9565</v>
      </c>
      <c r="NBJ1" t="s">
        <v>9566</v>
      </c>
      <c r="NBK1" t="s">
        <v>9567</v>
      </c>
      <c r="NBL1" t="s">
        <v>9568</v>
      </c>
      <c r="NBM1" t="s">
        <v>9569</v>
      </c>
      <c r="NBN1" t="s">
        <v>9570</v>
      </c>
      <c r="NBO1" t="s">
        <v>9571</v>
      </c>
      <c r="NBP1" t="s">
        <v>9572</v>
      </c>
      <c r="NBQ1" t="s">
        <v>9573</v>
      </c>
      <c r="NBR1" t="s">
        <v>9574</v>
      </c>
      <c r="NBS1" t="s">
        <v>9575</v>
      </c>
      <c r="NBT1" t="s">
        <v>9576</v>
      </c>
      <c r="NBU1" t="s">
        <v>9577</v>
      </c>
      <c r="NBV1" t="s">
        <v>9578</v>
      </c>
      <c r="NBW1" t="s">
        <v>9579</v>
      </c>
      <c r="NBX1" t="s">
        <v>9580</v>
      </c>
      <c r="NBY1" t="s">
        <v>9581</v>
      </c>
      <c r="NBZ1" t="s">
        <v>9582</v>
      </c>
      <c r="NCA1" t="s">
        <v>9583</v>
      </c>
      <c r="NCB1" t="s">
        <v>9584</v>
      </c>
      <c r="NCC1" t="s">
        <v>9585</v>
      </c>
      <c r="NCD1" t="s">
        <v>9586</v>
      </c>
      <c r="NCE1" t="s">
        <v>9587</v>
      </c>
      <c r="NCF1" t="s">
        <v>9588</v>
      </c>
      <c r="NCG1" t="s">
        <v>9589</v>
      </c>
      <c r="NCH1" t="s">
        <v>9590</v>
      </c>
      <c r="NCI1" t="s">
        <v>9591</v>
      </c>
      <c r="NCJ1" t="s">
        <v>9592</v>
      </c>
      <c r="NCK1" t="s">
        <v>9593</v>
      </c>
      <c r="NCL1" t="s">
        <v>9594</v>
      </c>
      <c r="NCM1" t="s">
        <v>9595</v>
      </c>
      <c r="NCN1" t="s">
        <v>9596</v>
      </c>
      <c r="NCO1" t="s">
        <v>9597</v>
      </c>
      <c r="NCP1" t="s">
        <v>9598</v>
      </c>
      <c r="NCQ1" t="s">
        <v>9599</v>
      </c>
      <c r="NCR1" t="s">
        <v>9600</v>
      </c>
      <c r="NCS1" t="s">
        <v>9601</v>
      </c>
      <c r="NCT1" t="s">
        <v>9602</v>
      </c>
      <c r="NCU1" t="s">
        <v>9603</v>
      </c>
      <c r="NCV1" t="s">
        <v>9604</v>
      </c>
      <c r="NCW1" t="s">
        <v>9605</v>
      </c>
      <c r="NCX1" t="s">
        <v>9606</v>
      </c>
      <c r="NCY1" t="s">
        <v>9607</v>
      </c>
      <c r="NCZ1" t="s">
        <v>9608</v>
      </c>
      <c r="NDA1" t="s">
        <v>9609</v>
      </c>
      <c r="NDB1" t="s">
        <v>9610</v>
      </c>
      <c r="NDC1" t="s">
        <v>9611</v>
      </c>
      <c r="NDD1" t="s">
        <v>9612</v>
      </c>
      <c r="NDE1" t="s">
        <v>9613</v>
      </c>
      <c r="NDF1" t="s">
        <v>9614</v>
      </c>
      <c r="NDG1" t="s">
        <v>9615</v>
      </c>
      <c r="NDH1" t="s">
        <v>9616</v>
      </c>
      <c r="NDI1" t="s">
        <v>9617</v>
      </c>
      <c r="NDJ1" t="s">
        <v>9618</v>
      </c>
      <c r="NDK1" t="s">
        <v>9619</v>
      </c>
      <c r="NDL1" t="s">
        <v>9620</v>
      </c>
      <c r="NDM1" t="s">
        <v>9621</v>
      </c>
      <c r="NDN1" t="s">
        <v>9622</v>
      </c>
      <c r="NDO1" t="s">
        <v>9623</v>
      </c>
      <c r="NDP1" t="s">
        <v>9624</v>
      </c>
      <c r="NDQ1" t="s">
        <v>9625</v>
      </c>
      <c r="NDR1" t="s">
        <v>9626</v>
      </c>
      <c r="NDS1" t="s">
        <v>9627</v>
      </c>
      <c r="NDT1" t="s">
        <v>9628</v>
      </c>
      <c r="NDU1" t="s">
        <v>9629</v>
      </c>
      <c r="NDV1" t="s">
        <v>9630</v>
      </c>
      <c r="NDW1" t="s">
        <v>9631</v>
      </c>
      <c r="NDX1" t="s">
        <v>9632</v>
      </c>
      <c r="NDY1" t="s">
        <v>9633</v>
      </c>
      <c r="NDZ1" t="s">
        <v>9634</v>
      </c>
      <c r="NEA1" t="s">
        <v>9635</v>
      </c>
      <c r="NEB1" t="s">
        <v>9636</v>
      </c>
      <c r="NEC1" t="s">
        <v>9637</v>
      </c>
      <c r="NED1" t="s">
        <v>9638</v>
      </c>
      <c r="NEE1" t="s">
        <v>9639</v>
      </c>
      <c r="NEF1" t="s">
        <v>9640</v>
      </c>
      <c r="NEG1" t="s">
        <v>9641</v>
      </c>
      <c r="NEH1" t="s">
        <v>9642</v>
      </c>
      <c r="NEI1" t="s">
        <v>9643</v>
      </c>
      <c r="NEJ1" t="s">
        <v>9644</v>
      </c>
      <c r="NEK1" t="s">
        <v>9645</v>
      </c>
      <c r="NEL1" t="s">
        <v>9646</v>
      </c>
      <c r="NEM1" t="s">
        <v>9647</v>
      </c>
      <c r="NEN1" t="s">
        <v>9648</v>
      </c>
      <c r="NEO1" t="s">
        <v>9649</v>
      </c>
      <c r="NEP1" t="s">
        <v>9650</v>
      </c>
      <c r="NEQ1" t="s">
        <v>9651</v>
      </c>
      <c r="NER1" t="s">
        <v>9652</v>
      </c>
      <c r="NES1" t="s">
        <v>9653</v>
      </c>
      <c r="NET1" t="s">
        <v>9654</v>
      </c>
      <c r="NEU1" t="s">
        <v>9655</v>
      </c>
      <c r="NEV1" t="s">
        <v>9656</v>
      </c>
      <c r="NEW1" t="s">
        <v>9657</v>
      </c>
      <c r="NEX1" t="s">
        <v>9658</v>
      </c>
      <c r="NEY1" t="s">
        <v>9659</v>
      </c>
      <c r="NEZ1" t="s">
        <v>9660</v>
      </c>
      <c r="NFA1" t="s">
        <v>9661</v>
      </c>
      <c r="NFB1" t="s">
        <v>9662</v>
      </c>
      <c r="NFC1" t="s">
        <v>9663</v>
      </c>
      <c r="NFD1" t="s">
        <v>9664</v>
      </c>
      <c r="NFE1" t="s">
        <v>9665</v>
      </c>
      <c r="NFF1" t="s">
        <v>9666</v>
      </c>
      <c r="NFG1" t="s">
        <v>9667</v>
      </c>
      <c r="NFH1" t="s">
        <v>9668</v>
      </c>
      <c r="NFI1" t="s">
        <v>9669</v>
      </c>
      <c r="NFJ1" t="s">
        <v>9670</v>
      </c>
      <c r="NFK1" t="s">
        <v>9671</v>
      </c>
      <c r="NFL1" t="s">
        <v>9672</v>
      </c>
      <c r="NFM1" t="s">
        <v>9673</v>
      </c>
      <c r="NFN1" t="s">
        <v>9674</v>
      </c>
      <c r="NFO1" t="s">
        <v>9675</v>
      </c>
      <c r="NFP1" t="s">
        <v>9676</v>
      </c>
      <c r="NFQ1" t="s">
        <v>9677</v>
      </c>
      <c r="NFR1" t="s">
        <v>9678</v>
      </c>
      <c r="NFS1" t="s">
        <v>9679</v>
      </c>
      <c r="NFT1" t="s">
        <v>9680</v>
      </c>
      <c r="NFU1" t="s">
        <v>9681</v>
      </c>
      <c r="NFV1" t="s">
        <v>9682</v>
      </c>
      <c r="NFW1" t="s">
        <v>9683</v>
      </c>
      <c r="NFX1" t="s">
        <v>9684</v>
      </c>
      <c r="NFY1" t="s">
        <v>9685</v>
      </c>
      <c r="NFZ1" t="s">
        <v>9686</v>
      </c>
      <c r="NGA1" t="s">
        <v>9687</v>
      </c>
      <c r="NGB1" t="s">
        <v>9688</v>
      </c>
      <c r="NGC1" t="s">
        <v>9689</v>
      </c>
      <c r="NGD1" t="s">
        <v>9690</v>
      </c>
      <c r="NGE1" t="s">
        <v>9691</v>
      </c>
      <c r="NGF1" t="s">
        <v>9692</v>
      </c>
      <c r="NGG1" t="s">
        <v>9693</v>
      </c>
      <c r="NGH1" t="s">
        <v>9694</v>
      </c>
      <c r="NGI1" t="s">
        <v>9695</v>
      </c>
      <c r="NGJ1" t="s">
        <v>9696</v>
      </c>
      <c r="NGK1" t="s">
        <v>9697</v>
      </c>
      <c r="NGL1" t="s">
        <v>9698</v>
      </c>
      <c r="NGM1" t="s">
        <v>9699</v>
      </c>
      <c r="NGN1" t="s">
        <v>9700</v>
      </c>
      <c r="NGO1" t="s">
        <v>9701</v>
      </c>
      <c r="NGP1" t="s">
        <v>9702</v>
      </c>
      <c r="NGQ1" t="s">
        <v>9703</v>
      </c>
      <c r="NGR1" t="s">
        <v>9704</v>
      </c>
      <c r="NGS1" t="s">
        <v>9705</v>
      </c>
      <c r="NGT1" t="s">
        <v>9706</v>
      </c>
      <c r="NGU1" t="s">
        <v>9707</v>
      </c>
      <c r="NGV1" t="s">
        <v>9708</v>
      </c>
      <c r="NGW1" t="s">
        <v>9709</v>
      </c>
      <c r="NGX1" t="s">
        <v>9710</v>
      </c>
      <c r="NGY1" t="s">
        <v>9711</v>
      </c>
      <c r="NGZ1" t="s">
        <v>9712</v>
      </c>
      <c r="NHA1" t="s">
        <v>9713</v>
      </c>
      <c r="NHB1" t="s">
        <v>9714</v>
      </c>
      <c r="NHC1" t="s">
        <v>9715</v>
      </c>
      <c r="NHD1" t="s">
        <v>9716</v>
      </c>
      <c r="NHE1" t="s">
        <v>9717</v>
      </c>
      <c r="NHF1" t="s">
        <v>9718</v>
      </c>
      <c r="NHG1" t="s">
        <v>9719</v>
      </c>
      <c r="NHH1" t="s">
        <v>9720</v>
      </c>
      <c r="NHI1" t="s">
        <v>9721</v>
      </c>
      <c r="NHJ1" t="s">
        <v>9722</v>
      </c>
      <c r="NHK1" t="s">
        <v>9723</v>
      </c>
      <c r="NHL1" t="s">
        <v>9724</v>
      </c>
      <c r="NHM1" t="s">
        <v>9725</v>
      </c>
      <c r="NHN1" t="s">
        <v>9726</v>
      </c>
      <c r="NHO1" t="s">
        <v>9727</v>
      </c>
      <c r="NHP1" t="s">
        <v>9728</v>
      </c>
      <c r="NHQ1" t="s">
        <v>9729</v>
      </c>
      <c r="NHR1" t="s">
        <v>9730</v>
      </c>
      <c r="NHS1" t="s">
        <v>9731</v>
      </c>
      <c r="NHT1" t="s">
        <v>9732</v>
      </c>
      <c r="NHU1" t="s">
        <v>9733</v>
      </c>
      <c r="NHV1" t="s">
        <v>9734</v>
      </c>
      <c r="NHW1" t="s">
        <v>9735</v>
      </c>
      <c r="NHX1" t="s">
        <v>9736</v>
      </c>
      <c r="NHY1" t="s">
        <v>9737</v>
      </c>
      <c r="NHZ1" t="s">
        <v>9738</v>
      </c>
      <c r="NIA1" t="s">
        <v>9739</v>
      </c>
      <c r="NIB1" t="s">
        <v>9740</v>
      </c>
      <c r="NIC1" t="s">
        <v>9741</v>
      </c>
      <c r="NID1" t="s">
        <v>9742</v>
      </c>
      <c r="NIE1" t="s">
        <v>9743</v>
      </c>
      <c r="NIF1" t="s">
        <v>9744</v>
      </c>
      <c r="NIG1" t="s">
        <v>9745</v>
      </c>
      <c r="NIH1" t="s">
        <v>9746</v>
      </c>
      <c r="NII1" t="s">
        <v>9747</v>
      </c>
      <c r="NIJ1" t="s">
        <v>9748</v>
      </c>
      <c r="NIK1" t="s">
        <v>9749</v>
      </c>
      <c r="NIL1" t="s">
        <v>9750</v>
      </c>
      <c r="NIM1" t="s">
        <v>9751</v>
      </c>
      <c r="NIN1" t="s">
        <v>9752</v>
      </c>
      <c r="NIO1" t="s">
        <v>9753</v>
      </c>
      <c r="NIP1" t="s">
        <v>9754</v>
      </c>
      <c r="NIQ1" t="s">
        <v>9755</v>
      </c>
      <c r="NIR1" t="s">
        <v>9756</v>
      </c>
      <c r="NIS1" t="s">
        <v>9757</v>
      </c>
      <c r="NIT1" t="s">
        <v>9758</v>
      </c>
      <c r="NIU1" t="s">
        <v>9759</v>
      </c>
      <c r="NIV1" t="s">
        <v>9760</v>
      </c>
      <c r="NIW1" t="s">
        <v>9761</v>
      </c>
      <c r="NIX1" t="s">
        <v>9762</v>
      </c>
      <c r="NIY1" t="s">
        <v>9763</v>
      </c>
      <c r="NIZ1" t="s">
        <v>9764</v>
      </c>
      <c r="NJA1" t="s">
        <v>9765</v>
      </c>
      <c r="NJB1" t="s">
        <v>9766</v>
      </c>
      <c r="NJC1" t="s">
        <v>9767</v>
      </c>
      <c r="NJD1" t="s">
        <v>9768</v>
      </c>
      <c r="NJE1" t="s">
        <v>9769</v>
      </c>
      <c r="NJF1" t="s">
        <v>9770</v>
      </c>
      <c r="NJG1" t="s">
        <v>9771</v>
      </c>
      <c r="NJH1" t="s">
        <v>9772</v>
      </c>
      <c r="NJI1" t="s">
        <v>9773</v>
      </c>
      <c r="NJJ1" t="s">
        <v>9774</v>
      </c>
      <c r="NJK1" t="s">
        <v>9775</v>
      </c>
      <c r="NJL1" t="s">
        <v>9776</v>
      </c>
      <c r="NJM1" t="s">
        <v>9777</v>
      </c>
      <c r="NJN1" t="s">
        <v>9778</v>
      </c>
      <c r="NJO1" t="s">
        <v>9779</v>
      </c>
      <c r="NJP1" t="s">
        <v>9780</v>
      </c>
      <c r="NJQ1" t="s">
        <v>9781</v>
      </c>
      <c r="NJR1" t="s">
        <v>9782</v>
      </c>
      <c r="NJS1" t="s">
        <v>9783</v>
      </c>
      <c r="NJT1" t="s">
        <v>9784</v>
      </c>
      <c r="NJU1" t="s">
        <v>9785</v>
      </c>
      <c r="NJV1" t="s">
        <v>9786</v>
      </c>
      <c r="NJW1" t="s">
        <v>9787</v>
      </c>
      <c r="NJX1" t="s">
        <v>9788</v>
      </c>
      <c r="NJY1" t="s">
        <v>9789</v>
      </c>
      <c r="NJZ1" t="s">
        <v>9790</v>
      </c>
      <c r="NKA1" t="s">
        <v>9791</v>
      </c>
      <c r="NKB1" t="s">
        <v>9792</v>
      </c>
      <c r="NKC1" t="s">
        <v>9793</v>
      </c>
      <c r="NKD1" t="s">
        <v>9794</v>
      </c>
      <c r="NKE1" t="s">
        <v>9795</v>
      </c>
      <c r="NKF1" t="s">
        <v>9796</v>
      </c>
      <c r="NKG1" t="s">
        <v>9797</v>
      </c>
      <c r="NKH1" t="s">
        <v>9798</v>
      </c>
      <c r="NKI1" t="s">
        <v>9799</v>
      </c>
      <c r="NKJ1" t="s">
        <v>9800</v>
      </c>
      <c r="NKK1" t="s">
        <v>9801</v>
      </c>
      <c r="NKL1" t="s">
        <v>9802</v>
      </c>
      <c r="NKM1" t="s">
        <v>9803</v>
      </c>
      <c r="NKN1" t="s">
        <v>9804</v>
      </c>
      <c r="NKO1" t="s">
        <v>9805</v>
      </c>
      <c r="NKP1" t="s">
        <v>9806</v>
      </c>
      <c r="NKQ1" t="s">
        <v>9807</v>
      </c>
      <c r="NKR1" t="s">
        <v>9808</v>
      </c>
      <c r="NKS1" t="s">
        <v>9809</v>
      </c>
      <c r="NKT1" t="s">
        <v>9810</v>
      </c>
      <c r="NKU1" t="s">
        <v>9811</v>
      </c>
      <c r="NKV1" t="s">
        <v>9812</v>
      </c>
      <c r="NKW1" t="s">
        <v>9813</v>
      </c>
      <c r="NKX1" t="s">
        <v>9814</v>
      </c>
      <c r="NKY1" t="s">
        <v>9815</v>
      </c>
      <c r="NKZ1" t="s">
        <v>9816</v>
      </c>
      <c r="NLA1" t="s">
        <v>9817</v>
      </c>
      <c r="NLB1" t="s">
        <v>9818</v>
      </c>
      <c r="NLC1" t="s">
        <v>9819</v>
      </c>
      <c r="NLD1" t="s">
        <v>9820</v>
      </c>
      <c r="NLE1" t="s">
        <v>9821</v>
      </c>
      <c r="NLF1" t="s">
        <v>9822</v>
      </c>
      <c r="NLG1" t="s">
        <v>9823</v>
      </c>
      <c r="NLH1" t="s">
        <v>9824</v>
      </c>
      <c r="NLI1" t="s">
        <v>9825</v>
      </c>
      <c r="NLJ1" t="s">
        <v>9826</v>
      </c>
      <c r="NLK1" t="s">
        <v>9827</v>
      </c>
      <c r="NLL1" t="s">
        <v>9828</v>
      </c>
      <c r="NLM1" t="s">
        <v>9829</v>
      </c>
      <c r="NLN1" t="s">
        <v>9830</v>
      </c>
      <c r="NLO1" t="s">
        <v>9831</v>
      </c>
      <c r="NLP1" t="s">
        <v>9832</v>
      </c>
      <c r="NLQ1" t="s">
        <v>9833</v>
      </c>
      <c r="NLR1" t="s">
        <v>9834</v>
      </c>
      <c r="NLS1" t="s">
        <v>9835</v>
      </c>
      <c r="NLT1" t="s">
        <v>9836</v>
      </c>
      <c r="NLU1" t="s">
        <v>9837</v>
      </c>
      <c r="NLV1" t="s">
        <v>9838</v>
      </c>
      <c r="NLW1" t="s">
        <v>9839</v>
      </c>
      <c r="NLX1" t="s">
        <v>9840</v>
      </c>
      <c r="NLY1" t="s">
        <v>9841</v>
      </c>
      <c r="NLZ1" t="s">
        <v>9842</v>
      </c>
      <c r="NMA1" t="s">
        <v>9843</v>
      </c>
      <c r="NMB1" t="s">
        <v>9844</v>
      </c>
      <c r="NMC1" t="s">
        <v>9845</v>
      </c>
      <c r="NMD1" t="s">
        <v>9846</v>
      </c>
      <c r="NME1" t="s">
        <v>9847</v>
      </c>
      <c r="NMF1" t="s">
        <v>9848</v>
      </c>
      <c r="NMG1" t="s">
        <v>9849</v>
      </c>
      <c r="NMH1" t="s">
        <v>9850</v>
      </c>
      <c r="NMI1" t="s">
        <v>9851</v>
      </c>
      <c r="NMJ1" t="s">
        <v>9852</v>
      </c>
      <c r="NMK1" t="s">
        <v>9853</v>
      </c>
      <c r="NML1" t="s">
        <v>9854</v>
      </c>
      <c r="NMM1" t="s">
        <v>9855</v>
      </c>
      <c r="NMN1" t="s">
        <v>9856</v>
      </c>
      <c r="NMO1" t="s">
        <v>9857</v>
      </c>
      <c r="NMP1" t="s">
        <v>9858</v>
      </c>
      <c r="NMQ1" t="s">
        <v>9859</v>
      </c>
      <c r="NMR1" t="s">
        <v>9860</v>
      </c>
      <c r="NMS1" t="s">
        <v>9861</v>
      </c>
      <c r="NMT1" t="s">
        <v>9862</v>
      </c>
      <c r="NMU1" t="s">
        <v>9863</v>
      </c>
      <c r="NMV1" t="s">
        <v>9864</v>
      </c>
      <c r="NMW1" t="s">
        <v>9865</v>
      </c>
      <c r="NMX1" t="s">
        <v>9866</v>
      </c>
      <c r="NMY1" t="s">
        <v>9867</v>
      </c>
      <c r="NMZ1" t="s">
        <v>9868</v>
      </c>
      <c r="NNA1" t="s">
        <v>9869</v>
      </c>
      <c r="NNB1" t="s">
        <v>9870</v>
      </c>
      <c r="NNC1" t="s">
        <v>9871</v>
      </c>
      <c r="NND1" t="s">
        <v>9872</v>
      </c>
      <c r="NNE1" t="s">
        <v>9873</v>
      </c>
      <c r="NNF1" t="s">
        <v>9874</v>
      </c>
      <c r="NNG1" t="s">
        <v>9875</v>
      </c>
      <c r="NNH1" t="s">
        <v>9876</v>
      </c>
      <c r="NNI1" t="s">
        <v>9877</v>
      </c>
      <c r="NNJ1" t="s">
        <v>9878</v>
      </c>
      <c r="NNK1" t="s">
        <v>9879</v>
      </c>
      <c r="NNL1" t="s">
        <v>9880</v>
      </c>
      <c r="NNM1" t="s">
        <v>9881</v>
      </c>
      <c r="NNN1" t="s">
        <v>9882</v>
      </c>
      <c r="NNO1" t="s">
        <v>9883</v>
      </c>
      <c r="NNP1" t="s">
        <v>9884</v>
      </c>
      <c r="NNQ1" t="s">
        <v>9885</v>
      </c>
      <c r="NNR1" t="s">
        <v>9886</v>
      </c>
      <c r="NNS1" t="s">
        <v>9887</v>
      </c>
      <c r="NNT1" t="s">
        <v>9888</v>
      </c>
      <c r="NNU1" t="s">
        <v>9889</v>
      </c>
      <c r="NNV1" t="s">
        <v>9890</v>
      </c>
      <c r="NNW1" t="s">
        <v>9891</v>
      </c>
      <c r="NNX1" t="s">
        <v>9892</v>
      </c>
      <c r="NNY1" t="s">
        <v>9893</v>
      </c>
      <c r="NNZ1" t="s">
        <v>9894</v>
      </c>
      <c r="NOA1" t="s">
        <v>9895</v>
      </c>
      <c r="NOB1" t="s">
        <v>9896</v>
      </c>
      <c r="NOC1" t="s">
        <v>9897</v>
      </c>
      <c r="NOD1" t="s">
        <v>9898</v>
      </c>
      <c r="NOE1" t="s">
        <v>9899</v>
      </c>
      <c r="NOF1" t="s">
        <v>9900</v>
      </c>
      <c r="NOG1" t="s">
        <v>9901</v>
      </c>
      <c r="NOH1" t="s">
        <v>9902</v>
      </c>
      <c r="NOI1" t="s">
        <v>9903</v>
      </c>
      <c r="NOJ1" t="s">
        <v>9904</v>
      </c>
      <c r="NOK1" t="s">
        <v>9905</v>
      </c>
      <c r="NOL1" t="s">
        <v>9906</v>
      </c>
      <c r="NOM1" t="s">
        <v>9907</v>
      </c>
      <c r="NON1" t="s">
        <v>9908</v>
      </c>
      <c r="NOO1" t="s">
        <v>9909</v>
      </c>
      <c r="NOP1" t="s">
        <v>9910</v>
      </c>
      <c r="NOQ1" t="s">
        <v>9911</v>
      </c>
      <c r="NOR1" t="s">
        <v>9912</v>
      </c>
      <c r="NOS1" t="s">
        <v>9913</v>
      </c>
      <c r="NOT1" t="s">
        <v>9914</v>
      </c>
      <c r="NOU1" t="s">
        <v>9915</v>
      </c>
      <c r="NOV1" t="s">
        <v>9916</v>
      </c>
      <c r="NOW1" t="s">
        <v>9917</v>
      </c>
      <c r="NOX1" t="s">
        <v>9918</v>
      </c>
      <c r="NOY1" t="s">
        <v>9919</v>
      </c>
      <c r="NOZ1" t="s">
        <v>9920</v>
      </c>
      <c r="NPA1" t="s">
        <v>9921</v>
      </c>
      <c r="NPB1" t="s">
        <v>9922</v>
      </c>
      <c r="NPC1" t="s">
        <v>9923</v>
      </c>
      <c r="NPD1" t="s">
        <v>9924</v>
      </c>
      <c r="NPE1" t="s">
        <v>9925</v>
      </c>
      <c r="NPF1" t="s">
        <v>9926</v>
      </c>
      <c r="NPG1" t="s">
        <v>9927</v>
      </c>
      <c r="NPH1" t="s">
        <v>9928</v>
      </c>
      <c r="NPI1" t="s">
        <v>9929</v>
      </c>
      <c r="NPJ1" t="s">
        <v>9930</v>
      </c>
      <c r="NPK1" t="s">
        <v>9931</v>
      </c>
      <c r="NPL1" t="s">
        <v>9932</v>
      </c>
      <c r="NPM1" t="s">
        <v>9933</v>
      </c>
      <c r="NPN1" t="s">
        <v>9934</v>
      </c>
      <c r="NPO1" t="s">
        <v>9935</v>
      </c>
      <c r="NPP1" t="s">
        <v>9936</v>
      </c>
      <c r="NPQ1" t="s">
        <v>9937</v>
      </c>
      <c r="NPR1" t="s">
        <v>9938</v>
      </c>
      <c r="NPS1" t="s">
        <v>9939</v>
      </c>
      <c r="NPT1" t="s">
        <v>9940</v>
      </c>
      <c r="NPU1" t="s">
        <v>9941</v>
      </c>
      <c r="NPV1" t="s">
        <v>9942</v>
      </c>
      <c r="NPW1" t="s">
        <v>9943</v>
      </c>
      <c r="NPX1" t="s">
        <v>9944</v>
      </c>
      <c r="NPY1" t="s">
        <v>9945</v>
      </c>
      <c r="NPZ1" t="s">
        <v>9946</v>
      </c>
      <c r="NQA1" t="s">
        <v>9947</v>
      </c>
      <c r="NQB1" t="s">
        <v>9948</v>
      </c>
      <c r="NQC1" t="s">
        <v>9949</v>
      </c>
      <c r="NQD1" t="s">
        <v>9950</v>
      </c>
      <c r="NQE1" t="s">
        <v>9951</v>
      </c>
      <c r="NQF1" t="s">
        <v>9952</v>
      </c>
      <c r="NQG1" t="s">
        <v>9953</v>
      </c>
      <c r="NQH1" t="s">
        <v>9954</v>
      </c>
      <c r="NQI1" t="s">
        <v>9955</v>
      </c>
      <c r="NQJ1" t="s">
        <v>9956</v>
      </c>
      <c r="NQK1" t="s">
        <v>9957</v>
      </c>
      <c r="NQL1" t="s">
        <v>9958</v>
      </c>
      <c r="NQM1" t="s">
        <v>9959</v>
      </c>
      <c r="NQN1" t="s">
        <v>9960</v>
      </c>
      <c r="NQO1" t="s">
        <v>9961</v>
      </c>
      <c r="NQP1" t="s">
        <v>9962</v>
      </c>
      <c r="NQQ1" t="s">
        <v>9963</v>
      </c>
      <c r="NQR1" t="s">
        <v>9964</v>
      </c>
      <c r="NQS1" t="s">
        <v>9965</v>
      </c>
      <c r="NQT1" t="s">
        <v>9966</v>
      </c>
      <c r="NQU1" t="s">
        <v>9967</v>
      </c>
      <c r="NQV1" t="s">
        <v>9968</v>
      </c>
      <c r="NQW1" t="s">
        <v>9969</v>
      </c>
      <c r="NQX1" t="s">
        <v>9970</v>
      </c>
      <c r="NQY1" t="s">
        <v>9971</v>
      </c>
      <c r="NQZ1" t="s">
        <v>9972</v>
      </c>
      <c r="NRA1" t="s">
        <v>9973</v>
      </c>
      <c r="NRB1" t="s">
        <v>9974</v>
      </c>
      <c r="NRC1" t="s">
        <v>9975</v>
      </c>
      <c r="NRD1" t="s">
        <v>9976</v>
      </c>
      <c r="NRE1" t="s">
        <v>9977</v>
      </c>
      <c r="NRF1" t="s">
        <v>9978</v>
      </c>
      <c r="NRG1" t="s">
        <v>9979</v>
      </c>
      <c r="NRH1" t="s">
        <v>9980</v>
      </c>
      <c r="NRI1" t="s">
        <v>9981</v>
      </c>
      <c r="NRJ1" t="s">
        <v>9982</v>
      </c>
      <c r="NRK1" t="s">
        <v>9983</v>
      </c>
      <c r="NRL1" t="s">
        <v>9984</v>
      </c>
      <c r="NRM1" t="s">
        <v>9985</v>
      </c>
      <c r="NRN1" t="s">
        <v>9986</v>
      </c>
      <c r="NRO1" t="s">
        <v>9987</v>
      </c>
      <c r="NRP1" t="s">
        <v>9988</v>
      </c>
      <c r="NRQ1" t="s">
        <v>9989</v>
      </c>
      <c r="NRR1" t="s">
        <v>9990</v>
      </c>
      <c r="NRS1" t="s">
        <v>9991</v>
      </c>
      <c r="NRT1" t="s">
        <v>9992</v>
      </c>
      <c r="NRU1" t="s">
        <v>9993</v>
      </c>
      <c r="NRV1" t="s">
        <v>9994</v>
      </c>
      <c r="NRW1" t="s">
        <v>9995</v>
      </c>
      <c r="NRX1" t="s">
        <v>9996</v>
      </c>
      <c r="NRY1" t="s">
        <v>9997</v>
      </c>
      <c r="NRZ1" t="s">
        <v>9998</v>
      </c>
      <c r="NSA1" t="s">
        <v>9999</v>
      </c>
      <c r="NSB1" t="s">
        <v>10000</v>
      </c>
      <c r="NSC1" t="s">
        <v>10001</v>
      </c>
      <c r="NSD1" t="s">
        <v>10002</v>
      </c>
      <c r="NSE1" t="s">
        <v>10003</v>
      </c>
      <c r="NSF1" t="s">
        <v>10004</v>
      </c>
      <c r="NSG1" t="s">
        <v>10005</v>
      </c>
      <c r="NSH1" t="s">
        <v>10006</v>
      </c>
      <c r="NSI1" t="s">
        <v>10007</v>
      </c>
      <c r="NSJ1" t="s">
        <v>10008</v>
      </c>
      <c r="NSK1" t="s">
        <v>10009</v>
      </c>
      <c r="NSL1" t="s">
        <v>10010</v>
      </c>
      <c r="NSM1" t="s">
        <v>10011</v>
      </c>
      <c r="NSN1" t="s">
        <v>10012</v>
      </c>
      <c r="NSO1" t="s">
        <v>10013</v>
      </c>
      <c r="NSP1" t="s">
        <v>10014</v>
      </c>
      <c r="NSQ1" t="s">
        <v>10015</v>
      </c>
      <c r="NSR1" t="s">
        <v>10016</v>
      </c>
      <c r="NSS1" t="s">
        <v>10017</v>
      </c>
      <c r="NST1" t="s">
        <v>10018</v>
      </c>
      <c r="NSU1" t="s">
        <v>10019</v>
      </c>
      <c r="NSV1" t="s">
        <v>10020</v>
      </c>
      <c r="NSW1" t="s">
        <v>10021</v>
      </c>
      <c r="NSX1" t="s">
        <v>10022</v>
      </c>
      <c r="NSY1" t="s">
        <v>10023</v>
      </c>
      <c r="NSZ1" t="s">
        <v>10024</v>
      </c>
      <c r="NTA1" t="s">
        <v>10025</v>
      </c>
      <c r="NTB1" t="s">
        <v>10026</v>
      </c>
      <c r="NTC1" t="s">
        <v>10027</v>
      </c>
      <c r="NTD1" t="s">
        <v>10028</v>
      </c>
      <c r="NTE1" t="s">
        <v>10029</v>
      </c>
      <c r="NTF1" t="s">
        <v>10030</v>
      </c>
      <c r="NTG1" t="s">
        <v>10031</v>
      </c>
      <c r="NTH1" t="s">
        <v>10032</v>
      </c>
      <c r="NTI1" t="s">
        <v>10033</v>
      </c>
      <c r="NTJ1" t="s">
        <v>10034</v>
      </c>
      <c r="NTK1" t="s">
        <v>10035</v>
      </c>
      <c r="NTL1" t="s">
        <v>10036</v>
      </c>
      <c r="NTM1" t="s">
        <v>10037</v>
      </c>
      <c r="NTN1" t="s">
        <v>10038</v>
      </c>
      <c r="NTO1" t="s">
        <v>10039</v>
      </c>
      <c r="NTP1" t="s">
        <v>10040</v>
      </c>
      <c r="NTQ1" t="s">
        <v>10041</v>
      </c>
      <c r="NTR1" t="s">
        <v>10042</v>
      </c>
      <c r="NTS1" t="s">
        <v>10043</v>
      </c>
      <c r="NTT1" t="s">
        <v>10044</v>
      </c>
      <c r="NTU1" t="s">
        <v>10045</v>
      </c>
      <c r="NTV1" t="s">
        <v>10046</v>
      </c>
      <c r="NTW1" t="s">
        <v>10047</v>
      </c>
      <c r="NTX1" t="s">
        <v>10048</v>
      </c>
      <c r="NTY1" t="s">
        <v>10049</v>
      </c>
      <c r="NTZ1" t="s">
        <v>10050</v>
      </c>
      <c r="NUA1" t="s">
        <v>10051</v>
      </c>
      <c r="NUB1" t="s">
        <v>10052</v>
      </c>
      <c r="NUC1" t="s">
        <v>10053</v>
      </c>
      <c r="NUD1" t="s">
        <v>10054</v>
      </c>
      <c r="NUE1" t="s">
        <v>10055</v>
      </c>
      <c r="NUF1" t="s">
        <v>10056</v>
      </c>
      <c r="NUG1" t="s">
        <v>10057</v>
      </c>
      <c r="NUH1" t="s">
        <v>10058</v>
      </c>
      <c r="NUI1" t="s">
        <v>10059</v>
      </c>
      <c r="NUJ1" t="s">
        <v>10060</v>
      </c>
      <c r="NUK1" t="s">
        <v>10061</v>
      </c>
      <c r="NUL1" t="s">
        <v>10062</v>
      </c>
      <c r="NUM1" t="s">
        <v>10063</v>
      </c>
      <c r="NUN1" t="s">
        <v>10064</v>
      </c>
      <c r="NUO1" t="s">
        <v>10065</v>
      </c>
      <c r="NUP1" t="s">
        <v>10066</v>
      </c>
      <c r="NUQ1" t="s">
        <v>10067</v>
      </c>
      <c r="NUR1" t="s">
        <v>10068</v>
      </c>
      <c r="NUS1" t="s">
        <v>10069</v>
      </c>
      <c r="NUT1" t="s">
        <v>10070</v>
      </c>
      <c r="NUU1" t="s">
        <v>10071</v>
      </c>
      <c r="NUV1" t="s">
        <v>10072</v>
      </c>
      <c r="NUW1" t="s">
        <v>10073</v>
      </c>
      <c r="NUX1" t="s">
        <v>10074</v>
      </c>
      <c r="NUY1" t="s">
        <v>10075</v>
      </c>
      <c r="NUZ1" t="s">
        <v>10076</v>
      </c>
      <c r="NVA1" t="s">
        <v>10077</v>
      </c>
      <c r="NVB1" t="s">
        <v>10078</v>
      </c>
      <c r="NVC1" t="s">
        <v>10079</v>
      </c>
      <c r="NVD1" t="s">
        <v>10080</v>
      </c>
      <c r="NVE1" t="s">
        <v>10081</v>
      </c>
      <c r="NVF1" t="s">
        <v>10082</v>
      </c>
      <c r="NVG1" t="s">
        <v>10083</v>
      </c>
      <c r="NVH1" t="s">
        <v>10084</v>
      </c>
      <c r="NVI1" t="s">
        <v>10085</v>
      </c>
      <c r="NVJ1" t="s">
        <v>10086</v>
      </c>
      <c r="NVK1" t="s">
        <v>10087</v>
      </c>
      <c r="NVL1" t="s">
        <v>10088</v>
      </c>
      <c r="NVM1" t="s">
        <v>10089</v>
      </c>
      <c r="NVN1" t="s">
        <v>10090</v>
      </c>
      <c r="NVO1" t="s">
        <v>10091</v>
      </c>
      <c r="NVP1" t="s">
        <v>10092</v>
      </c>
      <c r="NVQ1" t="s">
        <v>10093</v>
      </c>
      <c r="NVR1" t="s">
        <v>10094</v>
      </c>
      <c r="NVS1" t="s">
        <v>10095</v>
      </c>
      <c r="NVT1" t="s">
        <v>10096</v>
      </c>
      <c r="NVU1" t="s">
        <v>10097</v>
      </c>
      <c r="NVV1" t="s">
        <v>10098</v>
      </c>
      <c r="NVW1" t="s">
        <v>10099</v>
      </c>
      <c r="NVX1" t="s">
        <v>10100</v>
      </c>
      <c r="NVY1" t="s">
        <v>10101</v>
      </c>
      <c r="NVZ1" t="s">
        <v>10102</v>
      </c>
      <c r="NWA1" t="s">
        <v>10103</v>
      </c>
      <c r="NWB1" t="s">
        <v>10104</v>
      </c>
      <c r="NWC1" t="s">
        <v>10105</v>
      </c>
      <c r="NWD1" t="s">
        <v>10106</v>
      </c>
      <c r="NWE1" t="s">
        <v>10107</v>
      </c>
      <c r="NWF1" t="s">
        <v>10108</v>
      </c>
      <c r="NWG1" t="s">
        <v>10109</v>
      </c>
      <c r="NWH1" t="s">
        <v>10110</v>
      </c>
      <c r="NWI1" t="s">
        <v>10111</v>
      </c>
      <c r="NWJ1" t="s">
        <v>10112</v>
      </c>
      <c r="NWK1" t="s">
        <v>10113</v>
      </c>
      <c r="NWL1" t="s">
        <v>10114</v>
      </c>
      <c r="NWM1" t="s">
        <v>10115</v>
      </c>
      <c r="NWN1" t="s">
        <v>10116</v>
      </c>
      <c r="NWO1" t="s">
        <v>10117</v>
      </c>
      <c r="NWP1" t="s">
        <v>10118</v>
      </c>
      <c r="NWQ1" t="s">
        <v>10119</v>
      </c>
      <c r="NWR1" t="s">
        <v>10120</v>
      </c>
      <c r="NWS1" t="s">
        <v>10121</v>
      </c>
      <c r="NWT1" t="s">
        <v>10122</v>
      </c>
      <c r="NWU1" t="s">
        <v>10123</v>
      </c>
      <c r="NWV1" t="s">
        <v>10124</v>
      </c>
      <c r="NWW1" t="s">
        <v>10125</v>
      </c>
      <c r="NWX1" t="s">
        <v>10126</v>
      </c>
      <c r="NWY1" t="s">
        <v>10127</v>
      </c>
      <c r="NWZ1" t="s">
        <v>10128</v>
      </c>
      <c r="NXA1" t="s">
        <v>10129</v>
      </c>
      <c r="NXB1" t="s">
        <v>10130</v>
      </c>
      <c r="NXC1" t="s">
        <v>10131</v>
      </c>
      <c r="NXD1" t="s">
        <v>10132</v>
      </c>
      <c r="NXE1" t="s">
        <v>10133</v>
      </c>
      <c r="NXF1" t="s">
        <v>10134</v>
      </c>
      <c r="NXG1" t="s">
        <v>10135</v>
      </c>
      <c r="NXH1" t="s">
        <v>10136</v>
      </c>
      <c r="NXI1" t="s">
        <v>10137</v>
      </c>
      <c r="NXJ1" t="s">
        <v>10138</v>
      </c>
      <c r="NXK1" t="s">
        <v>10139</v>
      </c>
      <c r="NXL1" t="s">
        <v>10140</v>
      </c>
      <c r="NXM1" t="s">
        <v>10141</v>
      </c>
      <c r="NXN1" t="s">
        <v>10142</v>
      </c>
      <c r="NXO1" t="s">
        <v>10143</v>
      </c>
      <c r="NXP1" t="s">
        <v>10144</v>
      </c>
      <c r="NXQ1" t="s">
        <v>10145</v>
      </c>
      <c r="NXR1" t="s">
        <v>10146</v>
      </c>
      <c r="NXS1" t="s">
        <v>10147</v>
      </c>
      <c r="NXT1" t="s">
        <v>10148</v>
      </c>
      <c r="NXU1" t="s">
        <v>10149</v>
      </c>
      <c r="NXV1" t="s">
        <v>10150</v>
      </c>
      <c r="NXW1" t="s">
        <v>10151</v>
      </c>
      <c r="NXX1" t="s">
        <v>10152</v>
      </c>
      <c r="NXY1" t="s">
        <v>10153</v>
      </c>
      <c r="NXZ1" t="s">
        <v>10154</v>
      </c>
      <c r="NYA1" t="s">
        <v>10155</v>
      </c>
      <c r="NYB1" t="s">
        <v>10156</v>
      </c>
      <c r="NYC1" t="s">
        <v>10157</v>
      </c>
      <c r="NYD1" t="s">
        <v>10158</v>
      </c>
      <c r="NYE1" t="s">
        <v>10159</v>
      </c>
      <c r="NYF1" t="s">
        <v>10160</v>
      </c>
      <c r="NYG1" t="s">
        <v>10161</v>
      </c>
      <c r="NYH1" t="s">
        <v>10162</v>
      </c>
      <c r="NYI1" t="s">
        <v>10163</v>
      </c>
      <c r="NYJ1" t="s">
        <v>10164</v>
      </c>
      <c r="NYK1" t="s">
        <v>10165</v>
      </c>
      <c r="NYL1" t="s">
        <v>10166</v>
      </c>
      <c r="NYM1" t="s">
        <v>10167</v>
      </c>
      <c r="NYN1" t="s">
        <v>10168</v>
      </c>
      <c r="NYO1" t="s">
        <v>10169</v>
      </c>
      <c r="NYP1" t="s">
        <v>10170</v>
      </c>
      <c r="NYQ1" t="s">
        <v>10171</v>
      </c>
      <c r="NYR1" t="s">
        <v>10172</v>
      </c>
      <c r="NYS1" t="s">
        <v>10173</v>
      </c>
      <c r="NYT1" t="s">
        <v>10174</v>
      </c>
      <c r="NYU1" t="s">
        <v>10175</v>
      </c>
      <c r="NYV1" t="s">
        <v>10176</v>
      </c>
      <c r="NYW1" t="s">
        <v>10177</v>
      </c>
      <c r="NYX1" t="s">
        <v>10178</v>
      </c>
      <c r="NYY1" t="s">
        <v>10179</v>
      </c>
      <c r="NYZ1" t="s">
        <v>10180</v>
      </c>
      <c r="NZA1" t="s">
        <v>10181</v>
      </c>
      <c r="NZB1" t="s">
        <v>10182</v>
      </c>
      <c r="NZC1" t="s">
        <v>10183</v>
      </c>
      <c r="NZD1" t="s">
        <v>10184</v>
      </c>
      <c r="NZE1" t="s">
        <v>10185</v>
      </c>
      <c r="NZF1" t="s">
        <v>10186</v>
      </c>
      <c r="NZG1" t="s">
        <v>10187</v>
      </c>
      <c r="NZH1" t="s">
        <v>10188</v>
      </c>
      <c r="NZI1" t="s">
        <v>10189</v>
      </c>
      <c r="NZJ1" t="s">
        <v>10190</v>
      </c>
      <c r="NZK1" t="s">
        <v>10191</v>
      </c>
      <c r="NZL1" t="s">
        <v>10192</v>
      </c>
      <c r="NZM1" t="s">
        <v>10193</v>
      </c>
      <c r="NZN1" t="s">
        <v>10194</v>
      </c>
      <c r="NZO1" t="s">
        <v>10195</v>
      </c>
      <c r="NZP1" t="s">
        <v>10196</v>
      </c>
      <c r="NZQ1" t="s">
        <v>10197</v>
      </c>
      <c r="NZR1" t="s">
        <v>10198</v>
      </c>
      <c r="NZS1" t="s">
        <v>10199</v>
      </c>
      <c r="NZT1" t="s">
        <v>10200</v>
      </c>
      <c r="NZU1" t="s">
        <v>10201</v>
      </c>
      <c r="NZV1" t="s">
        <v>10202</v>
      </c>
      <c r="NZW1" t="s">
        <v>10203</v>
      </c>
      <c r="NZX1" t="s">
        <v>10204</v>
      </c>
      <c r="NZY1" t="s">
        <v>10205</v>
      </c>
      <c r="NZZ1" t="s">
        <v>10206</v>
      </c>
      <c r="OAA1" t="s">
        <v>10207</v>
      </c>
      <c r="OAB1" t="s">
        <v>10208</v>
      </c>
      <c r="OAC1" t="s">
        <v>10209</v>
      </c>
      <c r="OAD1" t="s">
        <v>10210</v>
      </c>
      <c r="OAE1" t="s">
        <v>10211</v>
      </c>
      <c r="OAF1" t="s">
        <v>10212</v>
      </c>
      <c r="OAG1" t="s">
        <v>10213</v>
      </c>
      <c r="OAH1" t="s">
        <v>10214</v>
      </c>
      <c r="OAI1" t="s">
        <v>10215</v>
      </c>
      <c r="OAJ1" t="s">
        <v>10216</v>
      </c>
      <c r="OAK1" t="s">
        <v>10217</v>
      </c>
      <c r="OAL1" t="s">
        <v>10218</v>
      </c>
      <c r="OAM1" t="s">
        <v>10219</v>
      </c>
      <c r="OAN1" t="s">
        <v>10220</v>
      </c>
      <c r="OAO1" t="s">
        <v>10221</v>
      </c>
      <c r="OAP1" t="s">
        <v>10222</v>
      </c>
      <c r="OAQ1" t="s">
        <v>10223</v>
      </c>
      <c r="OAR1" t="s">
        <v>10224</v>
      </c>
      <c r="OAS1" t="s">
        <v>10225</v>
      </c>
      <c r="OAT1" t="s">
        <v>10226</v>
      </c>
      <c r="OAU1" t="s">
        <v>10227</v>
      </c>
      <c r="OAV1" t="s">
        <v>10228</v>
      </c>
      <c r="OAW1" t="s">
        <v>10229</v>
      </c>
      <c r="OAX1" t="s">
        <v>10230</v>
      </c>
      <c r="OAY1" t="s">
        <v>10231</v>
      </c>
      <c r="OAZ1" t="s">
        <v>10232</v>
      </c>
      <c r="OBA1" t="s">
        <v>10233</v>
      </c>
      <c r="OBB1" t="s">
        <v>10234</v>
      </c>
      <c r="OBC1" t="s">
        <v>10235</v>
      </c>
      <c r="OBD1" t="s">
        <v>10236</v>
      </c>
      <c r="OBE1" t="s">
        <v>10237</v>
      </c>
      <c r="OBF1" t="s">
        <v>10238</v>
      </c>
      <c r="OBG1" t="s">
        <v>10239</v>
      </c>
      <c r="OBH1" t="s">
        <v>10240</v>
      </c>
      <c r="OBI1" t="s">
        <v>10241</v>
      </c>
      <c r="OBJ1" t="s">
        <v>10242</v>
      </c>
      <c r="OBK1" t="s">
        <v>10243</v>
      </c>
      <c r="OBL1" t="s">
        <v>10244</v>
      </c>
      <c r="OBM1" t="s">
        <v>10245</v>
      </c>
      <c r="OBN1" t="s">
        <v>10246</v>
      </c>
      <c r="OBO1" t="s">
        <v>10247</v>
      </c>
      <c r="OBP1" t="s">
        <v>10248</v>
      </c>
      <c r="OBQ1" t="s">
        <v>10249</v>
      </c>
      <c r="OBR1" t="s">
        <v>10250</v>
      </c>
      <c r="OBS1" t="s">
        <v>10251</v>
      </c>
      <c r="OBT1" t="s">
        <v>10252</v>
      </c>
      <c r="OBU1" t="s">
        <v>10253</v>
      </c>
      <c r="OBV1" t="s">
        <v>10254</v>
      </c>
      <c r="OBW1" t="s">
        <v>10255</v>
      </c>
      <c r="OBX1" t="s">
        <v>10256</v>
      </c>
      <c r="OBY1" t="s">
        <v>10257</v>
      </c>
      <c r="OBZ1" t="s">
        <v>10258</v>
      </c>
      <c r="OCA1" t="s">
        <v>10259</v>
      </c>
      <c r="OCB1" t="s">
        <v>10260</v>
      </c>
      <c r="OCC1" t="s">
        <v>10261</v>
      </c>
      <c r="OCD1" t="s">
        <v>10262</v>
      </c>
      <c r="OCE1" t="s">
        <v>10263</v>
      </c>
      <c r="OCF1" t="s">
        <v>10264</v>
      </c>
      <c r="OCG1" t="s">
        <v>10265</v>
      </c>
      <c r="OCH1" t="s">
        <v>10266</v>
      </c>
      <c r="OCI1" t="s">
        <v>10267</v>
      </c>
      <c r="OCJ1" t="s">
        <v>10268</v>
      </c>
      <c r="OCK1" t="s">
        <v>10269</v>
      </c>
      <c r="OCL1" t="s">
        <v>10270</v>
      </c>
      <c r="OCM1" t="s">
        <v>10271</v>
      </c>
      <c r="OCN1" t="s">
        <v>10272</v>
      </c>
      <c r="OCO1" t="s">
        <v>10273</v>
      </c>
      <c r="OCP1" t="s">
        <v>10274</v>
      </c>
      <c r="OCQ1" t="s">
        <v>10275</v>
      </c>
      <c r="OCR1" t="s">
        <v>10276</v>
      </c>
      <c r="OCS1" t="s">
        <v>10277</v>
      </c>
      <c r="OCT1" t="s">
        <v>10278</v>
      </c>
      <c r="OCU1" t="s">
        <v>10279</v>
      </c>
      <c r="OCV1" t="s">
        <v>10280</v>
      </c>
      <c r="OCW1" t="s">
        <v>10281</v>
      </c>
      <c r="OCX1" t="s">
        <v>10282</v>
      </c>
      <c r="OCY1" t="s">
        <v>10283</v>
      </c>
      <c r="OCZ1" t="s">
        <v>10284</v>
      </c>
      <c r="ODA1" t="s">
        <v>10285</v>
      </c>
      <c r="ODB1" t="s">
        <v>10286</v>
      </c>
      <c r="ODC1" t="s">
        <v>10287</v>
      </c>
      <c r="ODD1" t="s">
        <v>10288</v>
      </c>
      <c r="ODE1" t="s">
        <v>10289</v>
      </c>
      <c r="ODF1" t="s">
        <v>10290</v>
      </c>
      <c r="ODG1" t="s">
        <v>10291</v>
      </c>
      <c r="ODH1" t="s">
        <v>10292</v>
      </c>
      <c r="ODI1" t="s">
        <v>10293</v>
      </c>
      <c r="ODJ1" t="s">
        <v>10294</v>
      </c>
      <c r="ODK1" t="s">
        <v>10295</v>
      </c>
      <c r="ODL1" t="s">
        <v>10296</v>
      </c>
      <c r="ODM1" t="s">
        <v>10297</v>
      </c>
      <c r="ODN1" t="s">
        <v>10298</v>
      </c>
      <c r="ODO1" t="s">
        <v>10299</v>
      </c>
      <c r="ODP1" t="s">
        <v>10300</v>
      </c>
      <c r="ODQ1" t="s">
        <v>10301</v>
      </c>
      <c r="ODR1" t="s">
        <v>10302</v>
      </c>
      <c r="ODS1" t="s">
        <v>10303</v>
      </c>
      <c r="ODT1" t="s">
        <v>10304</v>
      </c>
      <c r="ODU1" t="s">
        <v>10305</v>
      </c>
      <c r="ODV1" t="s">
        <v>10306</v>
      </c>
      <c r="ODW1" t="s">
        <v>10307</v>
      </c>
      <c r="ODX1" t="s">
        <v>10308</v>
      </c>
      <c r="ODY1" t="s">
        <v>10309</v>
      </c>
      <c r="ODZ1" t="s">
        <v>10310</v>
      </c>
      <c r="OEA1" t="s">
        <v>10311</v>
      </c>
      <c r="OEB1" t="s">
        <v>10312</v>
      </c>
      <c r="OEC1" t="s">
        <v>10313</v>
      </c>
      <c r="OED1" t="s">
        <v>10314</v>
      </c>
      <c r="OEE1" t="s">
        <v>10315</v>
      </c>
      <c r="OEF1" t="s">
        <v>10316</v>
      </c>
      <c r="OEG1" t="s">
        <v>10317</v>
      </c>
      <c r="OEH1" t="s">
        <v>10318</v>
      </c>
      <c r="OEI1" t="s">
        <v>10319</v>
      </c>
      <c r="OEJ1" t="s">
        <v>10320</v>
      </c>
      <c r="OEK1" t="s">
        <v>10321</v>
      </c>
      <c r="OEL1" t="s">
        <v>10322</v>
      </c>
      <c r="OEM1" t="s">
        <v>10323</v>
      </c>
      <c r="OEN1" t="s">
        <v>10324</v>
      </c>
      <c r="OEO1" t="s">
        <v>10325</v>
      </c>
      <c r="OEP1" t="s">
        <v>10326</v>
      </c>
      <c r="OEQ1" t="s">
        <v>10327</v>
      </c>
      <c r="OER1" t="s">
        <v>10328</v>
      </c>
      <c r="OES1" t="s">
        <v>10329</v>
      </c>
      <c r="OET1" t="s">
        <v>10330</v>
      </c>
      <c r="OEU1" t="s">
        <v>10331</v>
      </c>
      <c r="OEV1" t="s">
        <v>10332</v>
      </c>
      <c r="OEW1" t="s">
        <v>10333</v>
      </c>
      <c r="OEX1" t="s">
        <v>10334</v>
      </c>
      <c r="OEY1" t="s">
        <v>10335</v>
      </c>
      <c r="OEZ1" t="s">
        <v>10336</v>
      </c>
      <c r="OFA1" t="s">
        <v>10337</v>
      </c>
      <c r="OFB1" t="s">
        <v>10338</v>
      </c>
      <c r="OFC1" t="s">
        <v>10339</v>
      </c>
      <c r="OFD1" t="s">
        <v>10340</v>
      </c>
      <c r="OFE1" t="s">
        <v>10341</v>
      </c>
      <c r="OFF1" t="s">
        <v>10342</v>
      </c>
      <c r="OFG1" t="s">
        <v>10343</v>
      </c>
      <c r="OFH1" t="s">
        <v>10344</v>
      </c>
      <c r="OFI1" t="s">
        <v>10345</v>
      </c>
      <c r="OFJ1" t="s">
        <v>10346</v>
      </c>
      <c r="OFK1" t="s">
        <v>10347</v>
      </c>
      <c r="OFL1" t="s">
        <v>10348</v>
      </c>
      <c r="OFM1" t="s">
        <v>10349</v>
      </c>
      <c r="OFN1" t="s">
        <v>10350</v>
      </c>
      <c r="OFO1" t="s">
        <v>10351</v>
      </c>
      <c r="OFP1" t="s">
        <v>10352</v>
      </c>
      <c r="OFQ1" t="s">
        <v>10353</v>
      </c>
      <c r="OFR1" t="s">
        <v>10354</v>
      </c>
      <c r="OFS1" t="s">
        <v>10355</v>
      </c>
      <c r="OFT1" t="s">
        <v>10356</v>
      </c>
      <c r="OFU1" t="s">
        <v>10357</v>
      </c>
      <c r="OFV1" t="s">
        <v>10358</v>
      </c>
      <c r="OFW1" t="s">
        <v>10359</v>
      </c>
      <c r="OFX1" t="s">
        <v>10360</v>
      </c>
      <c r="OFY1" t="s">
        <v>10361</v>
      </c>
      <c r="OFZ1" t="s">
        <v>10362</v>
      </c>
      <c r="OGA1" t="s">
        <v>10363</v>
      </c>
      <c r="OGB1" t="s">
        <v>10364</v>
      </c>
      <c r="OGC1" t="s">
        <v>10365</v>
      </c>
      <c r="OGD1" t="s">
        <v>10366</v>
      </c>
      <c r="OGE1" t="s">
        <v>10367</v>
      </c>
      <c r="OGF1" t="s">
        <v>10368</v>
      </c>
      <c r="OGG1" t="s">
        <v>10369</v>
      </c>
      <c r="OGH1" t="s">
        <v>10370</v>
      </c>
      <c r="OGI1" t="s">
        <v>10371</v>
      </c>
      <c r="OGJ1" t="s">
        <v>10372</v>
      </c>
      <c r="OGK1" t="s">
        <v>10373</v>
      </c>
      <c r="OGL1" t="s">
        <v>10374</v>
      </c>
      <c r="OGM1" t="s">
        <v>10375</v>
      </c>
      <c r="OGN1" t="s">
        <v>10376</v>
      </c>
      <c r="OGO1" t="s">
        <v>10377</v>
      </c>
      <c r="OGP1" t="s">
        <v>10378</v>
      </c>
      <c r="OGQ1" t="s">
        <v>10379</v>
      </c>
      <c r="OGR1" t="s">
        <v>10380</v>
      </c>
      <c r="OGS1" t="s">
        <v>10381</v>
      </c>
      <c r="OGT1" t="s">
        <v>10382</v>
      </c>
      <c r="OGU1" t="s">
        <v>10383</v>
      </c>
      <c r="OGV1" t="s">
        <v>10384</v>
      </c>
      <c r="OGW1" t="s">
        <v>10385</v>
      </c>
      <c r="OGX1" t="s">
        <v>10386</v>
      </c>
      <c r="OGY1" t="s">
        <v>10387</v>
      </c>
      <c r="OGZ1" t="s">
        <v>10388</v>
      </c>
      <c r="OHA1" t="s">
        <v>10389</v>
      </c>
      <c r="OHB1" t="s">
        <v>10390</v>
      </c>
      <c r="OHC1" t="s">
        <v>10391</v>
      </c>
      <c r="OHD1" t="s">
        <v>10392</v>
      </c>
      <c r="OHE1" t="s">
        <v>10393</v>
      </c>
      <c r="OHF1" t="s">
        <v>10394</v>
      </c>
      <c r="OHG1" t="s">
        <v>10395</v>
      </c>
      <c r="OHH1" t="s">
        <v>10396</v>
      </c>
      <c r="OHI1" t="s">
        <v>10397</v>
      </c>
      <c r="OHJ1" t="s">
        <v>10398</v>
      </c>
      <c r="OHK1" t="s">
        <v>10399</v>
      </c>
      <c r="OHL1" t="s">
        <v>10400</v>
      </c>
      <c r="OHM1" t="s">
        <v>10401</v>
      </c>
      <c r="OHN1" t="s">
        <v>10402</v>
      </c>
      <c r="OHO1" t="s">
        <v>10403</v>
      </c>
      <c r="OHP1" t="s">
        <v>10404</v>
      </c>
      <c r="OHQ1" t="s">
        <v>10405</v>
      </c>
      <c r="OHR1" t="s">
        <v>10406</v>
      </c>
      <c r="OHS1" t="s">
        <v>10407</v>
      </c>
      <c r="OHT1" t="s">
        <v>10408</v>
      </c>
      <c r="OHU1" t="s">
        <v>10409</v>
      </c>
      <c r="OHV1" t="s">
        <v>10410</v>
      </c>
      <c r="OHW1" t="s">
        <v>10411</v>
      </c>
      <c r="OHX1" t="s">
        <v>10412</v>
      </c>
      <c r="OHY1" t="s">
        <v>10413</v>
      </c>
      <c r="OHZ1" t="s">
        <v>10414</v>
      </c>
      <c r="OIA1" t="s">
        <v>10415</v>
      </c>
      <c r="OIB1" t="s">
        <v>10416</v>
      </c>
      <c r="OIC1" t="s">
        <v>10417</v>
      </c>
      <c r="OID1" t="s">
        <v>10418</v>
      </c>
      <c r="OIE1" t="s">
        <v>10419</v>
      </c>
      <c r="OIF1" t="s">
        <v>10420</v>
      </c>
      <c r="OIG1" t="s">
        <v>10421</v>
      </c>
      <c r="OIH1" t="s">
        <v>10422</v>
      </c>
      <c r="OII1" t="s">
        <v>10423</v>
      </c>
      <c r="OIJ1" t="s">
        <v>10424</v>
      </c>
      <c r="OIK1" t="s">
        <v>10425</v>
      </c>
      <c r="OIL1" t="s">
        <v>10426</v>
      </c>
      <c r="OIM1" t="s">
        <v>10427</v>
      </c>
      <c r="OIN1" t="s">
        <v>10428</v>
      </c>
      <c r="OIO1" t="s">
        <v>10429</v>
      </c>
      <c r="OIP1" t="s">
        <v>10430</v>
      </c>
      <c r="OIQ1" t="s">
        <v>10431</v>
      </c>
      <c r="OIR1" t="s">
        <v>10432</v>
      </c>
      <c r="OIS1" t="s">
        <v>10433</v>
      </c>
      <c r="OIT1" t="s">
        <v>10434</v>
      </c>
      <c r="OIU1" t="s">
        <v>10435</v>
      </c>
      <c r="OIV1" t="s">
        <v>10436</v>
      </c>
      <c r="OIW1" t="s">
        <v>10437</v>
      </c>
      <c r="OIX1" t="s">
        <v>10438</v>
      </c>
      <c r="OIY1" t="s">
        <v>10439</v>
      </c>
      <c r="OIZ1" t="s">
        <v>10440</v>
      </c>
      <c r="OJA1" t="s">
        <v>10441</v>
      </c>
      <c r="OJB1" t="s">
        <v>10442</v>
      </c>
      <c r="OJC1" t="s">
        <v>10443</v>
      </c>
      <c r="OJD1" t="s">
        <v>10444</v>
      </c>
      <c r="OJE1" t="s">
        <v>10445</v>
      </c>
      <c r="OJF1" t="s">
        <v>10446</v>
      </c>
      <c r="OJG1" t="s">
        <v>10447</v>
      </c>
      <c r="OJH1" t="s">
        <v>10448</v>
      </c>
      <c r="OJI1" t="s">
        <v>10449</v>
      </c>
      <c r="OJJ1" t="s">
        <v>10450</v>
      </c>
      <c r="OJK1" t="s">
        <v>10451</v>
      </c>
      <c r="OJL1" t="s">
        <v>10452</v>
      </c>
      <c r="OJM1" t="s">
        <v>10453</v>
      </c>
      <c r="OJN1" t="s">
        <v>10454</v>
      </c>
      <c r="OJO1" t="s">
        <v>10455</v>
      </c>
      <c r="OJP1" t="s">
        <v>10456</v>
      </c>
      <c r="OJQ1" t="s">
        <v>10457</v>
      </c>
      <c r="OJR1" t="s">
        <v>10458</v>
      </c>
      <c r="OJS1" t="s">
        <v>10459</v>
      </c>
      <c r="OJT1" t="s">
        <v>10460</v>
      </c>
      <c r="OJU1" t="s">
        <v>10461</v>
      </c>
      <c r="OJV1" t="s">
        <v>10462</v>
      </c>
      <c r="OJW1" t="s">
        <v>10463</v>
      </c>
      <c r="OJX1" t="s">
        <v>10464</v>
      </c>
      <c r="OJY1" t="s">
        <v>10465</v>
      </c>
      <c r="OJZ1" t="s">
        <v>10466</v>
      </c>
      <c r="OKA1" t="s">
        <v>10467</v>
      </c>
      <c r="OKB1" t="s">
        <v>10468</v>
      </c>
      <c r="OKC1" t="s">
        <v>10469</v>
      </c>
      <c r="OKD1" t="s">
        <v>10470</v>
      </c>
      <c r="OKE1" t="s">
        <v>10471</v>
      </c>
      <c r="OKF1" t="s">
        <v>10472</v>
      </c>
      <c r="OKG1" t="s">
        <v>10473</v>
      </c>
      <c r="OKH1" t="s">
        <v>10474</v>
      </c>
      <c r="OKI1" t="s">
        <v>10475</v>
      </c>
      <c r="OKJ1" t="s">
        <v>10476</v>
      </c>
      <c r="OKK1" t="s">
        <v>10477</v>
      </c>
      <c r="OKL1" t="s">
        <v>10478</v>
      </c>
      <c r="OKM1" t="s">
        <v>10479</v>
      </c>
      <c r="OKN1" t="s">
        <v>10480</v>
      </c>
      <c r="OKO1" t="s">
        <v>10481</v>
      </c>
      <c r="OKP1" t="s">
        <v>10482</v>
      </c>
      <c r="OKQ1" t="s">
        <v>10483</v>
      </c>
      <c r="OKR1" t="s">
        <v>10484</v>
      </c>
      <c r="OKS1" t="s">
        <v>10485</v>
      </c>
      <c r="OKT1" t="s">
        <v>10486</v>
      </c>
      <c r="OKU1" t="s">
        <v>10487</v>
      </c>
      <c r="OKV1" t="s">
        <v>10488</v>
      </c>
      <c r="OKW1" t="s">
        <v>10489</v>
      </c>
      <c r="OKX1" t="s">
        <v>10490</v>
      </c>
      <c r="OKY1" t="s">
        <v>10491</v>
      </c>
      <c r="OKZ1" t="s">
        <v>10492</v>
      </c>
      <c r="OLA1" t="s">
        <v>10493</v>
      </c>
      <c r="OLB1" t="s">
        <v>10494</v>
      </c>
      <c r="OLC1" t="s">
        <v>10495</v>
      </c>
      <c r="OLD1" t="s">
        <v>10496</v>
      </c>
      <c r="OLE1" t="s">
        <v>10497</v>
      </c>
      <c r="OLF1" t="s">
        <v>10498</v>
      </c>
      <c r="OLG1" t="s">
        <v>10499</v>
      </c>
      <c r="OLH1" t="s">
        <v>10500</v>
      </c>
      <c r="OLI1" t="s">
        <v>10501</v>
      </c>
      <c r="OLJ1" t="s">
        <v>10502</v>
      </c>
      <c r="OLK1" t="s">
        <v>10503</v>
      </c>
      <c r="OLL1" t="s">
        <v>10504</v>
      </c>
      <c r="OLM1" t="s">
        <v>10505</v>
      </c>
      <c r="OLN1" t="s">
        <v>10506</v>
      </c>
      <c r="OLO1" t="s">
        <v>10507</v>
      </c>
      <c r="OLP1" t="s">
        <v>10508</v>
      </c>
      <c r="OLQ1" t="s">
        <v>10509</v>
      </c>
      <c r="OLR1" t="s">
        <v>10510</v>
      </c>
      <c r="OLS1" t="s">
        <v>10511</v>
      </c>
      <c r="OLT1" t="s">
        <v>10512</v>
      </c>
      <c r="OLU1" t="s">
        <v>10513</v>
      </c>
      <c r="OLV1" t="s">
        <v>10514</v>
      </c>
      <c r="OLW1" t="s">
        <v>10515</v>
      </c>
      <c r="OLX1" t="s">
        <v>10516</v>
      </c>
      <c r="OLY1" t="s">
        <v>10517</v>
      </c>
      <c r="OLZ1" t="s">
        <v>10518</v>
      </c>
      <c r="OMA1" t="s">
        <v>10519</v>
      </c>
      <c r="OMB1" t="s">
        <v>10520</v>
      </c>
      <c r="OMC1" t="s">
        <v>10521</v>
      </c>
      <c r="OMD1" t="s">
        <v>10522</v>
      </c>
      <c r="OME1" t="s">
        <v>10523</v>
      </c>
      <c r="OMF1" t="s">
        <v>10524</v>
      </c>
      <c r="OMG1" t="s">
        <v>10525</v>
      </c>
      <c r="OMH1" t="s">
        <v>10526</v>
      </c>
      <c r="OMI1" t="s">
        <v>10527</v>
      </c>
      <c r="OMJ1" t="s">
        <v>10528</v>
      </c>
      <c r="OMK1" t="s">
        <v>10529</v>
      </c>
      <c r="OML1" t="s">
        <v>10530</v>
      </c>
      <c r="OMM1" t="s">
        <v>10531</v>
      </c>
      <c r="OMN1" t="s">
        <v>10532</v>
      </c>
      <c r="OMO1" t="s">
        <v>10533</v>
      </c>
      <c r="OMP1" t="s">
        <v>10534</v>
      </c>
      <c r="OMQ1" t="s">
        <v>10535</v>
      </c>
      <c r="OMR1" t="s">
        <v>10536</v>
      </c>
      <c r="OMS1" t="s">
        <v>10537</v>
      </c>
      <c r="OMT1" t="s">
        <v>10538</v>
      </c>
      <c r="OMU1" t="s">
        <v>10539</v>
      </c>
      <c r="OMV1" t="s">
        <v>10540</v>
      </c>
      <c r="OMW1" t="s">
        <v>10541</v>
      </c>
      <c r="OMX1" t="s">
        <v>10542</v>
      </c>
      <c r="OMY1" t="s">
        <v>10543</v>
      </c>
      <c r="OMZ1" t="s">
        <v>10544</v>
      </c>
      <c r="ONA1" t="s">
        <v>10545</v>
      </c>
      <c r="ONB1" t="s">
        <v>10546</v>
      </c>
      <c r="ONC1" t="s">
        <v>10547</v>
      </c>
      <c r="OND1" t="s">
        <v>10548</v>
      </c>
      <c r="ONE1" t="s">
        <v>10549</v>
      </c>
      <c r="ONF1" t="s">
        <v>10550</v>
      </c>
      <c r="ONG1" t="s">
        <v>10551</v>
      </c>
      <c r="ONH1" t="s">
        <v>10552</v>
      </c>
      <c r="ONI1" t="s">
        <v>10553</v>
      </c>
      <c r="ONJ1" t="s">
        <v>10554</v>
      </c>
      <c r="ONK1" t="s">
        <v>10555</v>
      </c>
      <c r="ONL1" t="s">
        <v>10556</v>
      </c>
      <c r="ONM1" t="s">
        <v>10557</v>
      </c>
      <c r="ONN1" t="s">
        <v>10558</v>
      </c>
      <c r="ONO1" t="s">
        <v>10559</v>
      </c>
      <c r="ONP1" t="s">
        <v>10560</v>
      </c>
      <c r="ONQ1" t="s">
        <v>10561</v>
      </c>
      <c r="ONR1" t="s">
        <v>10562</v>
      </c>
      <c r="ONS1" t="s">
        <v>10563</v>
      </c>
      <c r="ONT1" t="s">
        <v>10564</v>
      </c>
      <c r="ONU1" t="s">
        <v>10565</v>
      </c>
      <c r="ONV1" t="s">
        <v>10566</v>
      </c>
      <c r="ONW1" t="s">
        <v>10567</v>
      </c>
      <c r="ONX1" t="s">
        <v>10568</v>
      </c>
      <c r="ONY1" t="s">
        <v>10569</v>
      </c>
      <c r="ONZ1" t="s">
        <v>10570</v>
      </c>
      <c r="OOA1" t="s">
        <v>10571</v>
      </c>
      <c r="OOB1" t="s">
        <v>10572</v>
      </c>
      <c r="OOC1" t="s">
        <v>10573</v>
      </c>
      <c r="OOD1" t="s">
        <v>10574</v>
      </c>
      <c r="OOE1" t="s">
        <v>10575</v>
      </c>
      <c r="OOF1" t="s">
        <v>10576</v>
      </c>
      <c r="OOG1" t="s">
        <v>10577</v>
      </c>
      <c r="OOH1" t="s">
        <v>10578</v>
      </c>
      <c r="OOI1" t="s">
        <v>10579</v>
      </c>
      <c r="OOJ1" t="s">
        <v>10580</v>
      </c>
      <c r="OOK1" t="s">
        <v>10581</v>
      </c>
      <c r="OOL1" t="s">
        <v>10582</v>
      </c>
      <c r="OOM1" t="s">
        <v>10583</v>
      </c>
      <c r="OON1" t="s">
        <v>10584</v>
      </c>
      <c r="OOO1" t="s">
        <v>10585</v>
      </c>
      <c r="OOP1" t="s">
        <v>10586</v>
      </c>
      <c r="OOQ1" t="s">
        <v>10587</v>
      </c>
      <c r="OOR1" t="s">
        <v>10588</v>
      </c>
      <c r="OOS1" t="s">
        <v>10589</v>
      </c>
      <c r="OOT1" t="s">
        <v>10590</v>
      </c>
      <c r="OOU1" t="s">
        <v>10591</v>
      </c>
      <c r="OOV1" t="s">
        <v>10592</v>
      </c>
      <c r="OOW1" t="s">
        <v>10593</v>
      </c>
      <c r="OOX1" t="s">
        <v>10594</v>
      </c>
      <c r="OOY1" t="s">
        <v>10595</v>
      </c>
      <c r="OOZ1" t="s">
        <v>10596</v>
      </c>
      <c r="OPA1" t="s">
        <v>10597</v>
      </c>
      <c r="OPB1" t="s">
        <v>10598</v>
      </c>
      <c r="OPC1" t="s">
        <v>10599</v>
      </c>
      <c r="OPD1" t="s">
        <v>10600</v>
      </c>
      <c r="OPE1" t="s">
        <v>10601</v>
      </c>
      <c r="OPF1" t="s">
        <v>10602</v>
      </c>
      <c r="OPG1" t="s">
        <v>10603</v>
      </c>
      <c r="OPH1" t="s">
        <v>10604</v>
      </c>
      <c r="OPI1" t="s">
        <v>10605</v>
      </c>
      <c r="OPJ1" t="s">
        <v>10606</v>
      </c>
      <c r="OPK1" t="s">
        <v>10607</v>
      </c>
      <c r="OPL1" t="s">
        <v>10608</v>
      </c>
      <c r="OPM1" t="s">
        <v>10609</v>
      </c>
      <c r="OPN1" t="s">
        <v>10610</v>
      </c>
      <c r="OPO1" t="s">
        <v>10611</v>
      </c>
      <c r="OPP1" t="s">
        <v>10612</v>
      </c>
      <c r="OPQ1" t="s">
        <v>10613</v>
      </c>
      <c r="OPR1" t="s">
        <v>10614</v>
      </c>
      <c r="OPS1" t="s">
        <v>10615</v>
      </c>
      <c r="OPT1" t="s">
        <v>10616</v>
      </c>
      <c r="OPU1" t="s">
        <v>10617</v>
      </c>
      <c r="OPV1" t="s">
        <v>10618</v>
      </c>
      <c r="OPW1" t="s">
        <v>10619</v>
      </c>
      <c r="OPX1" t="s">
        <v>10620</v>
      </c>
      <c r="OPY1" t="s">
        <v>10621</v>
      </c>
      <c r="OPZ1" t="s">
        <v>10622</v>
      </c>
      <c r="OQA1" t="s">
        <v>10623</v>
      </c>
      <c r="OQB1" t="s">
        <v>10624</v>
      </c>
      <c r="OQC1" t="s">
        <v>10625</v>
      </c>
      <c r="OQD1" t="s">
        <v>10626</v>
      </c>
      <c r="OQE1" t="s">
        <v>10627</v>
      </c>
      <c r="OQF1" t="s">
        <v>10628</v>
      </c>
      <c r="OQG1" t="s">
        <v>10629</v>
      </c>
      <c r="OQH1" t="s">
        <v>10630</v>
      </c>
      <c r="OQI1" t="s">
        <v>10631</v>
      </c>
      <c r="OQJ1" t="s">
        <v>10632</v>
      </c>
      <c r="OQK1" t="s">
        <v>10633</v>
      </c>
      <c r="OQL1" t="s">
        <v>10634</v>
      </c>
      <c r="OQM1" t="s">
        <v>10635</v>
      </c>
      <c r="OQN1" t="s">
        <v>10636</v>
      </c>
      <c r="OQO1" t="s">
        <v>10637</v>
      </c>
      <c r="OQP1" t="s">
        <v>10638</v>
      </c>
      <c r="OQQ1" t="s">
        <v>10639</v>
      </c>
      <c r="OQR1" t="s">
        <v>10640</v>
      </c>
      <c r="OQS1" t="s">
        <v>10641</v>
      </c>
      <c r="OQT1" t="s">
        <v>10642</v>
      </c>
      <c r="OQU1" t="s">
        <v>10643</v>
      </c>
      <c r="OQV1" t="s">
        <v>10644</v>
      </c>
      <c r="OQW1" t="s">
        <v>10645</v>
      </c>
      <c r="OQX1" t="s">
        <v>10646</v>
      </c>
      <c r="OQY1" t="s">
        <v>10647</v>
      </c>
      <c r="OQZ1" t="s">
        <v>10648</v>
      </c>
      <c r="ORA1" t="s">
        <v>10649</v>
      </c>
      <c r="ORB1" t="s">
        <v>10650</v>
      </c>
      <c r="ORC1" t="s">
        <v>10651</v>
      </c>
      <c r="ORD1" t="s">
        <v>10652</v>
      </c>
      <c r="ORE1" t="s">
        <v>10653</v>
      </c>
      <c r="ORF1" t="s">
        <v>10654</v>
      </c>
      <c r="ORG1" t="s">
        <v>10655</v>
      </c>
      <c r="ORH1" t="s">
        <v>10656</v>
      </c>
      <c r="ORI1" t="s">
        <v>10657</v>
      </c>
      <c r="ORJ1" t="s">
        <v>10658</v>
      </c>
      <c r="ORK1" t="s">
        <v>10659</v>
      </c>
      <c r="ORL1" t="s">
        <v>10660</v>
      </c>
      <c r="ORM1" t="s">
        <v>10661</v>
      </c>
      <c r="ORN1" t="s">
        <v>10662</v>
      </c>
      <c r="ORO1" t="s">
        <v>10663</v>
      </c>
      <c r="ORP1" t="s">
        <v>10664</v>
      </c>
      <c r="ORQ1" t="s">
        <v>10665</v>
      </c>
      <c r="ORR1" t="s">
        <v>10666</v>
      </c>
      <c r="ORS1" t="s">
        <v>10667</v>
      </c>
      <c r="ORT1" t="s">
        <v>10668</v>
      </c>
      <c r="ORU1" t="s">
        <v>10669</v>
      </c>
      <c r="ORV1" t="s">
        <v>10670</v>
      </c>
      <c r="ORW1" t="s">
        <v>10671</v>
      </c>
      <c r="ORX1" t="s">
        <v>10672</v>
      </c>
      <c r="ORY1" t="s">
        <v>10673</v>
      </c>
      <c r="ORZ1" t="s">
        <v>10674</v>
      </c>
      <c r="OSA1" t="s">
        <v>10675</v>
      </c>
      <c r="OSB1" t="s">
        <v>10676</v>
      </c>
      <c r="OSC1" t="s">
        <v>10677</v>
      </c>
      <c r="OSD1" t="s">
        <v>10678</v>
      </c>
      <c r="OSE1" t="s">
        <v>10679</v>
      </c>
      <c r="OSF1" t="s">
        <v>10680</v>
      </c>
      <c r="OSG1" t="s">
        <v>10681</v>
      </c>
      <c r="OSH1" t="s">
        <v>10682</v>
      </c>
      <c r="OSI1" t="s">
        <v>10683</v>
      </c>
      <c r="OSJ1" t="s">
        <v>10684</v>
      </c>
      <c r="OSK1" t="s">
        <v>10685</v>
      </c>
      <c r="OSL1" t="s">
        <v>10686</v>
      </c>
      <c r="OSM1" t="s">
        <v>10687</v>
      </c>
      <c r="OSN1" t="s">
        <v>10688</v>
      </c>
      <c r="OSO1" t="s">
        <v>10689</v>
      </c>
      <c r="OSP1" t="s">
        <v>10690</v>
      </c>
      <c r="OSQ1" t="s">
        <v>10691</v>
      </c>
      <c r="OSR1" t="s">
        <v>10692</v>
      </c>
      <c r="OSS1" t="s">
        <v>10693</v>
      </c>
      <c r="OST1" t="s">
        <v>10694</v>
      </c>
      <c r="OSU1" t="s">
        <v>10695</v>
      </c>
      <c r="OSV1" t="s">
        <v>10696</v>
      </c>
      <c r="OSW1" t="s">
        <v>10697</v>
      </c>
      <c r="OSX1" t="s">
        <v>10698</v>
      </c>
      <c r="OSY1" t="s">
        <v>10699</v>
      </c>
      <c r="OSZ1" t="s">
        <v>10700</v>
      </c>
      <c r="OTA1" t="s">
        <v>10701</v>
      </c>
      <c r="OTB1" t="s">
        <v>10702</v>
      </c>
      <c r="OTC1" t="s">
        <v>10703</v>
      </c>
      <c r="OTD1" t="s">
        <v>10704</v>
      </c>
      <c r="OTE1" t="s">
        <v>10705</v>
      </c>
      <c r="OTF1" t="s">
        <v>10706</v>
      </c>
      <c r="OTG1" t="s">
        <v>10707</v>
      </c>
      <c r="OTH1" t="s">
        <v>10708</v>
      </c>
      <c r="OTI1" t="s">
        <v>10709</v>
      </c>
      <c r="OTJ1" t="s">
        <v>10710</v>
      </c>
      <c r="OTK1" t="s">
        <v>10711</v>
      </c>
      <c r="OTL1" t="s">
        <v>10712</v>
      </c>
      <c r="OTM1" t="s">
        <v>10713</v>
      </c>
      <c r="OTN1" t="s">
        <v>10714</v>
      </c>
      <c r="OTO1" t="s">
        <v>10715</v>
      </c>
      <c r="OTP1" t="s">
        <v>10716</v>
      </c>
      <c r="OTQ1" t="s">
        <v>10717</v>
      </c>
      <c r="OTR1" t="s">
        <v>10718</v>
      </c>
      <c r="OTS1" t="s">
        <v>10719</v>
      </c>
      <c r="OTT1" t="s">
        <v>10720</v>
      </c>
      <c r="OTU1" t="s">
        <v>10721</v>
      </c>
      <c r="OTV1" t="s">
        <v>10722</v>
      </c>
      <c r="OTW1" t="s">
        <v>10723</v>
      </c>
      <c r="OTX1" t="s">
        <v>10724</v>
      </c>
      <c r="OTY1" t="s">
        <v>10725</v>
      </c>
      <c r="OTZ1" t="s">
        <v>10726</v>
      </c>
      <c r="OUA1" t="s">
        <v>10727</v>
      </c>
      <c r="OUB1" t="s">
        <v>10728</v>
      </c>
      <c r="OUC1" t="s">
        <v>10729</v>
      </c>
      <c r="OUD1" t="s">
        <v>10730</v>
      </c>
      <c r="OUE1" t="s">
        <v>10731</v>
      </c>
      <c r="OUF1" t="s">
        <v>10732</v>
      </c>
      <c r="OUG1" t="s">
        <v>10733</v>
      </c>
      <c r="OUH1" t="s">
        <v>10734</v>
      </c>
      <c r="OUI1" t="s">
        <v>10735</v>
      </c>
      <c r="OUJ1" t="s">
        <v>10736</v>
      </c>
      <c r="OUK1" t="s">
        <v>10737</v>
      </c>
      <c r="OUL1" t="s">
        <v>10738</v>
      </c>
      <c r="OUM1" t="s">
        <v>10739</v>
      </c>
      <c r="OUN1" t="s">
        <v>10740</v>
      </c>
      <c r="OUO1" t="s">
        <v>10741</v>
      </c>
      <c r="OUP1" t="s">
        <v>10742</v>
      </c>
      <c r="OUQ1" t="s">
        <v>10743</v>
      </c>
      <c r="OUR1" t="s">
        <v>10744</v>
      </c>
      <c r="OUS1" t="s">
        <v>10745</v>
      </c>
      <c r="OUT1" t="s">
        <v>10746</v>
      </c>
      <c r="OUU1" t="s">
        <v>10747</v>
      </c>
      <c r="OUV1" t="s">
        <v>10748</v>
      </c>
      <c r="OUW1" t="s">
        <v>10749</v>
      </c>
      <c r="OUX1" t="s">
        <v>10750</v>
      </c>
      <c r="OUY1" t="s">
        <v>10751</v>
      </c>
      <c r="OUZ1" t="s">
        <v>10752</v>
      </c>
      <c r="OVA1" t="s">
        <v>10753</v>
      </c>
      <c r="OVB1" t="s">
        <v>10754</v>
      </c>
      <c r="OVC1" t="s">
        <v>10755</v>
      </c>
      <c r="OVD1" t="s">
        <v>10756</v>
      </c>
      <c r="OVE1" t="s">
        <v>10757</v>
      </c>
      <c r="OVF1" t="s">
        <v>10758</v>
      </c>
      <c r="OVG1" t="s">
        <v>10759</v>
      </c>
      <c r="OVH1" t="s">
        <v>10760</v>
      </c>
      <c r="OVI1" t="s">
        <v>10761</v>
      </c>
      <c r="OVJ1" t="s">
        <v>10762</v>
      </c>
      <c r="OVK1" t="s">
        <v>10763</v>
      </c>
      <c r="OVL1" t="s">
        <v>10764</v>
      </c>
      <c r="OVM1" t="s">
        <v>10765</v>
      </c>
      <c r="OVN1" t="s">
        <v>10766</v>
      </c>
      <c r="OVO1" t="s">
        <v>10767</v>
      </c>
      <c r="OVP1" t="s">
        <v>10768</v>
      </c>
      <c r="OVQ1" t="s">
        <v>10769</v>
      </c>
      <c r="OVR1" t="s">
        <v>10770</v>
      </c>
      <c r="OVS1" t="s">
        <v>10771</v>
      </c>
      <c r="OVT1" t="s">
        <v>10772</v>
      </c>
      <c r="OVU1" t="s">
        <v>10773</v>
      </c>
      <c r="OVV1" t="s">
        <v>10774</v>
      </c>
      <c r="OVW1" t="s">
        <v>10775</v>
      </c>
      <c r="OVX1" t="s">
        <v>10776</v>
      </c>
      <c r="OVY1" t="s">
        <v>10777</v>
      </c>
      <c r="OVZ1" t="s">
        <v>10778</v>
      </c>
      <c r="OWA1" t="s">
        <v>10779</v>
      </c>
      <c r="OWB1" t="s">
        <v>10780</v>
      </c>
      <c r="OWC1" t="s">
        <v>10781</v>
      </c>
      <c r="OWD1" t="s">
        <v>10782</v>
      </c>
      <c r="OWE1" t="s">
        <v>10783</v>
      </c>
      <c r="OWF1" t="s">
        <v>10784</v>
      </c>
      <c r="OWG1" t="s">
        <v>10785</v>
      </c>
      <c r="OWH1" t="s">
        <v>10786</v>
      </c>
      <c r="OWI1" t="s">
        <v>10787</v>
      </c>
      <c r="OWJ1" t="s">
        <v>10788</v>
      </c>
      <c r="OWK1" t="s">
        <v>10789</v>
      </c>
      <c r="OWL1" t="s">
        <v>10790</v>
      </c>
      <c r="OWM1" t="s">
        <v>10791</v>
      </c>
      <c r="OWN1" t="s">
        <v>10792</v>
      </c>
      <c r="OWO1" t="s">
        <v>10793</v>
      </c>
      <c r="OWP1" t="s">
        <v>10794</v>
      </c>
      <c r="OWQ1" t="s">
        <v>10795</v>
      </c>
      <c r="OWR1" t="s">
        <v>10796</v>
      </c>
      <c r="OWS1" t="s">
        <v>10797</v>
      </c>
      <c r="OWT1" t="s">
        <v>10798</v>
      </c>
      <c r="OWU1" t="s">
        <v>10799</v>
      </c>
      <c r="OWV1" t="s">
        <v>10800</v>
      </c>
      <c r="OWW1" t="s">
        <v>10801</v>
      </c>
      <c r="OWX1" t="s">
        <v>10802</v>
      </c>
      <c r="OWY1" t="s">
        <v>10803</v>
      </c>
      <c r="OWZ1" t="s">
        <v>10804</v>
      </c>
      <c r="OXA1" t="s">
        <v>10805</v>
      </c>
      <c r="OXB1" t="s">
        <v>10806</v>
      </c>
      <c r="OXC1" t="s">
        <v>10807</v>
      </c>
      <c r="OXD1" t="s">
        <v>10808</v>
      </c>
      <c r="OXE1" t="s">
        <v>10809</v>
      </c>
      <c r="OXF1" t="s">
        <v>10810</v>
      </c>
      <c r="OXG1" t="s">
        <v>10811</v>
      </c>
      <c r="OXH1" t="s">
        <v>10812</v>
      </c>
      <c r="OXI1" t="s">
        <v>10813</v>
      </c>
      <c r="OXJ1" t="s">
        <v>10814</v>
      </c>
      <c r="OXK1" t="s">
        <v>10815</v>
      </c>
      <c r="OXL1" t="s">
        <v>10816</v>
      </c>
      <c r="OXM1" t="s">
        <v>10817</v>
      </c>
      <c r="OXN1" t="s">
        <v>10818</v>
      </c>
      <c r="OXO1" t="s">
        <v>10819</v>
      </c>
      <c r="OXP1" t="s">
        <v>10820</v>
      </c>
      <c r="OXQ1" t="s">
        <v>10821</v>
      </c>
      <c r="OXR1" t="s">
        <v>10822</v>
      </c>
      <c r="OXS1" t="s">
        <v>10823</v>
      </c>
      <c r="OXT1" t="s">
        <v>10824</v>
      </c>
      <c r="OXU1" t="s">
        <v>10825</v>
      </c>
      <c r="OXV1" t="s">
        <v>10826</v>
      </c>
      <c r="OXW1" t="s">
        <v>10827</v>
      </c>
      <c r="OXX1" t="s">
        <v>10828</v>
      </c>
      <c r="OXY1" t="s">
        <v>10829</v>
      </c>
      <c r="OXZ1" t="s">
        <v>10830</v>
      </c>
      <c r="OYA1" t="s">
        <v>10831</v>
      </c>
      <c r="OYB1" t="s">
        <v>10832</v>
      </c>
      <c r="OYC1" t="s">
        <v>10833</v>
      </c>
      <c r="OYD1" t="s">
        <v>10834</v>
      </c>
      <c r="OYE1" t="s">
        <v>10835</v>
      </c>
      <c r="OYF1" t="s">
        <v>10836</v>
      </c>
      <c r="OYG1" t="s">
        <v>10837</v>
      </c>
      <c r="OYH1" t="s">
        <v>10838</v>
      </c>
      <c r="OYI1" t="s">
        <v>10839</v>
      </c>
      <c r="OYJ1" t="s">
        <v>10840</v>
      </c>
      <c r="OYK1" t="s">
        <v>10841</v>
      </c>
      <c r="OYL1" t="s">
        <v>10842</v>
      </c>
      <c r="OYM1" t="s">
        <v>10843</v>
      </c>
      <c r="OYN1" t="s">
        <v>10844</v>
      </c>
      <c r="OYO1" t="s">
        <v>10845</v>
      </c>
      <c r="OYP1" t="s">
        <v>10846</v>
      </c>
      <c r="OYQ1" t="s">
        <v>10847</v>
      </c>
      <c r="OYR1" t="s">
        <v>10848</v>
      </c>
      <c r="OYS1" t="s">
        <v>10849</v>
      </c>
      <c r="OYT1" t="s">
        <v>10850</v>
      </c>
      <c r="OYU1" t="s">
        <v>10851</v>
      </c>
      <c r="OYV1" t="s">
        <v>10852</v>
      </c>
      <c r="OYW1" t="s">
        <v>10853</v>
      </c>
      <c r="OYX1" t="s">
        <v>10854</v>
      </c>
      <c r="OYY1" t="s">
        <v>10855</v>
      </c>
      <c r="OYZ1" t="s">
        <v>10856</v>
      </c>
      <c r="OZA1" t="s">
        <v>10857</v>
      </c>
      <c r="OZB1" t="s">
        <v>10858</v>
      </c>
      <c r="OZC1" t="s">
        <v>10859</v>
      </c>
      <c r="OZD1" t="s">
        <v>10860</v>
      </c>
      <c r="OZE1" t="s">
        <v>10861</v>
      </c>
      <c r="OZF1" t="s">
        <v>10862</v>
      </c>
      <c r="OZG1" t="s">
        <v>10863</v>
      </c>
      <c r="OZH1" t="s">
        <v>10864</v>
      </c>
      <c r="OZI1" t="s">
        <v>10865</v>
      </c>
      <c r="OZJ1" t="s">
        <v>10866</v>
      </c>
      <c r="OZK1" t="s">
        <v>10867</v>
      </c>
      <c r="OZL1" t="s">
        <v>10868</v>
      </c>
      <c r="OZM1" t="s">
        <v>10869</v>
      </c>
      <c r="OZN1" t="s">
        <v>10870</v>
      </c>
      <c r="OZO1" t="s">
        <v>10871</v>
      </c>
      <c r="OZP1" t="s">
        <v>10872</v>
      </c>
      <c r="OZQ1" t="s">
        <v>10873</v>
      </c>
      <c r="OZR1" t="s">
        <v>10874</v>
      </c>
      <c r="OZS1" t="s">
        <v>10875</v>
      </c>
      <c r="OZT1" t="s">
        <v>10876</v>
      </c>
      <c r="OZU1" t="s">
        <v>10877</v>
      </c>
      <c r="OZV1" t="s">
        <v>10878</v>
      </c>
      <c r="OZW1" t="s">
        <v>10879</v>
      </c>
      <c r="OZX1" t="s">
        <v>10880</v>
      </c>
      <c r="OZY1" t="s">
        <v>10881</v>
      </c>
      <c r="OZZ1" t="s">
        <v>10882</v>
      </c>
      <c r="PAA1" t="s">
        <v>10883</v>
      </c>
      <c r="PAB1" t="s">
        <v>10884</v>
      </c>
      <c r="PAC1" t="s">
        <v>10885</v>
      </c>
      <c r="PAD1" t="s">
        <v>10886</v>
      </c>
      <c r="PAE1" t="s">
        <v>10887</v>
      </c>
      <c r="PAF1" t="s">
        <v>10888</v>
      </c>
      <c r="PAG1" t="s">
        <v>10889</v>
      </c>
      <c r="PAH1" t="s">
        <v>10890</v>
      </c>
      <c r="PAI1" t="s">
        <v>10891</v>
      </c>
      <c r="PAJ1" t="s">
        <v>10892</v>
      </c>
      <c r="PAK1" t="s">
        <v>10893</v>
      </c>
      <c r="PAL1" t="s">
        <v>10894</v>
      </c>
      <c r="PAM1" t="s">
        <v>10895</v>
      </c>
      <c r="PAN1" t="s">
        <v>10896</v>
      </c>
      <c r="PAO1" t="s">
        <v>10897</v>
      </c>
      <c r="PAP1" t="s">
        <v>10898</v>
      </c>
      <c r="PAQ1" t="s">
        <v>10899</v>
      </c>
      <c r="PAR1" t="s">
        <v>10900</v>
      </c>
      <c r="PAS1" t="s">
        <v>10901</v>
      </c>
      <c r="PAT1" t="s">
        <v>10902</v>
      </c>
      <c r="PAU1" t="s">
        <v>10903</v>
      </c>
      <c r="PAV1" t="s">
        <v>10904</v>
      </c>
      <c r="PAW1" t="s">
        <v>10905</v>
      </c>
      <c r="PAX1" t="s">
        <v>10906</v>
      </c>
      <c r="PAY1" t="s">
        <v>10907</v>
      </c>
      <c r="PAZ1" t="s">
        <v>10908</v>
      </c>
      <c r="PBA1" t="s">
        <v>10909</v>
      </c>
      <c r="PBB1" t="s">
        <v>10910</v>
      </c>
      <c r="PBC1" t="s">
        <v>10911</v>
      </c>
      <c r="PBD1" t="s">
        <v>10912</v>
      </c>
      <c r="PBE1" t="s">
        <v>10913</v>
      </c>
      <c r="PBF1" t="s">
        <v>10914</v>
      </c>
      <c r="PBG1" t="s">
        <v>10915</v>
      </c>
      <c r="PBH1" t="s">
        <v>10916</v>
      </c>
      <c r="PBI1" t="s">
        <v>10917</v>
      </c>
      <c r="PBJ1" t="s">
        <v>10918</v>
      </c>
      <c r="PBK1" t="s">
        <v>10919</v>
      </c>
      <c r="PBL1" t="s">
        <v>10920</v>
      </c>
      <c r="PBM1" t="s">
        <v>10921</v>
      </c>
      <c r="PBN1" t="s">
        <v>10922</v>
      </c>
      <c r="PBO1" t="s">
        <v>10923</v>
      </c>
      <c r="PBP1" t="s">
        <v>10924</v>
      </c>
      <c r="PBQ1" t="s">
        <v>10925</v>
      </c>
      <c r="PBR1" t="s">
        <v>10926</v>
      </c>
      <c r="PBS1" t="s">
        <v>10927</v>
      </c>
      <c r="PBT1" t="s">
        <v>10928</v>
      </c>
      <c r="PBU1" t="s">
        <v>10929</v>
      </c>
      <c r="PBV1" t="s">
        <v>10930</v>
      </c>
      <c r="PBW1" t="s">
        <v>10931</v>
      </c>
      <c r="PBX1" t="s">
        <v>10932</v>
      </c>
      <c r="PBY1" t="s">
        <v>10933</v>
      </c>
      <c r="PBZ1" t="s">
        <v>10934</v>
      </c>
      <c r="PCA1" t="s">
        <v>10935</v>
      </c>
      <c r="PCB1" t="s">
        <v>10936</v>
      </c>
      <c r="PCC1" t="s">
        <v>10937</v>
      </c>
      <c r="PCD1" t="s">
        <v>10938</v>
      </c>
      <c r="PCE1" t="s">
        <v>10939</v>
      </c>
      <c r="PCF1" t="s">
        <v>10940</v>
      </c>
      <c r="PCG1" t="s">
        <v>10941</v>
      </c>
      <c r="PCH1" t="s">
        <v>10942</v>
      </c>
      <c r="PCI1" t="s">
        <v>10943</v>
      </c>
      <c r="PCJ1" t="s">
        <v>10944</v>
      </c>
      <c r="PCK1" t="s">
        <v>10945</v>
      </c>
      <c r="PCL1" t="s">
        <v>10946</v>
      </c>
      <c r="PCM1" t="s">
        <v>10947</v>
      </c>
      <c r="PCN1" t="s">
        <v>10948</v>
      </c>
      <c r="PCO1" t="s">
        <v>10949</v>
      </c>
      <c r="PCP1" t="s">
        <v>10950</v>
      </c>
      <c r="PCQ1" t="s">
        <v>10951</v>
      </c>
      <c r="PCR1" t="s">
        <v>10952</v>
      </c>
      <c r="PCS1" t="s">
        <v>10953</v>
      </c>
      <c r="PCT1" t="s">
        <v>10954</v>
      </c>
      <c r="PCU1" t="s">
        <v>10955</v>
      </c>
      <c r="PCV1" t="s">
        <v>10956</v>
      </c>
      <c r="PCW1" t="s">
        <v>10957</v>
      </c>
      <c r="PCX1" t="s">
        <v>10958</v>
      </c>
      <c r="PCY1" t="s">
        <v>10959</v>
      </c>
      <c r="PCZ1" t="s">
        <v>10960</v>
      </c>
      <c r="PDA1" t="s">
        <v>10961</v>
      </c>
      <c r="PDB1" t="s">
        <v>10962</v>
      </c>
      <c r="PDC1" t="s">
        <v>10963</v>
      </c>
      <c r="PDD1" t="s">
        <v>10964</v>
      </c>
      <c r="PDE1" t="s">
        <v>10965</v>
      </c>
      <c r="PDF1" t="s">
        <v>10966</v>
      </c>
      <c r="PDG1" t="s">
        <v>10967</v>
      </c>
      <c r="PDH1" t="s">
        <v>10968</v>
      </c>
      <c r="PDI1" t="s">
        <v>10969</v>
      </c>
      <c r="PDJ1" t="s">
        <v>10970</v>
      </c>
      <c r="PDK1" t="s">
        <v>10971</v>
      </c>
      <c r="PDL1" t="s">
        <v>10972</v>
      </c>
      <c r="PDM1" t="s">
        <v>10973</v>
      </c>
      <c r="PDN1" t="s">
        <v>10974</v>
      </c>
      <c r="PDO1" t="s">
        <v>10975</v>
      </c>
      <c r="PDP1" t="s">
        <v>10976</v>
      </c>
      <c r="PDQ1" t="s">
        <v>10977</v>
      </c>
      <c r="PDR1" t="s">
        <v>10978</v>
      </c>
      <c r="PDS1" t="s">
        <v>10979</v>
      </c>
      <c r="PDT1" t="s">
        <v>10980</v>
      </c>
      <c r="PDU1" t="s">
        <v>10981</v>
      </c>
      <c r="PDV1" t="s">
        <v>10982</v>
      </c>
      <c r="PDW1" t="s">
        <v>10983</v>
      </c>
      <c r="PDX1" t="s">
        <v>10984</v>
      </c>
      <c r="PDY1" t="s">
        <v>10985</v>
      </c>
      <c r="PDZ1" t="s">
        <v>10986</v>
      </c>
      <c r="PEA1" t="s">
        <v>10987</v>
      </c>
      <c r="PEB1" t="s">
        <v>10988</v>
      </c>
      <c r="PEC1" t="s">
        <v>10989</v>
      </c>
      <c r="PED1" t="s">
        <v>10990</v>
      </c>
      <c r="PEE1" t="s">
        <v>10991</v>
      </c>
      <c r="PEF1" t="s">
        <v>10992</v>
      </c>
      <c r="PEG1" t="s">
        <v>10993</v>
      </c>
      <c r="PEH1" t="s">
        <v>10994</v>
      </c>
      <c r="PEI1" t="s">
        <v>10995</v>
      </c>
      <c r="PEJ1" t="s">
        <v>10996</v>
      </c>
      <c r="PEK1" t="s">
        <v>10997</v>
      </c>
      <c r="PEL1" t="s">
        <v>10998</v>
      </c>
      <c r="PEM1" t="s">
        <v>10999</v>
      </c>
      <c r="PEN1" t="s">
        <v>11000</v>
      </c>
      <c r="PEO1" t="s">
        <v>11001</v>
      </c>
      <c r="PEP1" t="s">
        <v>11002</v>
      </c>
      <c r="PEQ1" t="s">
        <v>11003</v>
      </c>
      <c r="PER1" t="s">
        <v>11004</v>
      </c>
      <c r="PES1" t="s">
        <v>11005</v>
      </c>
      <c r="PET1" t="s">
        <v>11006</v>
      </c>
      <c r="PEU1" t="s">
        <v>11007</v>
      </c>
      <c r="PEV1" t="s">
        <v>11008</v>
      </c>
      <c r="PEW1" t="s">
        <v>11009</v>
      </c>
      <c r="PEX1" t="s">
        <v>11010</v>
      </c>
      <c r="PEY1" t="s">
        <v>11011</v>
      </c>
      <c r="PEZ1" t="s">
        <v>11012</v>
      </c>
      <c r="PFA1" t="s">
        <v>11013</v>
      </c>
      <c r="PFB1" t="s">
        <v>11014</v>
      </c>
      <c r="PFC1" t="s">
        <v>11015</v>
      </c>
      <c r="PFD1" t="s">
        <v>11016</v>
      </c>
      <c r="PFE1" t="s">
        <v>11017</v>
      </c>
      <c r="PFF1" t="s">
        <v>11018</v>
      </c>
      <c r="PFG1" t="s">
        <v>11019</v>
      </c>
      <c r="PFH1" t="s">
        <v>11020</v>
      </c>
      <c r="PFI1" t="s">
        <v>11021</v>
      </c>
      <c r="PFJ1" t="s">
        <v>11022</v>
      </c>
      <c r="PFK1" t="s">
        <v>11023</v>
      </c>
      <c r="PFL1" t="s">
        <v>11024</v>
      </c>
      <c r="PFM1" t="s">
        <v>11025</v>
      </c>
      <c r="PFN1" t="s">
        <v>11026</v>
      </c>
      <c r="PFO1" t="s">
        <v>11027</v>
      </c>
      <c r="PFP1" t="s">
        <v>11028</v>
      </c>
      <c r="PFQ1" t="s">
        <v>11029</v>
      </c>
      <c r="PFR1" t="s">
        <v>11030</v>
      </c>
      <c r="PFS1" t="s">
        <v>11031</v>
      </c>
      <c r="PFT1" t="s">
        <v>11032</v>
      </c>
      <c r="PFU1" t="s">
        <v>11033</v>
      </c>
      <c r="PFV1" t="s">
        <v>11034</v>
      </c>
      <c r="PFW1" t="s">
        <v>11035</v>
      </c>
      <c r="PFX1" t="s">
        <v>11036</v>
      </c>
      <c r="PFY1" t="s">
        <v>11037</v>
      </c>
      <c r="PFZ1" t="s">
        <v>11038</v>
      </c>
      <c r="PGA1" t="s">
        <v>11039</v>
      </c>
      <c r="PGB1" t="s">
        <v>11040</v>
      </c>
      <c r="PGC1" t="s">
        <v>11041</v>
      </c>
      <c r="PGD1" t="s">
        <v>11042</v>
      </c>
      <c r="PGE1" t="s">
        <v>11043</v>
      </c>
      <c r="PGF1" t="s">
        <v>11044</v>
      </c>
      <c r="PGG1" t="s">
        <v>11045</v>
      </c>
      <c r="PGH1" t="s">
        <v>11046</v>
      </c>
      <c r="PGI1" t="s">
        <v>11047</v>
      </c>
      <c r="PGJ1" t="s">
        <v>11048</v>
      </c>
      <c r="PGK1" t="s">
        <v>11049</v>
      </c>
      <c r="PGL1" t="s">
        <v>11050</v>
      </c>
      <c r="PGM1" t="s">
        <v>11051</v>
      </c>
      <c r="PGN1" t="s">
        <v>11052</v>
      </c>
      <c r="PGO1" t="s">
        <v>11053</v>
      </c>
      <c r="PGP1" t="s">
        <v>11054</v>
      </c>
      <c r="PGQ1" t="s">
        <v>11055</v>
      </c>
      <c r="PGR1" t="s">
        <v>11056</v>
      </c>
      <c r="PGS1" t="s">
        <v>11057</v>
      </c>
      <c r="PGT1" t="s">
        <v>11058</v>
      </c>
      <c r="PGU1" t="s">
        <v>11059</v>
      </c>
      <c r="PGV1" t="s">
        <v>11060</v>
      </c>
      <c r="PGW1" t="s">
        <v>11061</v>
      </c>
      <c r="PGX1" t="s">
        <v>11062</v>
      </c>
      <c r="PGY1" t="s">
        <v>11063</v>
      </c>
      <c r="PGZ1" t="s">
        <v>11064</v>
      </c>
      <c r="PHA1" t="s">
        <v>11065</v>
      </c>
      <c r="PHB1" t="s">
        <v>11066</v>
      </c>
      <c r="PHC1" t="s">
        <v>11067</v>
      </c>
      <c r="PHD1" t="s">
        <v>11068</v>
      </c>
      <c r="PHE1" t="s">
        <v>11069</v>
      </c>
      <c r="PHF1" t="s">
        <v>11070</v>
      </c>
      <c r="PHG1" t="s">
        <v>11071</v>
      </c>
      <c r="PHH1" t="s">
        <v>11072</v>
      </c>
      <c r="PHI1" t="s">
        <v>11073</v>
      </c>
      <c r="PHJ1" t="s">
        <v>11074</v>
      </c>
      <c r="PHK1" t="s">
        <v>11075</v>
      </c>
      <c r="PHL1" t="s">
        <v>11076</v>
      </c>
      <c r="PHM1" t="s">
        <v>11077</v>
      </c>
      <c r="PHN1" t="s">
        <v>11078</v>
      </c>
      <c r="PHO1" t="s">
        <v>11079</v>
      </c>
      <c r="PHP1" t="s">
        <v>11080</v>
      </c>
      <c r="PHQ1" t="s">
        <v>11081</v>
      </c>
      <c r="PHR1" t="s">
        <v>11082</v>
      </c>
      <c r="PHS1" t="s">
        <v>11083</v>
      </c>
      <c r="PHT1" t="s">
        <v>11084</v>
      </c>
      <c r="PHU1" t="s">
        <v>11085</v>
      </c>
      <c r="PHV1" t="s">
        <v>11086</v>
      </c>
      <c r="PHW1" t="s">
        <v>11087</v>
      </c>
      <c r="PHX1" t="s">
        <v>11088</v>
      </c>
      <c r="PHY1" t="s">
        <v>11089</v>
      </c>
      <c r="PHZ1" t="s">
        <v>11090</v>
      </c>
      <c r="PIA1" t="s">
        <v>11091</v>
      </c>
      <c r="PIB1" t="s">
        <v>11092</v>
      </c>
      <c r="PIC1" t="s">
        <v>11093</v>
      </c>
      <c r="PID1" t="s">
        <v>11094</v>
      </c>
      <c r="PIE1" t="s">
        <v>11095</v>
      </c>
      <c r="PIF1" t="s">
        <v>11096</v>
      </c>
      <c r="PIG1" t="s">
        <v>11097</v>
      </c>
      <c r="PIH1" t="s">
        <v>11098</v>
      </c>
      <c r="PII1" t="s">
        <v>11099</v>
      </c>
      <c r="PIJ1" t="s">
        <v>11100</v>
      </c>
      <c r="PIK1" t="s">
        <v>11101</v>
      </c>
      <c r="PIL1" t="s">
        <v>11102</v>
      </c>
      <c r="PIM1" t="s">
        <v>11103</v>
      </c>
      <c r="PIN1" t="s">
        <v>11104</v>
      </c>
      <c r="PIO1" t="s">
        <v>11105</v>
      </c>
      <c r="PIP1" t="s">
        <v>11106</v>
      </c>
      <c r="PIQ1" t="s">
        <v>11107</v>
      </c>
      <c r="PIR1" t="s">
        <v>11108</v>
      </c>
      <c r="PIS1" t="s">
        <v>11109</v>
      </c>
      <c r="PIT1" t="s">
        <v>11110</v>
      </c>
      <c r="PIU1" t="s">
        <v>11111</v>
      </c>
      <c r="PIV1" t="s">
        <v>11112</v>
      </c>
      <c r="PIW1" t="s">
        <v>11113</v>
      </c>
      <c r="PIX1" t="s">
        <v>11114</v>
      </c>
      <c r="PIY1" t="s">
        <v>11115</v>
      </c>
      <c r="PIZ1" t="s">
        <v>11116</v>
      </c>
      <c r="PJA1" t="s">
        <v>11117</v>
      </c>
      <c r="PJB1" t="s">
        <v>11118</v>
      </c>
      <c r="PJC1" t="s">
        <v>11119</v>
      </c>
      <c r="PJD1" t="s">
        <v>11120</v>
      </c>
      <c r="PJE1" t="s">
        <v>11121</v>
      </c>
      <c r="PJF1" t="s">
        <v>11122</v>
      </c>
      <c r="PJG1" t="s">
        <v>11123</v>
      </c>
      <c r="PJH1" t="s">
        <v>11124</v>
      </c>
      <c r="PJI1" t="s">
        <v>11125</v>
      </c>
      <c r="PJJ1" t="s">
        <v>11126</v>
      </c>
      <c r="PJK1" t="s">
        <v>11127</v>
      </c>
      <c r="PJL1" t="s">
        <v>11128</v>
      </c>
      <c r="PJM1" t="s">
        <v>11129</v>
      </c>
      <c r="PJN1" t="s">
        <v>11130</v>
      </c>
      <c r="PJO1" t="s">
        <v>11131</v>
      </c>
      <c r="PJP1" t="s">
        <v>11132</v>
      </c>
      <c r="PJQ1" t="s">
        <v>11133</v>
      </c>
      <c r="PJR1" t="s">
        <v>11134</v>
      </c>
      <c r="PJS1" t="s">
        <v>11135</v>
      </c>
      <c r="PJT1" t="s">
        <v>11136</v>
      </c>
      <c r="PJU1" t="s">
        <v>11137</v>
      </c>
      <c r="PJV1" t="s">
        <v>11138</v>
      </c>
      <c r="PJW1" t="s">
        <v>11139</v>
      </c>
      <c r="PJX1" t="s">
        <v>11140</v>
      </c>
      <c r="PJY1" t="s">
        <v>11141</v>
      </c>
      <c r="PJZ1" t="s">
        <v>11142</v>
      </c>
      <c r="PKA1" t="s">
        <v>11143</v>
      </c>
      <c r="PKB1" t="s">
        <v>11144</v>
      </c>
      <c r="PKC1" t="s">
        <v>11145</v>
      </c>
      <c r="PKD1" t="s">
        <v>11146</v>
      </c>
      <c r="PKE1" t="s">
        <v>11147</v>
      </c>
      <c r="PKF1" t="s">
        <v>11148</v>
      </c>
      <c r="PKG1" t="s">
        <v>11149</v>
      </c>
      <c r="PKH1" t="s">
        <v>11150</v>
      </c>
      <c r="PKI1" t="s">
        <v>11151</v>
      </c>
      <c r="PKJ1" t="s">
        <v>11152</v>
      </c>
      <c r="PKK1" t="s">
        <v>11153</v>
      </c>
      <c r="PKL1" t="s">
        <v>11154</v>
      </c>
      <c r="PKM1" t="s">
        <v>11155</v>
      </c>
      <c r="PKN1" t="s">
        <v>11156</v>
      </c>
      <c r="PKO1" t="s">
        <v>11157</v>
      </c>
      <c r="PKP1" t="s">
        <v>11158</v>
      </c>
      <c r="PKQ1" t="s">
        <v>11159</v>
      </c>
      <c r="PKR1" t="s">
        <v>11160</v>
      </c>
      <c r="PKS1" t="s">
        <v>11161</v>
      </c>
      <c r="PKT1" t="s">
        <v>11162</v>
      </c>
      <c r="PKU1" t="s">
        <v>11163</v>
      </c>
      <c r="PKV1" t="s">
        <v>11164</v>
      </c>
      <c r="PKW1" t="s">
        <v>11165</v>
      </c>
      <c r="PKX1" t="s">
        <v>11166</v>
      </c>
      <c r="PKY1" t="s">
        <v>11167</v>
      </c>
      <c r="PKZ1" t="s">
        <v>11168</v>
      </c>
      <c r="PLA1" t="s">
        <v>11169</v>
      </c>
      <c r="PLB1" t="s">
        <v>11170</v>
      </c>
      <c r="PLC1" t="s">
        <v>11171</v>
      </c>
      <c r="PLD1" t="s">
        <v>11172</v>
      </c>
      <c r="PLE1" t="s">
        <v>11173</v>
      </c>
      <c r="PLF1" t="s">
        <v>11174</v>
      </c>
      <c r="PLG1" t="s">
        <v>11175</v>
      </c>
      <c r="PLH1" t="s">
        <v>11176</v>
      </c>
      <c r="PLI1" t="s">
        <v>11177</v>
      </c>
      <c r="PLJ1" t="s">
        <v>11178</v>
      </c>
      <c r="PLK1" t="s">
        <v>11179</v>
      </c>
      <c r="PLL1" t="s">
        <v>11180</v>
      </c>
      <c r="PLM1" t="s">
        <v>11181</v>
      </c>
      <c r="PLN1" t="s">
        <v>11182</v>
      </c>
      <c r="PLO1" t="s">
        <v>11183</v>
      </c>
      <c r="PLP1" t="s">
        <v>11184</v>
      </c>
      <c r="PLQ1" t="s">
        <v>11185</v>
      </c>
      <c r="PLR1" t="s">
        <v>11186</v>
      </c>
      <c r="PLS1" t="s">
        <v>11187</v>
      </c>
      <c r="PLT1" t="s">
        <v>11188</v>
      </c>
      <c r="PLU1" t="s">
        <v>11189</v>
      </c>
      <c r="PLV1" t="s">
        <v>11190</v>
      </c>
      <c r="PLW1" t="s">
        <v>11191</v>
      </c>
      <c r="PLX1" t="s">
        <v>11192</v>
      </c>
      <c r="PLY1" t="s">
        <v>11193</v>
      </c>
      <c r="PLZ1" t="s">
        <v>11194</v>
      </c>
      <c r="PMA1" t="s">
        <v>11195</v>
      </c>
      <c r="PMB1" t="s">
        <v>11196</v>
      </c>
      <c r="PMC1" t="s">
        <v>11197</v>
      </c>
      <c r="PMD1" t="s">
        <v>11198</v>
      </c>
      <c r="PME1" t="s">
        <v>11199</v>
      </c>
      <c r="PMF1" t="s">
        <v>11200</v>
      </c>
      <c r="PMG1" t="s">
        <v>11201</v>
      </c>
      <c r="PMH1" t="s">
        <v>11202</v>
      </c>
      <c r="PMI1" t="s">
        <v>11203</v>
      </c>
      <c r="PMJ1" t="s">
        <v>11204</v>
      </c>
      <c r="PMK1" t="s">
        <v>11205</v>
      </c>
      <c r="PML1" t="s">
        <v>11206</v>
      </c>
      <c r="PMM1" t="s">
        <v>11207</v>
      </c>
      <c r="PMN1" t="s">
        <v>11208</v>
      </c>
      <c r="PMO1" t="s">
        <v>11209</v>
      </c>
      <c r="PMP1" t="s">
        <v>11210</v>
      </c>
      <c r="PMQ1" t="s">
        <v>11211</v>
      </c>
      <c r="PMR1" t="s">
        <v>11212</v>
      </c>
      <c r="PMS1" t="s">
        <v>11213</v>
      </c>
      <c r="PMT1" t="s">
        <v>11214</v>
      </c>
      <c r="PMU1" t="s">
        <v>11215</v>
      </c>
      <c r="PMV1" t="s">
        <v>11216</v>
      </c>
      <c r="PMW1" t="s">
        <v>11217</v>
      </c>
      <c r="PMX1" t="s">
        <v>11218</v>
      </c>
      <c r="PMY1" t="s">
        <v>11219</v>
      </c>
      <c r="PMZ1" t="s">
        <v>11220</v>
      </c>
      <c r="PNA1" t="s">
        <v>11221</v>
      </c>
      <c r="PNB1" t="s">
        <v>11222</v>
      </c>
      <c r="PNC1" t="s">
        <v>11223</v>
      </c>
      <c r="PND1" t="s">
        <v>11224</v>
      </c>
      <c r="PNE1" t="s">
        <v>11225</v>
      </c>
      <c r="PNF1" t="s">
        <v>11226</v>
      </c>
      <c r="PNG1" t="s">
        <v>11227</v>
      </c>
      <c r="PNH1" t="s">
        <v>11228</v>
      </c>
      <c r="PNI1" t="s">
        <v>11229</v>
      </c>
      <c r="PNJ1" t="s">
        <v>11230</v>
      </c>
      <c r="PNK1" t="s">
        <v>11231</v>
      </c>
      <c r="PNL1" t="s">
        <v>11232</v>
      </c>
      <c r="PNM1" t="s">
        <v>11233</v>
      </c>
      <c r="PNN1" t="s">
        <v>11234</v>
      </c>
      <c r="PNO1" t="s">
        <v>11235</v>
      </c>
      <c r="PNP1" t="s">
        <v>11236</v>
      </c>
      <c r="PNQ1" t="s">
        <v>11237</v>
      </c>
      <c r="PNR1" t="s">
        <v>11238</v>
      </c>
      <c r="PNS1" t="s">
        <v>11239</v>
      </c>
      <c r="PNT1" t="s">
        <v>11240</v>
      </c>
      <c r="PNU1" t="s">
        <v>11241</v>
      </c>
      <c r="PNV1" t="s">
        <v>11242</v>
      </c>
      <c r="PNW1" t="s">
        <v>11243</v>
      </c>
      <c r="PNX1" t="s">
        <v>11244</v>
      </c>
      <c r="PNY1" t="s">
        <v>11245</v>
      </c>
      <c r="PNZ1" t="s">
        <v>11246</v>
      </c>
      <c r="POA1" t="s">
        <v>11247</v>
      </c>
      <c r="POB1" t="s">
        <v>11248</v>
      </c>
      <c r="POC1" t="s">
        <v>11249</v>
      </c>
      <c r="POD1" t="s">
        <v>11250</v>
      </c>
      <c r="POE1" t="s">
        <v>11251</v>
      </c>
      <c r="POF1" t="s">
        <v>11252</v>
      </c>
      <c r="POG1" t="s">
        <v>11253</v>
      </c>
      <c r="POH1" t="s">
        <v>11254</v>
      </c>
      <c r="POI1" t="s">
        <v>11255</v>
      </c>
      <c r="POJ1" t="s">
        <v>11256</v>
      </c>
      <c r="POK1" t="s">
        <v>11257</v>
      </c>
      <c r="POL1" t="s">
        <v>11258</v>
      </c>
      <c r="POM1" t="s">
        <v>11259</v>
      </c>
      <c r="PON1" t="s">
        <v>11260</v>
      </c>
      <c r="POO1" t="s">
        <v>11261</v>
      </c>
      <c r="POP1" t="s">
        <v>11262</v>
      </c>
      <c r="POQ1" t="s">
        <v>11263</v>
      </c>
      <c r="POR1" t="s">
        <v>11264</v>
      </c>
      <c r="POS1" t="s">
        <v>11265</v>
      </c>
      <c r="POT1" t="s">
        <v>11266</v>
      </c>
      <c r="POU1" t="s">
        <v>11267</v>
      </c>
      <c r="POV1" t="s">
        <v>11268</v>
      </c>
      <c r="POW1" t="s">
        <v>11269</v>
      </c>
      <c r="POX1" t="s">
        <v>11270</v>
      </c>
      <c r="POY1" t="s">
        <v>11271</v>
      </c>
      <c r="POZ1" t="s">
        <v>11272</v>
      </c>
      <c r="PPA1" t="s">
        <v>11273</v>
      </c>
      <c r="PPB1" t="s">
        <v>11274</v>
      </c>
      <c r="PPC1" t="s">
        <v>11275</v>
      </c>
      <c r="PPD1" t="s">
        <v>11276</v>
      </c>
      <c r="PPE1" t="s">
        <v>11277</v>
      </c>
      <c r="PPF1" t="s">
        <v>11278</v>
      </c>
      <c r="PPG1" t="s">
        <v>11279</v>
      </c>
      <c r="PPH1" t="s">
        <v>11280</v>
      </c>
      <c r="PPI1" t="s">
        <v>11281</v>
      </c>
      <c r="PPJ1" t="s">
        <v>11282</v>
      </c>
      <c r="PPK1" t="s">
        <v>11283</v>
      </c>
      <c r="PPL1" t="s">
        <v>11284</v>
      </c>
      <c r="PPM1" t="s">
        <v>11285</v>
      </c>
      <c r="PPN1" t="s">
        <v>11286</v>
      </c>
      <c r="PPO1" t="s">
        <v>11287</v>
      </c>
      <c r="PPP1" t="s">
        <v>11288</v>
      </c>
      <c r="PPQ1" t="s">
        <v>11289</v>
      </c>
      <c r="PPR1" t="s">
        <v>11290</v>
      </c>
      <c r="PPS1" t="s">
        <v>11291</v>
      </c>
      <c r="PPT1" t="s">
        <v>11292</v>
      </c>
      <c r="PPU1" t="s">
        <v>11293</v>
      </c>
      <c r="PPV1" t="s">
        <v>11294</v>
      </c>
      <c r="PPW1" t="s">
        <v>11295</v>
      </c>
      <c r="PPX1" t="s">
        <v>11296</v>
      </c>
      <c r="PPY1" t="s">
        <v>11297</v>
      </c>
      <c r="PPZ1" t="s">
        <v>11298</v>
      </c>
      <c r="PQA1" t="s">
        <v>11299</v>
      </c>
      <c r="PQB1" t="s">
        <v>11300</v>
      </c>
      <c r="PQC1" t="s">
        <v>11301</v>
      </c>
      <c r="PQD1" t="s">
        <v>11302</v>
      </c>
      <c r="PQE1" t="s">
        <v>11303</v>
      </c>
      <c r="PQF1" t="s">
        <v>11304</v>
      </c>
      <c r="PQG1" t="s">
        <v>11305</v>
      </c>
      <c r="PQH1" t="s">
        <v>11306</v>
      </c>
      <c r="PQI1" t="s">
        <v>11307</v>
      </c>
      <c r="PQJ1" t="s">
        <v>11308</v>
      </c>
      <c r="PQK1" t="s">
        <v>11309</v>
      </c>
      <c r="PQL1" t="s">
        <v>11310</v>
      </c>
      <c r="PQM1" t="s">
        <v>11311</v>
      </c>
      <c r="PQN1" t="s">
        <v>11312</v>
      </c>
      <c r="PQO1" t="s">
        <v>11313</v>
      </c>
      <c r="PQP1" t="s">
        <v>11314</v>
      </c>
      <c r="PQQ1" t="s">
        <v>11315</v>
      </c>
      <c r="PQR1" t="s">
        <v>11316</v>
      </c>
      <c r="PQS1" t="s">
        <v>11317</v>
      </c>
      <c r="PQT1" t="s">
        <v>11318</v>
      </c>
      <c r="PQU1" t="s">
        <v>11319</v>
      </c>
      <c r="PQV1" t="s">
        <v>11320</v>
      </c>
      <c r="PQW1" t="s">
        <v>11321</v>
      </c>
      <c r="PQX1" t="s">
        <v>11322</v>
      </c>
      <c r="PQY1" t="s">
        <v>11323</v>
      </c>
      <c r="PQZ1" t="s">
        <v>11324</v>
      </c>
      <c r="PRA1" t="s">
        <v>11325</v>
      </c>
      <c r="PRB1" t="s">
        <v>11326</v>
      </c>
      <c r="PRC1" t="s">
        <v>11327</v>
      </c>
      <c r="PRD1" t="s">
        <v>11328</v>
      </c>
      <c r="PRE1" t="s">
        <v>11329</v>
      </c>
      <c r="PRF1" t="s">
        <v>11330</v>
      </c>
      <c r="PRG1" t="s">
        <v>11331</v>
      </c>
      <c r="PRH1" t="s">
        <v>11332</v>
      </c>
      <c r="PRI1" t="s">
        <v>11333</v>
      </c>
      <c r="PRJ1" t="s">
        <v>11334</v>
      </c>
      <c r="PRK1" t="s">
        <v>11335</v>
      </c>
      <c r="PRL1" t="s">
        <v>11336</v>
      </c>
      <c r="PRM1" t="s">
        <v>11337</v>
      </c>
      <c r="PRN1" t="s">
        <v>11338</v>
      </c>
      <c r="PRO1" t="s">
        <v>11339</v>
      </c>
      <c r="PRP1" t="s">
        <v>11340</v>
      </c>
      <c r="PRQ1" t="s">
        <v>11341</v>
      </c>
      <c r="PRR1" t="s">
        <v>11342</v>
      </c>
      <c r="PRS1" t="s">
        <v>11343</v>
      </c>
      <c r="PRT1" t="s">
        <v>11344</v>
      </c>
      <c r="PRU1" t="s">
        <v>11345</v>
      </c>
      <c r="PRV1" t="s">
        <v>11346</v>
      </c>
      <c r="PRW1" t="s">
        <v>11347</v>
      </c>
      <c r="PRX1" t="s">
        <v>11348</v>
      </c>
      <c r="PRY1" t="s">
        <v>11349</v>
      </c>
      <c r="PRZ1" t="s">
        <v>11350</v>
      </c>
      <c r="PSA1" t="s">
        <v>11351</v>
      </c>
      <c r="PSB1" t="s">
        <v>11352</v>
      </c>
      <c r="PSC1" t="s">
        <v>11353</v>
      </c>
      <c r="PSD1" t="s">
        <v>11354</v>
      </c>
      <c r="PSE1" t="s">
        <v>11355</v>
      </c>
      <c r="PSF1" t="s">
        <v>11356</v>
      </c>
      <c r="PSG1" t="s">
        <v>11357</v>
      </c>
      <c r="PSH1" t="s">
        <v>11358</v>
      </c>
      <c r="PSI1" t="s">
        <v>11359</v>
      </c>
      <c r="PSJ1" t="s">
        <v>11360</v>
      </c>
      <c r="PSK1" t="s">
        <v>11361</v>
      </c>
      <c r="PSL1" t="s">
        <v>11362</v>
      </c>
      <c r="PSM1" t="s">
        <v>11363</v>
      </c>
      <c r="PSN1" t="s">
        <v>11364</v>
      </c>
      <c r="PSO1" t="s">
        <v>11365</v>
      </c>
      <c r="PSP1" t="s">
        <v>11366</v>
      </c>
      <c r="PSQ1" t="s">
        <v>11367</v>
      </c>
      <c r="PSR1" t="s">
        <v>11368</v>
      </c>
      <c r="PSS1" t="s">
        <v>11369</v>
      </c>
      <c r="PST1" t="s">
        <v>11370</v>
      </c>
      <c r="PSU1" t="s">
        <v>11371</v>
      </c>
      <c r="PSV1" t="s">
        <v>11372</v>
      </c>
      <c r="PSW1" t="s">
        <v>11373</v>
      </c>
      <c r="PSX1" t="s">
        <v>11374</v>
      </c>
      <c r="PSY1" t="s">
        <v>11375</v>
      </c>
      <c r="PSZ1" t="s">
        <v>11376</v>
      </c>
      <c r="PTA1" t="s">
        <v>11377</v>
      </c>
      <c r="PTB1" t="s">
        <v>11378</v>
      </c>
      <c r="PTC1" t="s">
        <v>11379</v>
      </c>
      <c r="PTD1" t="s">
        <v>11380</v>
      </c>
      <c r="PTE1" t="s">
        <v>11381</v>
      </c>
      <c r="PTF1" t="s">
        <v>11382</v>
      </c>
      <c r="PTG1" t="s">
        <v>11383</v>
      </c>
      <c r="PTH1" t="s">
        <v>11384</v>
      </c>
      <c r="PTI1" t="s">
        <v>11385</v>
      </c>
      <c r="PTJ1" t="s">
        <v>11386</v>
      </c>
      <c r="PTK1" t="s">
        <v>11387</v>
      </c>
      <c r="PTL1" t="s">
        <v>11388</v>
      </c>
      <c r="PTM1" t="s">
        <v>11389</v>
      </c>
      <c r="PTN1" t="s">
        <v>11390</v>
      </c>
      <c r="PTO1" t="s">
        <v>11391</v>
      </c>
      <c r="PTP1" t="s">
        <v>11392</v>
      </c>
      <c r="PTQ1" t="s">
        <v>11393</v>
      </c>
      <c r="PTR1" t="s">
        <v>11394</v>
      </c>
      <c r="PTS1" t="s">
        <v>11395</v>
      </c>
      <c r="PTT1" t="s">
        <v>11396</v>
      </c>
      <c r="PTU1" t="s">
        <v>11397</v>
      </c>
      <c r="PTV1" t="s">
        <v>11398</v>
      </c>
      <c r="PTW1" t="s">
        <v>11399</v>
      </c>
      <c r="PTX1" t="s">
        <v>11400</v>
      </c>
      <c r="PTY1" t="s">
        <v>11401</v>
      </c>
      <c r="PTZ1" t="s">
        <v>11402</v>
      </c>
      <c r="PUA1" t="s">
        <v>11403</v>
      </c>
      <c r="PUB1" t="s">
        <v>11404</v>
      </c>
      <c r="PUC1" t="s">
        <v>11405</v>
      </c>
      <c r="PUD1" t="s">
        <v>11406</v>
      </c>
      <c r="PUE1" t="s">
        <v>11407</v>
      </c>
      <c r="PUF1" t="s">
        <v>11408</v>
      </c>
      <c r="PUG1" t="s">
        <v>11409</v>
      </c>
      <c r="PUH1" t="s">
        <v>11410</v>
      </c>
      <c r="PUI1" t="s">
        <v>11411</v>
      </c>
      <c r="PUJ1" t="s">
        <v>11412</v>
      </c>
      <c r="PUK1" t="s">
        <v>11413</v>
      </c>
      <c r="PUL1" t="s">
        <v>11414</v>
      </c>
      <c r="PUM1" t="s">
        <v>11415</v>
      </c>
      <c r="PUN1" t="s">
        <v>11416</v>
      </c>
      <c r="PUO1" t="s">
        <v>11417</v>
      </c>
      <c r="PUP1" t="s">
        <v>11418</v>
      </c>
      <c r="PUQ1" t="s">
        <v>11419</v>
      </c>
      <c r="PUR1" t="s">
        <v>11420</v>
      </c>
      <c r="PUS1" t="s">
        <v>11421</v>
      </c>
      <c r="PUT1" t="s">
        <v>11422</v>
      </c>
      <c r="PUU1" t="s">
        <v>11423</v>
      </c>
      <c r="PUV1" t="s">
        <v>11424</v>
      </c>
      <c r="PUW1" t="s">
        <v>11425</v>
      </c>
      <c r="PUX1" t="s">
        <v>11426</v>
      </c>
      <c r="PUY1" t="s">
        <v>11427</v>
      </c>
      <c r="PUZ1" t="s">
        <v>11428</v>
      </c>
      <c r="PVA1" t="s">
        <v>11429</v>
      </c>
      <c r="PVB1" t="s">
        <v>11430</v>
      </c>
      <c r="PVC1" t="s">
        <v>11431</v>
      </c>
      <c r="PVD1" t="s">
        <v>11432</v>
      </c>
      <c r="PVE1" t="s">
        <v>11433</v>
      </c>
      <c r="PVF1" t="s">
        <v>11434</v>
      </c>
      <c r="PVG1" t="s">
        <v>11435</v>
      </c>
      <c r="PVH1" t="s">
        <v>11436</v>
      </c>
      <c r="PVI1" t="s">
        <v>11437</v>
      </c>
      <c r="PVJ1" t="s">
        <v>11438</v>
      </c>
      <c r="PVK1" t="s">
        <v>11439</v>
      </c>
      <c r="PVL1" t="s">
        <v>11440</v>
      </c>
      <c r="PVM1" t="s">
        <v>11441</v>
      </c>
      <c r="PVN1" t="s">
        <v>11442</v>
      </c>
      <c r="PVO1" t="s">
        <v>11443</v>
      </c>
      <c r="PVP1" t="s">
        <v>11444</v>
      </c>
      <c r="PVQ1" t="s">
        <v>11445</v>
      </c>
      <c r="PVR1" t="s">
        <v>11446</v>
      </c>
      <c r="PVS1" t="s">
        <v>11447</v>
      </c>
      <c r="PVT1" t="s">
        <v>11448</v>
      </c>
      <c r="PVU1" t="s">
        <v>11449</v>
      </c>
      <c r="PVV1" t="s">
        <v>11450</v>
      </c>
      <c r="PVW1" t="s">
        <v>11451</v>
      </c>
      <c r="PVX1" t="s">
        <v>11452</v>
      </c>
      <c r="PVY1" t="s">
        <v>11453</v>
      </c>
      <c r="PVZ1" t="s">
        <v>11454</v>
      </c>
      <c r="PWA1" t="s">
        <v>11455</v>
      </c>
      <c r="PWB1" t="s">
        <v>11456</v>
      </c>
      <c r="PWC1" t="s">
        <v>11457</v>
      </c>
      <c r="PWD1" t="s">
        <v>11458</v>
      </c>
      <c r="PWE1" t="s">
        <v>11459</v>
      </c>
      <c r="PWF1" t="s">
        <v>11460</v>
      </c>
      <c r="PWG1" t="s">
        <v>11461</v>
      </c>
      <c r="PWH1" t="s">
        <v>11462</v>
      </c>
      <c r="PWI1" t="s">
        <v>11463</v>
      </c>
      <c r="PWJ1" t="s">
        <v>11464</v>
      </c>
      <c r="PWK1" t="s">
        <v>11465</v>
      </c>
      <c r="PWL1" t="s">
        <v>11466</v>
      </c>
      <c r="PWM1" t="s">
        <v>11467</v>
      </c>
      <c r="PWN1" t="s">
        <v>11468</v>
      </c>
      <c r="PWO1" t="s">
        <v>11469</v>
      </c>
      <c r="PWP1" t="s">
        <v>11470</v>
      </c>
      <c r="PWQ1" t="s">
        <v>11471</v>
      </c>
      <c r="PWR1" t="s">
        <v>11472</v>
      </c>
      <c r="PWS1" t="s">
        <v>11473</v>
      </c>
      <c r="PWT1" t="s">
        <v>11474</v>
      </c>
      <c r="PWU1" t="s">
        <v>11475</v>
      </c>
      <c r="PWV1" t="s">
        <v>11476</v>
      </c>
      <c r="PWW1" t="s">
        <v>11477</v>
      </c>
      <c r="PWX1" t="s">
        <v>11478</v>
      </c>
      <c r="PWY1" t="s">
        <v>11479</v>
      </c>
      <c r="PWZ1" t="s">
        <v>11480</v>
      </c>
      <c r="PXA1" t="s">
        <v>11481</v>
      </c>
      <c r="PXB1" t="s">
        <v>11482</v>
      </c>
      <c r="PXC1" t="s">
        <v>11483</v>
      </c>
      <c r="PXD1" t="s">
        <v>11484</v>
      </c>
      <c r="PXE1" t="s">
        <v>11485</v>
      </c>
      <c r="PXF1" t="s">
        <v>11486</v>
      </c>
      <c r="PXG1" t="s">
        <v>11487</v>
      </c>
      <c r="PXH1" t="s">
        <v>11488</v>
      </c>
      <c r="PXI1" t="s">
        <v>11489</v>
      </c>
      <c r="PXJ1" t="s">
        <v>11490</v>
      </c>
      <c r="PXK1" t="s">
        <v>11491</v>
      </c>
      <c r="PXL1" t="s">
        <v>11492</v>
      </c>
      <c r="PXM1" t="s">
        <v>11493</v>
      </c>
      <c r="PXN1" t="s">
        <v>11494</v>
      </c>
      <c r="PXO1" t="s">
        <v>11495</v>
      </c>
      <c r="PXP1" t="s">
        <v>11496</v>
      </c>
      <c r="PXQ1" t="s">
        <v>11497</v>
      </c>
      <c r="PXR1" t="s">
        <v>11498</v>
      </c>
      <c r="PXS1" t="s">
        <v>11499</v>
      </c>
      <c r="PXT1" t="s">
        <v>11500</v>
      </c>
      <c r="PXU1" t="s">
        <v>11501</v>
      </c>
      <c r="PXV1" t="s">
        <v>11502</v>
      </c>
      <c r="PXW1" t="s">
        <v>11503</v>
      </c>
      <c r="PXX1" t="s">
        <v>11504</v>
      </c>
      <c r="PXY1" t="s">
        <v>11505</v>
      </c>
      <c r="PXZ1" t="s">
        <v>11506</v>
      </c>
      <c r="PYA1" t="s">
        <v>11507</v>
      </c>
      <c r="PYB1" t="s">
        <v>11508</v>
      </c>
      <c r="PYC1" t="s">
        <v>11509</v>
      </c>
      <c r="PYD1" t="s">
        <v>11510</v>
      </c>
      <c r="PYE1" t="s">
        <v>11511</v>
      </c>
      <c r="PYF1" t="s">
        <v>11512</v>
      </c>
      <c r="PYG1" t="s">
        <v>11513</v>
      </c>
      <c r="PYH1" t="s">
        <v>11514</v>
      </c>
      <c r="PYI1" t="s">
        <v>11515</v>
      </c>
      <c r="PYJ1" t="s">
        <v>11516</v>
      </c>
      <c r="PYK1" t="s">
        <v>11517</v>
      </c>
      <c r="PYL1" t="s">
        <v>11518</v>
      </c>
      <c r="PYM1" t="s">
        <v>11519</v>
      </c>
      <c r="PYN1" t="s">
        <v>11520</v>
      </c>
      <c r="PYO1" t="s">
        <v>11521</v>
      </c>
      <c r="PYP1" t="s">
        <v>11522</v>
      </c>
      <c r="PYQ1" t="s">
        <v>11523</v>
      </c>
      <c r="PYR1" t="s">
        <v>11524</v>
      </c>
      <c r="PYS1" t="s">
        <v>11525</v>
      </c>
      <c r="PYT1" t="s">
        <v>11526</v>
      </c>
      <c r="PYU1" t="s">
        <v>11527</v>
      </c>
      <c r="PYV1" t="s">
        <v>11528</v>
      </c>
      <c r="PYW1" t="s">
        <v>11529</v>
      </c>
      <c r="PYX1" t="s">
        <v>11530</v>
      </c>
      <c r="PYY1" t="s">
        <v>11531</v>
      </c>
      <c r="PYZ1" t="s">
        <v>11532</v>
      </c>
      <c r="PZA1" t="s">
        <v>11533</v>
      </c>
      <c r="PZB1" t="s">
        <v>11534</v>
      </c>
      <c r="PZC1" t="s">
        <v>11535</v>
      </c>
      <c r="PZD1" t="s">
        <v>11536</v>
      </c>
      <c r="PZE1" t="s">
        <v>11537</v>
      </c>
      <c r="PZF1" t="s">
        <v>11538</v>
      </c>
      <c r="PZG1" t="s">
        <v>11539</v>
      </c>
      <c r="PZH1" t="s">
        <v>11540</v>
      </c>
      <c r="PZI1" t="s">
        <v>11541</v>
      </c>
      <c r="PZJ1" t="s">
        <v>11542</v>
      </c>
      <c r="PZK1" t="s">
        <v>11543</v>
      </c>
      <c r="PZL1" t="s">
        <v>11544</v>
      </c>
      <c r="PZM1" t="s">
        <v>11545</v>
      </c>
      <c r="PZN1" t="s">
        <v>11546</v>
      </c>
      <c r="PZO1" t="s">
        <v>11547</v>
      </c>
      <c r="PZP1" t="s">
        <v>11548</v>
      </c>
      <c r="PZQ1" t="s">
        <v>11549</v>
      </c>
      <c r="PZR1" t="s">
        <v>11550</v>
      </c>
      <c r="PZS1" t="s">
        <v>11551</v>
      </c>
      <c r="PZT1" t="s">
        <v>11552</v>
      </c>
      <c r="PZU1" t="s">
        <v>11553</v>
      </c>
      <c r="PZV1" t="s">
        <v>11554</v>
      </c>
      <c r="PZW1" t="s">
        <v>11555</v>
      </c>
      <c r="PZX1" t="s">
        <v>11556</v>
      </c>
      <c r="PZY1" t="s">
        <v>11557</v>
      </c>
      <c r="PZZ1" t="s">
        <v>11558</v>
      </c>
      <c r="QAA1" t="s">
        <v>11559</v>
      </c>
      <c r="QAB1" t="s">
        <v>11560</v>
      </c>
      <c r="QAC1" t="s">
        <v>11561</v>
      </c>
      <c r="QAD1" t="s">
        <v>11562</v>
      </c>
      <c r="QAE1" t="s">
        <v>11563</v>
      </c>
      <c r="QAF1" t="s">
        <v>11564</v>
      </c>
      <c r="QAG1" t="s">
        <v>11565</v>
      </c>
      <c r="QAH1" t="s">
        <v>11566</v>
      </c>
      <c r="QAI1" t="s">
        <v>11567</v>
      </c>
      <c r="QAJ1" t="s">
        <v>11568</v>
      </c>
      <c r="QAK1" t="s">
        <v>11569</v>
      </c>
      <c r="QAL1" t="s">
        <v>11570</v>
      </c>
      <c r="QAM1" t="s">
        <v>11571</v>
      </c>
      <c r="QAN1" t="s">
        <v>11572</v>
      </c>
      <c r="QAO1" t="s">
        <v>11573</v>
      </c>
      <c r="QAP1" t="s">
        <v>11574</v>
      </c>
      <c r="QAQ1" t="s">
        <v>11575</v>
      </c>
      <c r="QAR1" t="s">
        <v>11576</v>
      </c>
      <c r="QAS1" t="s">
        <v>11577</v>
      </c>
      <c r="QAT1" t="s">
        <v>11578</v>
      </c>
      <c r="QAU1" t="s">
        <v>11579</v>
      </c>
      <c r="QAV1" t="s">
        <v>11580</v>
      </c>
      <c r="QAW1" t="s">
        <v>11581</v>
      </c>
      <c r="QAX1" t="s">
        <v>11582</v>
      </c>
      <c r="QAY1" t="s">
        <v>11583</v>
      </c>
      <c r="QAZ1" t="s">
        <v>11584</v>
      </c>
      <c r="QBA1" t="s">
        <v>11585</v>
      </c>
      <c r="QBB1" t="s">
        <v>11586</v>
      </c>
      <c r="QBC1" t="s">
        <v>11587</v>
      </c>
      <c r="QBD1" t="s">
        <v>11588</v>
      </c>
      <c r="QBE1" t="s">
        <v>11589</v>
      </c>
      <c r="QBF1" t="s">
        <v>11590</v>
      </c>
      <c r="QBG1" t="s">
        <v>11591</v>
      </c>
      <c r="QBH1" t="s">
        <v>11592</v>
      </c>
      <c r="QBI1" t="s">
        <v>11593</v>
      </c>
      <c r="QBJ1" t="s">
        <v>11594</v>
      </c>
      <c r="QBK1" t="s">
        <v>11595</v>
      </c>
      <c r="QBL1" t="s">
        <v>11596</v>
      </c>
      <c r="QBM1" t="s">
        <v>11597</v>
      </c>
      <c r="QBN1" t="s">
        <v>11598</v>
      </c>
      <c r="QBO1" t="s">
        <v>11599</v>
      </c>
      <c r="QBP1" t="s">
        <v>11600</v>
      </c>
      <c r="QBQ1" t="s">
        <v>11601</v>
      </c>
      <c r="QBR1" t="s">
        <v>11602</v>
      </c>
      <c r="QBS1" t="s">
        <v>11603</v>
      </c>
      <c r="QBT1" t="s">
        <v>11604</v>
      </c>
      <c r="QBU1" t="s">
        <v>11605</v>
      </c>
      <c r="QBV1" t="s">
        <v>11606</v>
      </c>
      <c r="QBW1" t="s">
        <v>11607</v>
      </c>
      <c r="QBX1" t="s">
        <v>11608</v>
      </c>
      <c r="QBY1" t="s">
        <v>11609</v>
      </c>
      <c r="QBZ1" t="s">
        <v>11610</v>
      </c>
      <c r="QCA1" t="s">
        <v>11611</v>
      </c>
      <c r="QCB1" t="s">
        <v>11612</v>
      </c>
      <c r="QCC1" t="s">
        <v>11613</v>
      </c>
      <c r="QCD1" t="s">
        <v>11614</v>
      </c>
      <c r="QCE1" t="s">
        <v>11615</v>
      </c>
      <c r="QCF1" t="s">
        <v>11616</v>
      </c>
      <c r="QCG1" t="s">
        <v>11617</v>
      </c>
      <c r="QCH1" t="s">
        <v>11618</v>
      </c>
      <c r="QCI1" t="s">
        <v>11619</v>
      </c>
      <c r="QCJ1" t="s">
        <v>11620</v>
      </c>
      <c r="QCK1" t="s">
        <v>11621</v>
      </c>
      <c r="QCL1" t="s">
        <v>11622</v>
      </c>
      <c r="QCM1" t="s">
        <v>11623</v>
      </c>
      <c r="QCN1" t="s">
        <v>11624</v>
      </c>
      <c r="QCO1" t="s">
        <v>11625</v>
      </c>
      <c r="QCP1" t="s">
        <v>11626</v>
      </c>
      <c r="QCQ1" t="s">
        <v>11627</v>
      </c>
      <c r="QCR1" t="s">
        <v>11628</v>
      </c>
      <c r="QCS1" t="s">
        <v>11629</v>
      </c>
      <c r="QCT1" t="s">
        <v>11630</v>
      </c>
      <c r="QCU1" t="s">
        <v>11631</v>
      </c>
      <c r="QCV1" t="s">
        <v>11632</v>
      </c>
      <c r="QCW1" t="s">
        <v>11633</v>
      </c>
      <c r="QCX1" t="s">
        <v>11634</v>
      </c>
      <c r="QCY1" t="s">
        <v>11635</v>
      </c>
      <c r="QCZ1" t="s">
        <v>11636</v>
      </c>
      <c r="QDA1" t="s">
        <v>11637</v>
      </c>
      <c r="QDB1" t="s">
        <v>11638</v>
      </c>
      <c r="QDC1" t="s">
        <v>11639</v>
      </c>
      <c r="QDD1" t="s">
        <v>11640</v>
      </c>
      <c r="QDE1" t="s">
        <v>11641</v>
      </c>
      <c r="QDF1" t="s">
        <v>11642</v>
      </c>
      <c r="QDG1" t="s">
        <v>11643</v>
      </c>
      <c r="QDH1" t="s">
        <v>11644</v>
      </c>
      <c r="QDI1" t="s">
        <v>11645</v>
      </c>
      <c r="QDJ1" t="s">
        <v>11646</v>
      </c>
      <c r="QDK1" t="s">
        <v>11647</v>
      </c>
      <c r="QDL1" t="s">
        <v>11648</v>
      </c>
      <c r="QDM1" t="s">
        <v>11649</v>
      </c>
      <c r="QDN1" t="s">
        <v>11650</v>
      </c>
      <c r="QDO1" t="s">
        <v>11651</v>
      </c>
      <c r="QDP1" t="s">
        <v>11652</v>
      </c>
      <c r="QDQ1" t="s">
        <v>11653</v>
      </c>
      <c r="QDR1" t="s">
        <v>11654</v>
      </c>
      <c r="QDS1" t="s">
        <v>11655</v>
      </c>
      <c r="QDT1" t="s">
        <v>11656</v>
      </c>
      <c r="QDU1" t="s">
        <v>11657</v>
      </c>
      <c r="QDV1" t="s">
        <v>11658</v>
      </c>
      <c r="QDW1" t="s">
        <v>11659</v>
      </c>
      <c r="QDX1" t="s">
        <v>11660</v>
      </c>
      <c r="QDY1" t="s">
        <v>11661</v>
      </c>
      <c r="QDZ1" t="s">
        <v>11662</v>
      </c>
      <c r="QEA1" t="s">
        <v>11663</v>
      </c>
      <c r="QEB1" t="s">
        <v>11664</v>
      </c>
      <c r="QEC1" t="s">
        <v>11665</v>
      </c>
      <c r="QED1" t="s">
        <v>11666</v>
      </c>
      <c r="QEE1" t="s">
        <v>11667</v>
      </c>
      <c r="QEF1" t="s">
        <v>11668</v>
      </c>
      <c r="QEG1" t="s">
        <v>11669</v>
      </c>
      <c r="QEH1" t="s">
        <v>11670</v>
      </c>
      <c r="QEI1" t="s">
        <v>11671</v>
      </c>
      <c r="QEJ1" t="s">
        <v>11672</v>
      </c>
      <c r="QEK1" t="s">
        <v>11673</v>
      </c>
      <c r="QEL1" t="s">
        <v>11674</v>
      </c>
      <c r="QEM1" t="s">
        <v>11675</v>
      </c>
      <c r="QEN1" t="s">
        <v>11676</v>
      </c>
      <c r="QEO1" t="s">
        <v>11677</v>
      </c>
      <c r="QEP1" t="s">
        <v>11678</v>
      </c>
      <c r="QEQ1" t="s">
        <v>11679</v>
      </c>
      <c r="QER1" t="s">
        <v>11680</v>
      </c>
      <c r="QES1" t="s">
        <v>11681</v>
      </c>
      <c r="QET1" t="s">
        <v>11682</v>
      </c>
      <c r="QEU1" t="s">
        <v>11683</v>
      </c>
      <c r="QEV1" t="s">
        <v>11684</v>
      </c>
      <c r="QEW1" t="s">
        <v>11685</v>
      </c>
      <c r="QEX1" t="s">
        <v>11686</v>
      </c>
      <c r="QEY1" t="s">
        <v>11687</v>
      </c>
      <c r="QEZ1" t="s">
        <v>11688</v>
      </c>
      <c r="QFA1" t="s">
        <v>11689</v>
      </c>
      <c r="QFB1" t="s">
        <v>11690</v>
      </c>
      <c r="QFC1" t="s">
        <v>11691</v>
      </c>
      <c r="QFD1" t="s">
        <v>11692</v>
      </c>
      <c r="QFE1" t="s">
        <v>11693</v>
      </c>
      <c r="QFF1" t="s">
        <v>11694</v>
      </c>
      <c r="QFG1" t="s">
        <v>11695</v>
      </c>
      <c r="QFH1" t="s">
        <v>11696</v>
      </c>
      <c r="QFI1" t="s">
        <v>11697</v>
      </c>
      <c r="QFJ1" t="s">
        <v>11698</v>
      </c>
      <c r="QFK1" t="s">
        <v>11699</v>
      </c>
      <c r="QFL1" t="s">
        <v>11700</v>
      </c>
      <c r="QFM1" t="s">
        <v>11701</v>
      </c>
      <c r="QFN1" t="s">
        <v>11702</v>
      </c>
      <c r="QFO1" t="s">
        <v>11703</v>
      </c>
      <c r="QFP1" t="s">
        <v>11704</v>
      </c>
      <c r="QFQ1" t="s">
        <v>11705</v>
      </c>
      <c r="QFR1" t="s">
        <v>11706</v>
      </c>
      <c r="QFS1" t="s">
        <v>11707</v>
      </c>
      <c r="QFT1" t="s">
        <v>11708</v>
      </c>
      <c r="QFU1" t="s">
        <v>11709</v>
      </c>
      <c r="QFV1" t="s">
        <v>11710</v>
      </c>
      <c r="QFW1" t="s">
        <v>11711</v>
      </c>
      <c r="QFX1" t="s">
        <v>11712</v>
      </c>
      <c r="QFY1" t="s">
        <v>11713</v>
      </c>
      <c r="QFZ1" t="s">
        <v>11714</v>
      </c>
      <c r="QGA1" t="s">
        <v>11715</v>
      </c>
      <c r="QGB1" t="s">
        <v>11716</v>
      </c>
      <c r="QGC1" t="s">
        <v>11717</v>
      </c>
      <c r="QGD1" t="s">
        <v>11718</v>
      </c>
      <c r="QGE1" t="s">
        <v>11719</v>
      </c>
      <c r="QGF1" t="s">
        <v>11720</v>
      </c>
      <c r="QGG1" t="s">
        <v>11721</v>
      </c>
      <c r="QGH1" t="s">
        <v>11722</v>
      </c>
      <c r="QGI1" t="s">
        <v>11723</v>
      </c>
      <c r="QGJ1" t="s">
        <v>11724</v>
      </c>
      <c r="QGK1" t="s">
        <v>11725</v>
      </c>
      <c r="QGL1" t="s">
        <v>11726</v>
      </c>
      <c r="QGM1" t="s">
        <v>11727</v>
      </c>
      <c r="QGN1" t="s">
        <v>11728</v>
      </c>
      <c r="QGO1" t="s">
        <v>11729</v>
      </c>
      <c r="QGP1" t="s">
        <v>11730</v>
      </c>
      <c r="QGQ1" t="s">
        <v>11731</v>
      </c>
      <c r="QGR1" t="s">
        <v>11732</v>
      </c>
      <c r="QGS1" t="s">
        <v>11733</v>
      </c>
      <c r="QGT1" t="s">
        <v>11734</v>
      </c>
      <c r="QGU1" t="s">
        <v>11735</v>
      </c>
      <c r="QGV1" t="s">
        <v>11736</v>
      </c>
      <c r="QGW1" t="s">
        <v>11737</v>
      </c>
      <c r="QGX1" t="s">
        <v>11738</v>
      </c>
      <c r="QGY1" t="s">
        <v>11739</v>
      </c>
      <c r="QGZ1" t="s">
        <v>11740</v>
      </c>
      <c r="QHA1" t="s">
        <v>11741</v>
      </c>
      <c r="QHB1" t="s">
        <v>11742</v>
      </c>
      <c r="QHC1" t="s">
        <v>11743</v>
      </c>
      <c r="QHD1" t="s">
        <v>11744</v>
      </c>
      <c r="QHE1" t="s">
        <v>11745</v>
      </c>
      <c r="QHF1" t="s">
        <v>11746</v>
      </c>
      <c r="QHG1" t="s">
        <v>11747</v>
      </c>
      <c r="QHH1" t="s">
        <v>11748</v>
      </c>
      <c r="QHI1" t="s">
        <v>11749</v>
      </c>
      <c r="QHJ1" t="s">
        <v>11750</v>
      </c>
      <c r="QHK1" t="s">
        <v>11751</v>
      </c>
      <c r="QHL1" t="s">
        <v>11752</v>
      </c>
      <c r="QHM1" t="s">
        <v>11753</v>
      </c>
      <c r="QHN1" t="s">
        <v>11754</v>
      </c>
      <c r="QHO1" t="s">
        <v>11755</v>
      </c>
      <c r="QHP1" t="s">
        <v>11756</v>
      </c>
      <c r="QHQ1" t="s">
        <v>11757</v>
      </c>
      <c r="QHR1" t="s">
        <v>11758</v>
      </c>
      <c r="QHS1" t="s">
        <v>11759</v>
      </c>
      <c r="QHT1" t="s">
        <v>11760</v>
      </c>
      <c r="QHU1" t="s">
        <v>11761</v>
      </c>
      <c r="QHV1" t="s">
        <v>11762</v>
      </c>
      <c r="QHW1" t="s">
        <v>11763</v>
      </c>
      <c r="QHX1" t="s">
        <v>11764</v>
      </c>
      <c r="QHY1" t="s">
        <v>11765</v>
      </c>
      <c r="QHZ1" t="s">
        <v>11766</v>
      </c>
      <c r="QIA1" t="s">
        <v>11767</v>
      </c>
      <c r="QIB1" t="s">
        <v>11768</v>
      </c>
      <c r="QIC1" t="s">
        <v>11769</v>
      </c>
      <c r="QID1" t="s">
        <v>11770</v>
      </c>
      <c r="QIE1" t="s">
        <v>11771</v>
      </c>
      <c r="QIF1" t="s">
        <v>11772</v>
      </c>
      <c r="QIG1" t="s">
        <v>11773</v>
      </c>
      <c r="QIH1" t="s">
        <v>11774</v>
      </c>
      <c r="QII1" t="s">
        <v>11775</v>
      </c>
      <c r="QIJ1" t="s">
        <v>11776</v>
      </c>
      <c r="QIK1" t="s">
        <v>11777</v>
      </c>
      <c r="QIL1" t="s">
        <v>11778</v>
      </c>
      <c r="QIM1" t="s">
        <v>11779</v>
      </c>
      <c r="QIN1" t="s">
        <v>11780</v>
      </c>
      <c r="QIO1" t="s">
        <v>11781</v>
      </c>
      <c r="QIP1" t="s">
        <v>11782</v>
      </c>
      <c r="QIQ1" t="s">
        <v>11783</v>
      </c>
      <c r="QIR1" t="s">
        <v>11784</v>
      </c>
      <c r="QIS1" t="s">
        <v>11785</v>
      </c>
      <c r="QIT1" t="s">
        <v>11786</v>
      </c>
      <c r="QIU1" t="s">
        <v>11787</v>
      </c>
      <c r="QIV1" t="s">
        <v>11788</v>
      </c>
      <c r="QIW1" t="s">
        <v>11789</v>
      </c>
      <c r="QIX1" t="s">
        <v>11790</v>
      </c>
      <c r="QIY1" t="s">
        <v>11791</v>
      </c>
      <c r="QIZ1" t="s">
        <v>11792</v>
      </c>
      <c r="QJA1" t="s">
        <v>11793</v>
      </c>
      <c r="QJB1" t="s">
        <v>11794</v>
      </c>
      <c r="QJC1" t="s">
        <v>11795</v>
      </c>
      <c r="QJD1" t="s">
        <v>11796</v>
      </c>
      <c r="QJE1" t="s">
        <v>11797</v>
      </c>
      <c r="QJF1" t="s">
        <v>11798</v>
      </c>
      <c r="QJG1" t="s">
        <v>11799</v>
      </c>
      <c r="QJH1" t="s">
        <v>11800</v>
      </c>
      <c r="QJI1" t="s">
        <v>11801</v>
      </c>
      <c r="QJJ1" t="s">
        <v>11802</v>
      </c>
      <c r="QJK1" t="s">
        <v>11803</v>
      </c>
      <c r="QJL1" t="s">
        <v>11804</v>
      </c>
      <c r="QJM1" t="s">
        <v>11805</v>
      </c>
      <c r="QJN1" t="s">
        <v>11806</v>
      </c>
      <c r="QJO1" t="s">
        <v>11807</v>
      </c>
      <c r="QJP1" t="s">
        <v>11808</v>
      </c>
      <c r="QJQ1" t="s">
        <v>11809</v>
      </c>
      <c r="QJR1" t="s">
        <v>11810</v>
      </c>
      <c r="QJS1" t="s">
        <v>11811</v>
      </c>
      <c r="QJT1" t="s">
        <v>11812</v>
      </c>
      <c r="QJU1" t="s">
        <v>11813</v>
      </c>
      <c r="QJV1" t="s">
        <v>11814</v>
      </c>
      <c r="QJW1" t="s">
        <v>11815</v>
      </c>
      <c r="QJX1" t="s">
        <v>11816</v>
      </c>
      <c r="QJY1" t="s">
        <v>11817</v>
      </c>
      <c r="QJZ1" t="s">
        <v>11818</v>
      </c>
      <c r="QKA1" t="s">
        <v>11819</v>
      </c>
      <c r="QKB1" t="s">
        <v>11820</v>
      </c>
      <c r="QKC1" t="s">
        <v>11821</v>
      </c>
      <c r="QKD1" t="s">
        <v>11822</v>
      </c>
      <c r="QKE1" t="s">
        <v>11823</v>
      </c>
      <c r="QKF1" t="s">
        <v>11824</v>
      </c>
      <c r="QKG1" t="s">
        <v>11825</v>
      </c>
      <c r="QKH1" t="s">
        <v>11826</v>
      </c>
      <c r="QKI1" t="s">
        <v>11827</v>
      </c>
      <c r="QKJ1" t="s">
        <v>11828</v>
      </c>
      <c r="QKK1" t="s">
        <v>11829</v>
      </c>
      <c r="QKL1" t="s">
        <v>11830</v>
      </c>
      <c r="QKM1" t="s">
        <v>11831</v>
      </c>
      <c r="QKN1" t="s">
        <v>11832</v>
      </c>
      <c r="QKO1" t="s">
        <v>11833</v>
      </c>
      <c r="QKP1" t="s">
        <v>11834</v>
      </c>
      <c r="QKQ1" t="s">
        <v>11835</v>
      </c>
      <c r="QKR1" t="s">
        <v>11836</v>
      </c>
      <c r="QKS1" t="s">
        <v>11837</v>
      </c>
      <c r="QKT1" t="s">
        <v>11838</v>
      </c>
      <c r="QKU1" t="s">
        <v>11839</v>
      </c>
      <c r="QKV1" t="s">
        <v>11840</v>
      </c>
      <c r="QKW1" t="s">
        <v>11841</v>
      </c>
      <c r="QKX1" t="s">
        <v>11842</v>
      </c>
      <c r="QKY1" t="s">
        <v>11843</v>
      </c>
      <c r="QKZ1" t="s">
        <v>11844</v>
      </c>
      <c r="QLA1" t="s">
        <v>11845</v>
      </c>
      <c r="QLB1" t="s">
        <v>11846</v>
      </c>
      <c r="QLC1" t="s">
        <v>11847</v>
      </c>
      <c r="QLD1" t="s">
        <v>11848</v>
      </c>
      <c r="QLE1" t="s">
        <v>11849</v>
      </c>
      <c r="QLF1" t="s">
        <v>11850</v>
      </c>
      <c r="QLG1" t="s">
        <v>11851</v>
      </c>
      <c r="QLH1" t="s">
        <v>11852</v>
      </c>
      <c r="QLI1" t="s">
        <v>11853</v>
      </c>
      <c r="QLJ1" t="s">
        <v>11854</v>
      </c>
      <c r="QLK1" t="s">
        <v>11855</v>
      </c>
      <c r="QLL1" t="s">
        <v>11856</v>
      </c>
      <c r="QLM1" t="s">
        <v>11857</v>
      </c>
      <c r="QLN1" t="s">
        <v>11858</v>
      </c>
      <c r="QLO1" t="s">
        <v>11859</v>
      </c>
      <c r="QLP1" t="s">
        <v>11860</v>
      </c>
      <c r="QLQ1" t="s">
        <v>11861</v>
      </c>
      <c r="QLR1" t="s">
        <v>11862</v>
      </c>
      <c r="QLS1" t="s">
        <v>11863</v>
      </c>
      <c r="QLT1" t="s">
        <v>11864</v>
      </c>
      <c r="QLU1" t="s">
        <v>11865</v>
      </c>
      <c r="QLV1" t="s">
        <v>11866</v>
      </c>
      <c r="QLW1" t="s">
        <v>11867</v>
      </c>
      <c r="QLX1" t="s">
        <v>11868</v>
      </c>
      <c r="QLY1" t="s">
        <v>11869</v>
      </c>
      <c r="QLZ1" t="s">
        <v>11870</v>
      </c>
      <c r="QMA1" t="s">
        <v>11871</v>
      </c>
      <c r="QMB1" t="s">
        <v>11872</v>
      </c>
      <c r="QMC1" t="s">
        <v>11873</v>
      </c>
      <c r="QMD1" t="s">
        <v>11874</v>
      </c>
      <c r="QME1" t="s">
        <v>11875</v>
      </c>
      <c r="QMF1" t="s">
        <v>11876</v>
      </c>
      <c r="QMG1" t="s">
        <v>11877</v>
      </c>
      <c r="QMH1" t="s">
        <v>11878</v>
      </c>
      <c r="QMI1" t="s">
        <v>11879</v>
      </c>
      <c r="QMJ1" t="s">
        <v>11880</v>
      </c>
      <c r="QMK1" t="s">
        <v>11881</v>
      </c>
      <c r="QML1" t="s">
        <v>11882</v>
      </c>
      <c r="QMM1" t="s">
        <v>11883</v>
      </c>
      <c r="QMN1" t="s">
        <v>11884</v>
      </c>
      <c r="QMO1" t="s">
        <v>11885</v>
      </c>
      <c r="QMP1" t="s">
        <v>11886</v>
      </c>
      <c r="QMQ1" t="s">
        <v>11887</v>
      </c>
      <c r="QMR1" t="s">
        <v>11888</v>
      </c>
      <c r="QMS1" t="s">
        <v>11889</v>
      </c>
      <c r="QMT1" t="s">
        <v>11890</v>
      </c>
      <c r="QMU1" t="s">
        <v>11891</v>
      </c>
      <c r="QMV1" t="s">
        <v>11892</v>
      </c>
      <c r="QMW1" t="s">
        <v>11893</v>
      </c>
      <c r="QMX1" t="s">
        <v>11894</v>
      </c>
      <c r="QMY1" t="s">
        <v>11895</v>
      </c>
      <c r="QMZ1" t="s">
        <v>11896</v>
      </c>
      <c r="QNA1" t="s">
        <v>11897</v>
      </c>
      <c r="QNB1" t="s">
        <v>11898</v>
      </c>
      <c r="QNC1" t="s">
        <v>11899</v>
      </c>
      <c r="QND1" t="s">
        <v>11900</v>
      </c>
      <c r="QNE1" t="s">
        <v>11901</v>
      </c>
      <c r="QNF1" t="s">
        <v>11902</v>
      </c>
      <c r="QNG1" t="s">
        <v>11903</v>
      </c>
      <c r="QNH1" t="s">
        <v>11904</v>
      </c>
      <c r="QNI1" t="s">
        <v>11905</v>
      </c>
      <c r="QNJ1" t="s">
        <v>11906</v>
      </c>
      <c r="QNK1" t="s">
        <v>11907</v>
      </c>
      <c r="QNL1" t="s">
        <v>11908</v>
      </c>
      <c r="QNM1" t="s">
        <v>11909</v>
      </c>
      <c r="QNN1" t="s">
        <v>11910</v>
      </c>
      <c r="QNO1" t="s">
        <v>11911</v>
      </c>
      <c r="QNP1" t="s">
        <v>11912</v>
      </c>
      <c r="QNQ1" t="s">
        <v>11913</v>
      </c>
      <c r="QNR1" t="s">
        <v>11914</v>
      </c>
      <c r="QNS1" t="s">
        <v>11915</v>
      </c>
      <c r="QNT1" t="s">
        <v>11916</v>
      </c>
      <c r="QNU1" t="s">
        <v>11917</v>
      </c>
      <c r="QNV1" t="s">
        <v>11918</v>
      </c>
      <c r="QNW1" t="s">
        <v>11919</v>
      </c>
      <c r="QNX1" t="s">
        <v>11920</v>
      </c>
      <c r="QNY1" t="s">
        <v>11921</v>
      </c>
      <c r="QNZ1" t="s">
        <v>11922</v>
      </c>
      <c r="QOA1" t="s">
        <v>11923</v>
      </c>
      <c r="QOB1" t="s">
        <v>11924</v>
      </c>
      <c r="QOC1" t="s">
        <v>11925</v>
      </c>
      <c r="QOD1" t="s">
        <v>11926</v>
      </c>
      <c r="QOE1" t="s">
        <v>11927</v>
      </c>
      <c r="QOF1" t="s">
        <v>11928</v>
      </c>
      <c r="QOG1" t="s">
        <v>11929</v>
      </c>
      <c r="QOH1" t="s">
        <v>11930</v>
      </c>
      <c r="QOI1" t="s">
        <v>11931</v>
      </c>
      <c r="QOJ1" t="s">
        <v>11932</v>
      </c>
      <c r="QOK1" t="s">
        <v>11933</v>
      </c>
      <c r="QOL1" t="s">
        <v>11934</v>
      </c>
      <c r="QOM1" t="s">
        <v>11935</v>
      </c>
      <c r="QON1" t="s">
        <v>11936</v>
      </c>
      <c r="QOO1" t="s">
        <v>11937</v>
      </c>
      <c r="QOP1" t="s">
        <v>11938</v>
      </c>
      <c r="QOQ1" t="s">
        <v>11939</v>
      </c>
      <c r="QOR1" t="s">
        <v>11940</v>
      </c>
      <c r="QOS1" t="s">
        <v>11941</v>
      </c>
      <c r="QOT1" t="s">
        <v>11942</v>
      </c>
      <c r="QOU1" t="s">
        <v>11943</v>
      </c>
      <c r="QOV1" t="s">
        <v>11944</v>
      </c>
      <c r="QOW1" t="s">
        <v>11945</v>
      </c>
      <c r="QOX1" t="s">
        <v>11946</v>
      </c>
      <c r="QOY1" t="s">
        <v>11947</v>
      </c>
      <c r="QOZ1" t="s">
        <v>11948</v>
      </c>
      <c r="QPA1" t="s">
        <v>11949</v>
      </c>
      <c r="QPB1" t="s">
        <v>11950</v>
      </c>
      <c r="QPC1" t="s">
        <v>11951</v>
      </c>
      <c r="QPD1" t="s">
        <v>11952</v>
      </c>
      <c r="QPE1" t="s">
        <v>11953</v>
      </c>
      <c r="QPF1" t="s">
        <v>11954</v>
      </c>
      <c r="QPG1" t="s">
        <v>11955</v>
      </c>
      <c r="QPH1" t="s">
        <v>11956</v>
      </c>
      <c r="QPI1" t="s">
        <v>11957</v>
      </c>
      <c r="QPJ1" t="s">
        <v>11958</v>
      </c>
      <c r="QPK1" t="s">
        <v>11959</v>
      </c>
      <c r="QPL1" t="s">
        <v>11960</v>
      </c>
      <c r="QPM1" t="s">
        <v>11961</v>
      </c>
      <c r="QPN1" t="s">
        <v>11962</v>
      </c>
      <c r="QPO1" t="s">
        <v>11963</v>
      </c>
      <c r="QPP1" t="s">
        <v>11964</v>
      </c>
      <c r="QPQ1" t="s">
        <v>11965</v>
      </c>
      <c r="QPR1" t="s">
        <v>11966</v>
      </c>
      <c r="QPS1" t="s">
        <v>11967</v>
      </c>
      <c r="QPT1" t="s">
        <v>11968</v>
      </c>
      <c r="QPU1" t="s">
        <v>11969</v>
      </c>
      <c r="QPV1" t="s">
        <v>11970</v>
      </c>
      <c r="QPW1" t="s">
        <v>11971</v>
      </c>
      <c r="QPX1" t="s">
        <v>11972</v>
      </c>
      <c r="QPY1" t="s">
        <v>11973</v>
      </c>
      <c r="QPZ1" t="s">
        <v>11974</v>
      </c>
      <c r="QQA1" t="s">
        <v>11975</v>
      </c>
      <c r="QQB1" t="s">
        <v>11976</v>
      </c>
      <c r="QQC1" t="s">
        <v>11977</v>
      </c>
      <c r="QQD1" t="s">
        <v>11978</v>
      </c>
      <c r="QQE1" t="s">
        <v>11979</v>
      </c>
      <c r="QQF1" t="s">
        <v>11980</v>
      </c>
      <c r="QQG1" t="s">
        <v>11981</v>
      </c>
      <c r="QQH1" t="s">
        <v>11982</v>
      </c>
      <c r="QQI1" t="s">
        <v>11983</v>
      </c>
      <c r="QQJ1" t="s">
        <v>11984</v>
      </c>
      <c r="QQK1" t="s">
        <v>11985</v>
      </c>
      <c r="QQL1" t="s">
        <v>11986</v>
      </c>
      <c r="QQM1" t="s">
        <v>11987</v>
      </c>
      <c r="QQN1" t="s">
        <v>11988</v>
      </c>
      <c r="QQO1" t="s">
        <v>11989</v>
      </c>
      <c r="QQP1" t="s">
        <v>11990</v>
      </c>
      <c r="QQQ1" t="s">
        <v>11991</v>
      </c>
      <c r="QQR1" t="s">
        <v>11992</v>
      </c>
      <c r="QQS1" t="s">
        <v>11993</v>
      </c>
      <c r="QQT1" t="s">
        <v>11994</v>
      </c>
      <c r="QQU1" t="s">
        <v>11995</v>
      </c>
      <c r="QQV1" t="s">
        <v>11996</v>
      </c>
      <c r="QQW1" t="s">
        <v>11997</v>
      </c>
      <c r="QQX1" t="s">
        <v>11998</v>
      </c>
      <c r="QQY1" t="s">
        <v>11999</v>
      </c>
      <c r="QQZ1" t="s">
        <v>12000</v>
      </c>
      <c r="QRA1" t="s">
        <v>12001</v>
      </c>
      <c r="QRB1" t="s">
        <v>12002</v>
      </c>
      <c r="QRC1" t="s">
        <v>12003</v>
      </c>
      <c r="QRD1" t="s">
        <v>12004</v>
      </c>
      <c r="QRE1" t="s">
        <v>12005</v>
      </c>
      <c r="QRF1" t="s">
        <v>12006</v>
      </c>
      <c r="QRG1" t="s">
        <v>12007</v>
      </c>
      <c r="QRH1" t="s">
        <v>12008</v>
      </c>
      <c r="QRI1" t="s">
        <v>12009</v>
      </c>
      <c r="QRJ1" t="s">
        <v>12010</v>
      </c>
      <c r="QRK1" t="s">
        <v>12011</v>
      </c>
      <c r="QRL1" t="s">
        <v>12012</v>
      </c>
      <c r="QRM1" t="s">
        <v>12013</v>
      </c>
      <c r="QRN1" t="s">
        <v>12014</v>
      </c>
      <c r="QRO1" t="s">
        <v>12015</v>
      </c>
      <c r="QRP1" t="s">
        <v>12016</v>
      </c>
      <c r="QRQ1" t="s">
        <v>12017</v>
      </c>
      <c r="QRR1" t="s">
        <v>12018</v>
      </c>
      <c r="QRS1" t="s">
        <v>12019</v>
      </c>
      <c r="QRT1" t="s">
        <v>12020</v>
      </c>
      <c r="QRU1" t="s">
        <v>12021</v>
      </c>
      <c r="QRV1" t="s">
        <v>12022</v>
      </c>
      <c r="QRW1" t="s">
        <v>12023</v>
      </c>
      <c r="QRX1" t="s">
        <v>12024</v>
      </c>
      <c r="QRY1" t="s">
        <v>12025</v>
      </c>
      <c r="QRZ1" t="s">
        <v>12026</v>
      </c>
      <c r="QSA1" t="s">
        <v>12027</v>
      </c>
      <c r="QSB1" t="s">
        <v>12028</v>
      </c>
      <c r="QSC1" t="s">
        <v>12029</v>
      </c>
      <c r="QSD1" t="s">
        <v>12030</v>
      </c>
      <c r="QSE1" t="s">
        <v>12031</v>
      </c>
      <c r="QSF1" t="s">
        <v>12032</v>
      </c>
      <c r="QSG1" t="s">
        <v>12033</v>
      </c>
      <c r="QSH1" t="s">
        <v>12034</v>
      </c>
      <c r="QSI1" t="s">
        <v>12035</v>
      </c>
      <c r="QSJ1" t="s">
        <v>12036</v>
      </c>
      <c r="QSK1" t="s">
        <v>12037</v>
      </c>
      <c r="QSL1" t="s">
        <v>12038</v>
      </c>
      <c r="QSM1" t="s">
        <v>12039</v>
      </c>
      <c r="QSN1" t="s">
        <v>12040</v>
      </c>
      <c r="QSO1" t="s">
        <v>12041</v>
      </c>
      <c r="QSP1" t="s">
        <v>12042</v>
      </c>
      <c r="QSQ1" t="s">
        <v>12043</v>
      </c>
      <c r="QSR1" t="s">
        <v>12044</v>
      </c>
      <c r="QSS1" t="s">
        <v>12045</v>
      </c>
      <c r="QST1" t="s">
        <v>12046</v>
      </c>
      <c r="QSU1" t="s">
        <v>12047</v>
      </c>
      <c r="QSV1" t="s">
        <v>12048</v>
      </c>
      <c r="QSW1" t="s">
        <v>12049</v>
      </c>
      <c r="QSX1" t="s">
        <v>12050</v>
      </c>
      <c r="QSY1" t="s">
        <v>12051</v>
      </c>
      <c r="QSZ1" t="s">
        <v>12052</v>
      </c>
      <c r="QTA1" t="s">
        <v>12053</v>
      </c>
      <c r="QTB1" t="s">
        <v>12054</v>
      </c>
      <c r="QTC1" t="s">
        <v>12055</v>
      </c>
      <c r="QTD1" t="s">
        <v>12056</v>
      </c>
      <c r="QTE1" t="s">
        <v>12057</v>
      </c>
      <c r="QTF1" t="s">
        <v>12058</v>
      </c>
      <c r="QTG1" t="s">
        <v>12059</v>
      </c>
      <c r="QTH1" t="s">
        <v>12060</v>
      </c>
      <c r="QTI1" t="s">
        <v>12061</v>
      </c>
      <c r="QTJ1" t="s">
        <v>12062</v>
      </c>
      <c r="QTK1" t="s">
        <v>12063</v>
      </c>
      <c r="QTL1" t="s">
        <v>12064</v>
      </c>
      <c r="QTM1" t="s">
        <v>12065</v>
      </c>
      <c r="QTN1" t="s">
        <v>12066</v>
      </c>
      <c r="QTO1" t="s">
        <v>12067</v>
      </c>
      <c r="QTP1" t="s">
        <v>12068</v>
      </c>
      <c r="QTQ1" t="s">
        <v>12069</v>
      </c>
      <c r="QTR1" t="s">
        <v>12070</v>
      </c>
      <c r="QTS1" t="s">
        <v>12071</v>
      </c>
      <c r="QTT1" t="s">
        <v>12072</v>
      </c>
      <c r="QTU1" t="s">
        <v>12073</v>
      </c>
      <c r="QTV1" t="s">
        <v>12074</v>
      </c>
      <c r="QTW1" t="s">
        <v>12075</v>
      </c>
      <c r="QTX1" t="s">
        <v>12076</v>
      </c>
      <c r="QTY1" t="s">
        <v>12077</v>
      </c>
      <c r="QTZ1" t="s">
        <v>12078</v>
      </c>
      <c r="QUA1" t="s">
        <v>12079</v>
      </c>
      <c r="QUB1" t="s">
        <v>12080</v>
      </c>
      <c r="QUC1" t="s">
        <v>12081</v>
      </c>
      <c r="QUD1" t="s">
        <v>12082</v>
      </c>
      <c r="QUE1" t="s">
        <v>12083</v>
      </c>
      <c r="QUF1" t="s">
        <v>12084</v>
      </c>
      <c r="QUG1" t="s">
        <v>12085</v>
      </c>
      <c r="QUH1" t="s">
        <v>12086</v>
      </c>
      <c r="QUI1" t="s">
        <v>12087</v>
      </c>
      <c r="QUJ1" t="s">
        <v>12088</v>
      </c>
      <c r="QUK1" t="s">
        <v>12089</v>
      </c>
      <c r="QUL1" t="s">
        <v>12090</v>
      </c>
      <c r="QUM1" t="s">
        <v>12091</v>
      </c>
      <c r="QUN1" t="s">
        <v>12092</v>
      </c>
      <c r="QUO1" t="s">
        <v>12093</v>
      </c>
      <c r="QUP1" t="s">
        <v>12094</v>
      </c>
      <c r="QUQ1" t="s">
        <v>12095</v>
      </c>
      <c r="QUR1" t="s">
        <v>12096</v>
      </c>
      <c r="QUS1" t="s">
        <v>12097</v>
      </c>
      <c r="QUT1" t="s">
        <v>12098</v>
      </c>
      <c r="QUU1" t="s">
        <v>12099</v>
      </c>
      <c r="QUV1" t="s">
        <v>12100</v>
      </c>
      <c r="QUW1" t="s">
        <v>12101</v>
      </c>
      <c r="QUX1" t="s">
        <v>12102</v>
      </c>
      <c r="QUY1" t="s">
        <v>12103</v>
      </c>
      <c r="QUZ1" t="s">
        <v>12104</v>
      </c>
      <c r="QVA1" t="s">
        <v>12105</v>
      </c>
      <c r="QVB1" t="s">
        <v>12106</v>
      </c>
      <c r="QVC1" t="s">
        <v>12107</v>
      </c>
      <c r="QVD1" t="s">
        <v>12108</v>
      </c>
      <c r="QVE1" t="s">
        <v>12109</v>
      </c>
      <c r="QVF1" t="s">
        <v>12110</v>
      </c>
      <c r="QVG1" t="s">
        <v>12111</v>
      </c>
      <c r="QVH1" t="s">
        <v>12112</v>
      </c>
      <c r="QVI1" t="s">
        <v>12113</v>
      </c>
      <c r="QVJ1" t="s">
        <v>12114</v>
      </c>
      <c r="QVK1" t="s">
        <v>12115</v>
      </c>
      <c r="QVL1" t="s">
        <v>12116</v>
      </c>
      <c r="QVM1" t="s">
        <v>12117</v>
      </c>
      <c r="QVN1" t="s">
        <v>12118</v>
      </c>
      <c r="QVO1" t="s">
        <v>12119</v>
      </c>
      <c r="QVP1" t="s">
        <v>12120</v>
      </c>
      <c r="QVQ1" t="s">
        <v>12121</v>
      </c>
      <c r="QVR1" t="s">
        <v>12122</v>
      </c>
      <c r="QVS1" t="s">
        <v>12123</v>
      </c>
      <c r="QVT1" t="s">
        <v>12124</v>
      </c>
      <c r="QVU1" t="s">
        <v>12125</v>
      </c>
      <c r="QVV1" t="s">
        <v>12126</v>
      </c>
      <c r="QVW1" t="s">
        <v>12127</v>
      </c>
      <c r="QVX1" t="s">
        <v>12128</v>
      </c>
      <c r="QVY1" t="s">
        <v>12129</v>
      </c>
      <c r="QVZ1" t="s">
        <v>12130</v>
      </c>
      <c r="QWA1" t="s">
        <v>12131</v>
      </c>
      <c r="QWB1" t="s">
        <v>12132</v>
      </c>
      <c r="QWC1" t="s">
        <v>12133</v>
      </c>
      <c r="QWD1" t="s">
        <v>12134</v>
      </c>
      <c r="QWE1" t="s">
        <v>12135</v>
      </c>
      <c r="QWF1" t="s">
        <v>12136</v>
      </c>
      <c r="QWG1" t="s">
        <v>12137</v>
      </c>
      <c r="QWH1" t="s">
        <v>12138</v>
      </c>
      <c r="QWI1" t="s">
        <v>12139</v>
      </c>
      <c r="QWJ1" t="s">
        <v>12140</v>
      </c>
      <c r="QWK1" t="s">
        <v>12141</v>
      </c>
      <c r="QWL1" t="s">
        <v>12142</v>
      </c>
      <c r="QWM1" t="s">
        <v>12143</v>
      </c>
      <c r="QWN1" t="s">
        <v>12144</v>
      </c>
      <c r="QWO1" t="s">
        <v>12145</v>
      </c>
      <c r="QWP1" t="s">
        <v>12146</v>
      </c>
      <c r="QWQ1" t="s">
        <v>12147</v>
      </c>
      <c r="QWR1" t="s">
        <v>12148</v>
      </c>
      <c r="QWS1" t="s">
        <v>12149</v>
      </c>
      <c r="QWT1" t="s">
        <v>12150</v>
      </c>
      <c r="QWU1" t="s">
        <v>12151</v>
      </c>
      <c r="QWV1" t="s">
        <v>12152</v>
      </c>
      <c r="QWW1" t="s">
        <v>12153</v>
      </c>
      <c r="QWX1" t="s">
        <v>12154</v>
      </c>
      <c r="QWY1" t="s">
        <v>12155</v>
      </c>
      <c r="QWZ1" t="s">
        <v>12156</v>
      </c>
      <c r="QXA1" t="s">
        <v>12157</v>
      </c>
      <c r="QXB1" t="s">
        <v>12158</v>
      </c>
      <c r="QXC1" t="s">
        <v>12159</v>
      </c>
      <c r="QXD1" t="s">
        <v>12160</v>
      </c>
      <c r="QXE1" t="s">
        <v>12161</v>
      </c>
      <c r="QXF1" t="s">
        <v>12162</v>
      </c>
      <c r="QXG1" t="s">
        <v>12163</v>
      </c>
      <c r="QXH1" t="s">
        <v>12164</v>
      </c>
      <c r="QXI1" t="s">
        <v>12165</v>
      </c>
      <c r="QXJ1" t="s">
        <v>12166</v>
      </c>
      <c r="QXK1" t="s">
        <v>12167</v>
      </c>
      <c r="QXL1" t="s">
        <v>12168</v>
      </c>
      <c r="QXM1" t="s">
        <v>12169</v>
      </c>
      <c r="QXN1" t="s">
        <v>12170</v>
      </c>
      <c r="QXO1" t="s">
        <v>12171</v>
      </c>
      <c r="QXP1" t="s">
        <v>12172</v>
      </c>
      <c r="QXQ1" t="s">
        <v>12173</v>
      </c>
      <c r="QXR1" t="s">
        <v>12174</v>
      </c>
      <c r="QXS1" t="s">
        <v>12175</v>
      </c>
      <c r="QXT1" t="s">
        <v>12176</v>
      </c>
      <c r="QXU1" t="s">
        <v>12177</v>
      </c>
      <c r="QXV1" t="s">
        <v>12178</v>
      </c>
      <c r="QXW1" t="s">
        <v>12179</v>
      </c>
      <c r="QXX1" t="s">
        <v>12180</v>
      </c>
      <c r="QXY1" t="s">
        <v>12181</v>
      </c>
      <c r="QXZ1" t="s">
        <v>12182</v>
      </c>
      <c r="QYA1" t="s">
        <v>12183</v>
      </c>
      <c r="QYB1" t="s">
        <v>12184</v>
      </c>
      <c r="QYC1" t="s">
        <v>12185</v>
      </c>
      <c r="QYD1" t="s">
        <v>12186</v>
      </c>
      <c r="QYE1" t="s">
        <v>12187</v>
      </c>
      <c r="QYF1" t="s">
        <v>12188</v>
      </c>
      <c r="QYG1" t="s">
        <v>12189</v>
      </c>
      <c r="QYH1" t="s">
        <v>12190</v>
      </c>
      <c r="QYI1" t="s">
        <v>12191</v>
      </c>
      <c r="QYJ1" t="s">
        <v>12192</v>
      </c>
      <c r="QYK1" t="s">
        <v>12193</v>
      </c>
      <c r="QYL1" t="s">
        <v>12194</v>
      </c>
      <c r="QYM1" t="s">
        <v>12195</v>
      </c>
      <c r="QYN1" t="s">
        <v>12196</v>
      </c>
      <c r="QYO1" t="s">
        <v>12197</v>
      </c>
      <c r="QYP1" t="s">
        <v>12198</v>
      </c>
      <c r="QYQ1" t="s">
        <v>12199</v>
      </c>
      <c r="QYR1" t="s">
        <v>12200</v>
      </c>
      <c r="QYS1" t="s">
        <v>12201</v>
      </c>
      <c r="QYT1" t="s">
        <v>12202</v>
      </c>
      <c r="QYU1" t="s">
        <v>12203</v>
      </c>
      <c r="QYV1" t="s">
        <v>12204</v>
      </c>
      <c r="QYW1" t="s">
        <v>12205</v>
      </c>
      <c r="QYX1" t="s">
        <v>12206</v>
      </c>
      <c r="QYY1" t="s">
        <v>12207</v>
      </c>
      <c r="QYZ1" t="s">
        <v>12208</v>
      </c>
      <c r="QZA1" t="s">
        <v>12209</v>
      </c>
      <c r="QZB1" t="s">
        <v>12210</v>
      </c>
      <c r="QZC1" t="s">
        <v>12211</v>
      </c>
      <c r="QZD1" t="s">
        <v>12212</v>
      </c>
      <c r="QZE1" t="s">
        <v>12213</v>
      </c>
      <c r="QZF1" t="s">
        <v>12214</v>
      </c>
      <c r="QZG1" t="s">
        <v>12215</v>
      </c>
      <c r="QZH1" t="s">
        <v>12216</v>
      </c>
      <c r="QZI1" t="s">
        <v>12217</v>
      </c>
      <c r="QZJ1" t="s">
        <v>12218</v>
      </c>
      <c r="QZK1" t="s">
        <v>12219</v>
      </c>
      <c r="QZL1" t="s">
        <v>12220</v>
      </c>
      <c r="QZM1" t="s">
        <v>12221</v>
      </c>
      <c r="QZN1" t="s">
        <v>12222</v>
      </c>
      <c r="QZO1" t="s">
        <v>12223</v>
      </c>
      <c r="QZP1" t="s">
        <v>12224</v>
      </c>
      <c r="QZQ1" t="s">
        <v>12225</v>
      </c>
      <c r="QZR1" t="s">
        <v>12226</v>
      </c>
      <c r="QZS1" t="s">
        <v>12227</v>
      </c>
      <c r="QZT1" t="s">
        <v>12228</v>
      </c>
      <c r="QZU1" t="s">
        <v>12229</v>
      </c>
      <c r="QZV1" t="s">
        <v>12230</v>
      </c>
      <c r="QZW1" t="s">
        <v>12231</v>
      </c>
      <c r="QZX1" t="s">
        <v>12232</v>
      </c>
      <c r="QZY1" t="s">
        <v>12233</v>
      </c>
      <c r="QZZ1" t="s">
        <v>12234</v>
      </c>
      <c r="RAA1" t="s">
        <v>12235</v>
      </c>
      <c r="RAB1" t="s">
        <v>12236</v>
      </c>
      <c r="RAC1" t="s">
        <v>12237</v>
      </c>
      <c r="RAD1" t="s">
        <v>12238</v>
      </c>
      <c r="RAE1" t="s">
        <v>12239</v>
      </c>
      <c r="RAF1" t="s">
        <v>12240</v>
      </c>
      <c r="RAG1" t="s">
        <v>12241</v>
      </c>
      <c r="RAH1" t="s">
        <v>12242</v>
      </c>
      <c r="RAI1" t="s">
        <v>12243</v>
      </c>
      <c r="RAJ1" t="s">
        <v>12244</v>
      </c>
      <c r="RAK1" t="s">
        <v>12245</v>
      </c>
      <c r="RAL1" t="s">
        <v>12246</v>
      </c>
      <c r="RAM1" t="s">
        <v>12247</v>
      </c>
      <c r="RAN1" t="s">
        <v>12248</v>
      </c>
      <c r="RAO1" t="s">
        <v>12249</v>
      </c>
      <c r="RAP1" t="s">
        <v>12250</v>
      </c>
      <c r="RAQ1" t="s">
        <v>12251</v>
      </c>
      <c r="RAR1" t="s">
        <v>12252</v>
      </c>
      <c r="RAS1" t="s">
        <v>12253</v>
      </c>
      <c r="RAT1" t="s">
        <v>12254</v>
      </c>
      <c r="RAU1" t="s">
        <v>12255</v>
      </c>
      <c r="RAV1" t="s">
        <v>12256</v>
      </c>
      <c r="RAW1" t="s">
        <v>12257</v>
      </c>
      <c r="RAX1" t="s">
        <v>12258</v>
      </c>
      <c r="RAY1" t="s">
        <v>12259</v>
      </c>
      <c r="RAZ1" t="s">
        <v>12260</v>
      </c>
      <c r="RBA1" t="s">
        <v>12261</v>
      </c>
      <c r="RBB1" t="s">
        <v>12262</v>
      </c>
      <c r="RBC1" t="s">
        <v>12263</v>
      </c>
      <c r="RBD1" t="s">
        <v>12264</v>
      </c>
      <c r="RBE1" t="s">
        <v>12265</v>
      </c>
      <c r="RBF1" t="s">
        <v>12266</v>
      </c>
      <c r="RBG1" t="s">
        <v>12267</v>
      </c>
      <c r="RBH1" t="s">
        <v>12268</v>
      </c>
      <c r="RBI1" t="s">
        <v>12269</v>
      </c>
      <c r="RBJ1" t="s">
        <v>12270</v>
      </c>
      <c r="RBK1" t="s">
        <v>12271</v>
      </c>
      <c r="RBL1" t="s">
        <v>12272</v>
      </c>
      <c r="RBM1" t="s">
        <v>12273</v>
      </c>
      <c r="RBN1" t="s">
        <v>12274</v>
      </c>
      <c r="RBO1" t="s">
        <v>12275</v>
      </c>
      <c r="RBP1" t="s">
        <v>12276</v>
      </c>
      <c r="RBQ1" t="s">
        <v>12277</v>
      </c>
      <c r="RBR1" t="s">
        <v>12278</v>
      </c>
      <c r="RBS1" t="s">
        <v>12279</v>
      </c>
      <c r="RBT1" t="s">
        <v>12280</v>
      </c>
      <c r="RBU1" t="s">
        <v>12281</v>
      </c>
      <c r="RBV1" t="s">
        <v>12282</v>
      </c>
      <c r="RBW1" t="s">
        <v>12283</v>
      </c>
      <c r="RBX1" t="s">
        <v>12284</v>
      </c>
      <c r="RBY1" t="s">
        <v>12285</v>
      </c>
      <c r="RBZ1" t="s">
        <v>12286</v>
      </c>
      <c r="RCA1" t="s">
        <v>12287</v>
      </c>
      <c r="RCB1" t="s">
        <v>12288</v>
      </c>
      <c r="RCC1" t="s">
        <v>12289</v>
      </c>
      <c r="RCD1" t="s">
        <v>12290</v>
      </c>
      <c r="RCE1" t="s">
        <v>12291</v>
      </c>
      <c r="RCF1" t="s">
        <v>12292</v>
      </c>
      <c r="RCG1" t="s">
        <v>12293</v>
      </c>
      <c r="RCH1" t="s">
        <v>12294</v>
      </c>
      <c r="RCI1" t="s">
        <v>12295</v>
      </c>
      <c r="RCJ1" t="s">
        <v>12296</v>
      </c>
      <c r="RCK1" t="s">
        <v>12297</v>
      </c>
      <c r="RCL1" t="s">
        <v>12298</v>
      </c>
      <c r="RCM1" t="s">
        <v>12299</v>
      </c>
      <c r="RCN1" t="s">
        <v>12300</v>
      </c>
      <c r="RCO1" t="s">
        <v>12301</v>
      </c>
      <c r="RCP1" t="s">
        <v>12302</v>
      </c>
      <c r="RCQ1" t="s">
        <v>12303</v>
      </c>
      <c r="RCR1" t="s">
        <v>12304</v>
      </c>
      <c r="RCS1" t="s">
        <v>12305</v>
      </c>
      <c r="RCT1" t="s">
        <v>12306</v>
      </c>
      <c r="RCU1" t="s">
        <v>12307</v>
      </c>
      <c r="RCV1" t="s">
        <v>12308</v>
      </c>
      <c r="RCW1" t="s">
        <v>12309</v>
      </c>
      <c r="RCX1" t="s">
        <v>12310</v>
      </c>
      <c r="RCY1" t="s">
        <v>12311</v>
      </c>
      <c r="RCZ1" t="s">
        <v>12312</v>
      </c>
      <c r="RDA1" t="s">
        <v>12313</v>
      </c>
      <c r="RDB1" t="s">
        <v>12314</v>
      </c>
      <c r="RDC1" t="s">
        <v>12315</v>
      </c>
      <c r="RDD1" t="s">
        <v>12316</v>
      </c>
      <c r="RDE1" t="s">
        <v>12317</v>
      </c>
      <c r="RDF1" t="s">
        <v>12318</v>
      </c>
      <c r="RDG1" t="s">
        <v>12319</v>
      </c>
      <c r="RDH1" t="s">
        <v>12320</v>
      </c>
      <c r="RDI1" t="s">
        <v>12321</v>
      </c>
      <c r="RDJ1" t="s">
        <v>12322</v>
      </c>
      <c r="RDK1" t="s">
        <v>12323</v>
      </c>
      <c r="RDL1" t="s">
        <v>12324</v>
      </c>
      <c r="RDM1" t="s">
        <v>12325</v>
      </c>
      <c r="RDN1" t="s">
        <v>12326</v>
      </c>
      <c r="RDO1" t="s">
        <v>12327</v>
      </c>
      <c r="RDP1" t="s">
        <v>12328</v>
      </c>
      <c r="RDQ1" t="s">
        <v>12329</v>
      </c>
      <c r="RDR1" t="s">
        <v>12330</v>
      </c>
      <c r="RDS1" t="s">
        <v>12331</v>
      </c>
      <c r="RDT1" t="s">
        <v>12332</v>
      </c>
      <c r="RDU1" t="s">
        <v>12333</v>
      </c>
      <c r="RDV1" t="s">
        <v>12334</v>
      </c>
      <c r="RDW1" t="s">
        <v>12335</v>
      </c>
      <c r="RDX1" t="s">
        <v>12336</v>
      </c>
      <c r="RDY1" t="s">
        <v>12337</v>
      </c>
      <c r="RDZ1" t="s">
        <v>12338</v>
      </c>
      <c r="REA1" t="s">
        <v>12339</v>
      </c>
      <c r="REB1" t="s">
        <v>12340</v>
      </c>
      <c r="REC1" t="s">
        <v>12341</v>
      </c>
      <c r="RED1" t="s">
        <v>12342</v>
      </c>
      <c r="REE1" t="s">
        <v>12343</v>
      </c>
      <c r="REF1" t="s">
        <v>12344</v>
      </c>
      <c r="REG1" t="s">
        <v>12345</v>
      </c>
      <c r="REH1" t="s">
        <v>12346</v>
      </c>
      <c r="REI1" t="s">
        <v>12347</v>
      </c>
      <c r="REJ1" t="s">
        <v>12348</v>
      </c>
      <c r="REK1" t="s">
        <v>12349</v>
      </c>
      <c r="REL1" t="s">
        <v>12350</v>
      </c>
      <c r="REM1" t="s">
        <v>12351</v>
      </c>
      <c r="REN1" t="s">
        <v>12352</v>
      </c>
      <c r="REO1" t="s">
        <v>12353</v>
      </c>
      <c r="REP1" t="s">
        <v>12354</v>
      </c>
      <c r="REQ1" t="s">
        <v>12355</v>
      </c>
      <c r="RER1" t="s">
        <v>12356</v>
      </c>
      <c r="RES1" t="s">
        <v>12357</v>
      </c>
      <c r="RET1" t="s">
        <v>12358</v>
      </c>
      <c r="REU1" t="s">
        <v>12359</v>
      </c>
      <c r="REV1" t="s">
        <v>12360</v>
      </c>
      <c r="REW1" t="s">
        <v>12361</v>
      </c>
      <c r="REX1" t="s">
        <v>12362</v>
      </c>
      <c r="REY1" t="s">
        <v>12363</v>
      </c>
      <c r="REZ1" t="s">
        <v>12364</v>
      </c>
      <c r="RFA1" t="s">
        <v>12365</v>
      </c>
      <c r="RFB1" t="s">
        <v>12366</v>
      </c>
      <c r="RFC1" t="s">
        <v>12367</v>
      </c>
      <c r="RFD1" t="s">
        <v>12368</v>
      </c>
      <c r="RFE1" t="s">
        <v>12369</v>
      </c>
      <c r="RFF1" t="s">
        <v>12370</v>
      </c>
      <c r="RFG1" t="s">
        <v>12371</v>
      </c>
      <c r="RFH1" t="s">
        <v>12372</v>
      </c>
      <c r="RFI1" t="s">
        <v>12373</v>
      </c>
      <c r="RFJ1" t="s">
        <v>12374</v>
      </c>
      <c r="RFK1" t="s">
        <v>12375</v>
      </c>
      <c r="RFL1" t="s">
        <v>12376</v>
      </c>
      <c r="RFM1" t="s">
        <v>12377</v>
      </c>
      <c r="RFN1" t="s">
        <v>12378</v>
      </c>
      <c r="RFO1" t="s">
        <v>12379</v>
      </c>
      <c r="RFP1" t="s">
        <v>12380</v>
      </c>
      <c r="RFQ1" t="s">
        <v>12381</v>
      </c>
      <c r="RFR1" t="s">
        <v>12382</v>
      </c>
      <c r="RFS1" t="s">
        <v>12383</v>
      </c>
      <c r="RFT1" t="s">
        <v>12384</v>
      </c>
      <c r="RFU1" t="s">
        <v>12385</v>
      </c>
      <c r="RFV1" t="s">
        <v>12386</v>
      </c>
      <c r="RFW1" t="s">
        <v>12387</v>
      </c>
      <c r="RFX1" t="s">
        <v>12388</v>
      </c>
      <c r="RFY1" t="s">
        <v>12389</v>
      </c>
      <c r="RFZ1" t="s">
        <v>12390</v>
      </c>
      <c r="RGA1" t="s">
        <v>12391</v>
      </c>
      <c r="RGB1" t="s">
        <v>12392</v>
      </c>
      <c r="RGC1" t="s">
        <v>12393</v>
      </c>
      <c r="RGD1" t="s">
        <v>12394</v>
      </c>
      <c r="RGE1" t="s">
        <v>12395</v>
      </c>
      <c r="RGF1" t="s">
        <v>12396</v>
      </c>
      <c r="RGG1" t="s">
        <v>12397</v>
      </c>
      <c r="RGH1" t="s">
        <v>12398</v>
      </c>
      <c r="RGI1" t="s">
        <v>12399</v>
      </c>
      <c r="RGJ1" t="s">
        <v>12400</v>
      </c>
      <c r="RGK1" t="s">
        <v>12401</v>
      </c>
      <c r="RGL1" t="s">
        <v>12402</v>
      </c>
      <c r="RGM1" t="s">
        <v>12403</v>
      </c>
      <c r="RGN1" t="s">
        <v>12404</v>
      </c>
      <c r="RGO1" t="s">
        <v>12405</v>
      </c>
      <c r="RGP1" t="s">
        <v>12406</v>
      </c>
      <c r="RGQ1" t="s">
        <v>12407</v>
      </c>
      <c r="RGR1" t="s">
        <v>12408</v>
      </c>
      <c r="RGS1" t="s">
        <v>12409</v>
      </c>
      <c r="RGT1" t="s">
        <v>12410</v>
      </c>
      <c r="RGU1" t="s">
        <v>12411</v>
      </c>
      <c r="RGV1" t="s">
        <v>12412</v>
      </c>
      <c r="RGW1" t="s">
        <v>12413</v>
      </c>
      <c r="RGX1" t="s">
        <v>12414</v>
      </c>
      <c r="RGY1" t="s">
        <v>12415</v>
      </c>
      <c r="RGZ1" t="s">
        <v>12416</v>
      </c>
      <c r="RHA1" t="s">
        <v>12417</v>
      </c>
      <c r="RHB1" t="s">
        <v>12418</v>
      </c>
      <c r="RHC1" t="s">
        <v>12419</v>
      </c>
      <c r="RHD1" t="s">
        <v>12420</v>
      </c>
      <c r="RHE1" t="s">
        <v>12421</v>
      </c>
      <c r="RHF1" t="s">
        <v>12422</v>
      </c>
      <c r="RHG1" t="s">
        <v>12423</v>
      </c>
      <c r="RHH1" t="s">
        <v>12424</v>
      </c>
      <c r="RHI1" t="s">
        <v>12425</v>
      </c>
      <c r="RHJ1" t="s">
        <v>12426</v>
      </c>
      <c r="RHK1" t="s">
        <v>12427</v>
      </c>
      <c r="RHL1" t="s">
        <v>12428</v>
      </c>
      <c r="RHM1" t="s">
        <v>12429</v>
      </c>
      <c r="RHN1" t="s">
        <v>12430</v>
      </c>
      <c r="RHO1" t="s">
        <v>12431</v>
      </c>
      <c r="RHP1" t="s">
        <v>12432</v>
      </c>
      <c r="RHQ1" t="s">
        <v>12433</v>
      </c>
      <c r="RHR1" t="s">
        <v>12434</v>
      </c>
      <c r="RHS1" t="s">
        <v>12435</v>
      </c>
      <c r="RHT1" t="s">
        <v>12436</v>
      </c>
      <c r="RHU1" t="s">
        <v>12437</v>
      </c>
      <c r="RHV1" t="s">
        <v>12438</v>
      </c>
      <c r="RHW1" t="s">
        <v>12439</v>
      </c>
      <c r="RHX1" t="s">
        <v>12440</v>
      </c>
      <c r="RHY1" t="s">
        <v>12441</v>
      </c>
      <c r="RHZ1" t="s">
        <v>12442</v>
      </c>
      <c r="RIA1" t="s">
        <v>12443</v>
      </c>
      <c r="RIB1" t="s">
        <v>12444</v>
      </c>
      <c r="RIC1" t="s">
        <v>12445</v>
      </c>
      <c r="RID1" t="s">
        <v>12446</v>
      </c>
      <c r="RIE1" t="s">
        <v>12447</v>
      </c>
      <c r="RIF1" t="s">
        <v>12448</v>
      </c>
      <c r="RIG1" t="s">
        <v>12449</v>
      </c>
      <c r="RIH1" t="s">
        <v>12450</v>
      </c>
      <c r="RII1" t="s">
        <v>12451</v>
      </c>
      <c r="RIJ1" t="s">
        <v>12452</v>
      </c>
      <c r="RIK1" t="s">
        <v>12453</v>
      </c>
      <c r="RIL1" t="s">
        <v>12454</v>
      </c>
      <c r="RIM1" t="s">
        <v>12455</v>
      </c>
      <c r="RIN1" t="s">
        <v>12456</v>
      </c>
      <c r="RIO1" t="s">
        <v>12457</v>
      </c>
      <c r="RIP1" t="s">
        <v>12458</v>
      </c>
      <c r="RIQ1" t="s">
        <v>12459</v>
      </c>
      <c r="RIR1" t="s">
        <v>12460</v>
      </c>
      <c r="RIS1" t="s">
        <v>12461</v>
      </c>
      <c r="RIT1" t="s">
        <v>12462</v>
      </c>
      <c r="RIU1" t="s">
        <v>12463</v>
      </c>
      <c r="RIV1" t="s">
        <v>12464</v>
      </c>
      <c r="RIW1" t="s">
        <v>12465</v>
      </c>
      <c r="RIX1" t="s">
        <v>12466</v>
      </c>
      <c r="RIY1" t="s">
        <v>12467</v>
      </c>
      <c r="RIZ1" t="s">
        <v>12468</v>
      </c>
      <c r="RJA1" t="s">
        <v>12469</v>
      </c>
      <c r="RJB1" t="s">
        <v>12470</v>
      </c>
      <c r="RJC1" t="s">
        <v>12471</v>
      </c>
      <c r="RJD1" t="s">
        <v>12472</v>
      </c>
      <c r="RJE1" t="s">
        <v>12473</v>
      </c>
      <c r="RJF1" t="s">
        <v>12474</v>
      </c>
      <c r="RJG1" t="s">
        <v>12475</v>
      </c>
      <c r="RJH1" t="s">
        <v>12476</v>
      </c>
      <c r="RJI1" t="s">
        <v>12477</v>
      </c>
      <c r="RJJ1" t="s">
        <v>12478</v>
      </c>
      <c r="RJK1" t="s">
        <v>12479</v>
      </c>
      <c r="RJL1" t="s">
        <v>12480</v>
      </c>
      <c r="RJM1" t="s">
        <v>12481</v>
      </c>
      <c r="RJN1" t="s">
        <v>12482</v>
      </c>
      <c r="RJO1" t="s">
        <v>12483</v>
      </c>
      <c r="RJP1" t="s">
        <v>12484</v>
      </c>
      <c r="RJQ1" t="s">
        <v>12485</v>
      </c>
      <c r="RJR1" t="s">
        <v>12486</v>
      </c>
      <c r="RJS1" t="s">
        <v>12487</v>
      </c>
      <c r="RJT1" t="s">
        <v>12488</v>
      </c>
      <c r="RJU1" t="s">
        <v>12489</v>
      </c>
      <c r="RJV1" t="s">
        <v>12490</v>
      </c>
      <c r="RJW1" t="s">
        <v>12491</v>
      </c>
      <c r="RJX1" t="s">
        <v>12492</v>
      </c>
      <c r="RJY1" t="s">
        <v>12493</v>
      </c>
      <c r="RJZ1" t="s">
        <v>12494</v>
      </c>
      <c r="RKA1" t="s">
        <v>12495</v>
      </c>
      <c r="RKB1" t="s">
        <v>12496</v>
      </c>
      <c r="RKC1" t="s">
        <v>12497</v>
      </c>
      <c r="RKD1" t="s">
        <v>12498</v>
      </c>
      <c r="RKE1" t="s">
        <v>12499</v>
      </c>
      <c r="RKF1" t="s">
        <v>12500</v>
      </c>
      <c r="RKG1" t="s">
        <v>12501</v>
      </c>
      <c r="RKH1" t="s">
        <v>12502</v>
      </c>
      <c r="RKI1" t="s">
        <v>12503</v>
      </c>
      <c r="RKJ1" t="s">
        <v>12504</v>
      </c>
      <c r="RKK1" t="s">
        <v>12505</v>
      </c>
      <c r="RKL1" t="s">
        <v>12506</v>
      </c>
      <c r="RKM1" t="s">
        <v>12507</v>
      </c>
      <c r="RKN1" t="s">
        <v>12508</v>
      </c>
      <c r="RKO1" t="s">
        <v>12509</v>
      </c>
      <c r="RKP1" t="s">
        <v>12510</v>
      </c>
      <c r="RKQ1" t="s">
        <v>12511</v>
      </c>
      <c r="RKR1" t="s">
        <v>12512</v>
      </c>
      <c r="RKS1" t="s">
        <v>12513</v>
      </c>
      <c r="RKT1" t="s">
        <v>12514</v>
      </c>
      <c r="RKU1" t="s">
        <v>12515</v>
      </c>
      <c r="RKV1" t="s">
        <v>12516</v>
      </c>
      <c r="RKW1" t="s">
        <v>12517</v>
      </c>
      <c r="RKX1" t="s">
        <v>12518</v>
      </c>
      <c r="RKY1" t="s">
        <v>12519</v>
      </c>
      <c r="RKZ1" t="s">
        <v>12520</v>
      </c>
      <c r="RLA1" t="s">
        <v>12521</v>
      </c>
      <c r="RLB1" t="s">
        <v>12522</v>
      </c>
      <c r="RLC1" t="s">
        <v>12523</v>
      </c>
      <c r="RLD1" t="s">
        <v>12524</v>
      </c>
      <c r="RLE1" t="s">
        <v>12525</v>
      </c>
      <c r="RLF1" t="s">
        <v>12526</v>
      </c>
      <c r="RLG1" t="s">
        <v>12527</v>
      </c>
      <c r="RLH1" t="s">
        <v>12528</v>
      </c>
      <c r="RLI1" t="s">
        <v>12529</v>
      </c>
      <c r="RLJ1" t="s">
        <v>12530</v>
      </c>
      <c r="RLK1" t="s">
        <v>12531</v>
      </c>
      <c r="RLL1" t="s">
        <v>12532</v>
      </c>
      <c r="RLM1" t="s">
        <v>12533</v>
      </c>
      <c r="RLN1" t="s">
        <v>12534</v>
      </c>
      <c r="RLO1" t="s">
        <v>12535</v>
      </c>
      <c r="RLP1" t="s">
        <v>12536</v>
      </c>
      <c r="RLQ1" t="s">
        <v>12537</v>
      </c>
      <c r="RLR1" t="s">
        <v>12538</v>
      </c>
      <c r="RLS1" t="s">
        <v>12539</v>
      </c>
      <c r="RLT1" t="s">
        <v>12540</v>
      </c>
      <c r="RLU1" t="s">
        <v>12541</v>
      </c>
      <c r="RLV1" t="s">
        <v>12542</v>
      </c>
      <c r="RLW1" t="s">
        <v>12543</v>
      </c>
      <c r="RLX1" t="s">
        <v>12544</v>
      </c>
      <c r="RLY1" t="s">
        <v>12545</v>
      </c>
      <c r="RLZ1" t="s">
        <v>12546</v>
      </c>
      <c r="RMA1" t="s">
        <v>12547</v>
      </c>
      <c r="RMB1" t="s">
        <v>12548</v>
      </c>
      <c r="RMC1" t="s">
        <v>12549</v>
      </c>
      <c r="RMD1" t="s">
        <v>12550</v>
      </c>
      <c r="RME1" t="s">
        <v>12551</v>
      </c>
      <c r="RMF1" t="s">
        <v>12552</v>
      </c>
      <c r="RMG1" t="s">
        <v>12553</v>
      </c>
      <c r="RMH1" t="s">
        <v>12554</v>
      </c>
      <c r="RMI1" t="s">
        <v>12555</v>
      </c>
      <c r="RMJ1" t="s">
        <v>12556</v>
      </c>
      <c r="RMK1" t="s">
        <v>12557</v>
      </c>
      <c r="RML1" t="s">
        <v>12558</v>
      </c>
      <c r="RMM1" t="s">
        <v>12559</v>
      </c>
      <c r="RMN1" t="s">
        <v>12560</v>
      </c>
      <c r="RMO1" t="s">
        <v>12561</v>
      </c>
      <c r="RMP1" t="s">
        <v>12562</v>
      </c>
      <c r="RMQ1" t="s">
        <v>12563</v>
      </c>
      <c r="RMR1" t="s">
        <v>12564</v>
      </c>
      <c r="RMS1" t="s">
        <v>12565</v>
      </c>
      <c r="RMT1" t="s">
        <v>12566</v>
      </c>
      <c r="RMU1" t="s">
        <v>12567</v>
      </c>
      <c r="RMV1" t="s">
        <v>12568</v>
      </c>
      <c r="RMW1" t="s">
        <v>12569</v>
      </c>
      <c r="RMX1" t="s">
        <v>12570</v>
      </c>
      <c r="RMY1" t="s">
        <v>12571</v>
      </c>
      <c r="RMZ1" t="s">
        <v>12572</v>
      </c>
      <c r="RNA1" t="s">
        <v>12573</v>
      </c>
      <c r="RNB1" t="s">
        <v>12574</v>
      </c>
      <c r="RNC1" t="s">
        <v>12575</v>
      </c>
      <c r="RND1" t="s">
        <v>12576</v>
      </c>
      <c r="RNE1" t="s">
        <v>12577</v>
      </c>
      <c r="RNF1" t="s">
        <v>12578</v>
      </c>
      <c r="RNG1" t="s">
        <v>12579</v>
      </c>
      <c r="RNH1" t="s">
        <v>12580</v>
      </c>
      <c r="RNI1" t="s">
        <v>12581</v>
      </c>
      <c r="RNJ1" t="s">
        <v>12582</v>
      </c>
      <c r="RNK1" t="s">
        <v>12583</v>
      </c>
      <c r="RNL1" t="s">
        <v>12584</v>
      </c>
      <c r="RNM1" t="s">
        <v>12585</v>
      </c>
      <c r="RNN1" t="s">
        <v>12586</v>
      </c>
      <c r="RNO1" t="s">
        <v>12587</v>
      </c>
      <c r="RNP1" t="s">
        <v>12588</v>
      </c>
      <c r="RNQ1" t="s">
        <v>12589</v>
      </c>
      <c r="RNR1" t="s">
        <v>12590</v>
      </c>
      <c r="RNS1" t="s">
        <v>12591</v>
      </c>
      <c r="RNT1" t="s">
        <v>12592</v>
      </c>
      <c r="RNU1" t="s">
        <v>12593</v>
      </c>
      <c r="RNV1" t="s">
        <v>12594</v>
      </c>
      <c r="RNW1" t="s">
        <v>12595</v>
      </c>
      <c r="RNX1" t="s">
        <v>12596</v>
      </c>
      <c r="RNY1" t="s">
        <v>12597</v>
      </c>
      <c r="RNZ1" t="s">
        <v>12598</v>
      </c>
      <c r="ROA1" t="s">
        <v>12599</v>
      </c>
      <c r="ROB1" t="s">
        <v>12600</v>
      </c>
      <c r="ROC1" t="s">
        <v>12601</v>
      </c>
      <c r="ROD1" t="s">
        <v>12602</v>
      </c>
      <c r="ROE1" t="s">
        <v>12603</v>
      </c>
      <c r="ROF1" t="s">
        <v>12604</v>
      </c>
      <c r="ROG1" t="s">
        <v>12605</v>
      </c>
      <c r="ROH1" t="s">
        <v>12606</v>
      </c>
      <c r="ROI1" t="s">
        <v>12607</v>
      </c>
      <c r="ROJ1" t="s">
        <v>12608</v>
      </c>
      <c r="ROK1" t="s">
        <v>12609</v>
      </c>
      <c r="ROL1" t="s">
        <v>12610</v>
      </c>
      <c r="ROM1" t="s">
        <v>12611</v>
      </c>
      <c r="RON1" t="s">
        <v>12612</v>
      </c>
      <c r="ROO1" t="s">
        <v>12613</v>
      </c>
      <c r="ROP1" t="s">
        <v>12614</v>
      </c>
      <c r="ROQ1" t="s">
        <v>12615</v>
      </c>
      <c r="ROR1" t="s">
        <v>12616</v>
      </c>
      <c r="ROS1" t="s">
        <v>12617</v>
      </c>
      <c r="ROT1" t="s">
        <v>12618</v>
      </c>
      <c r="ROU1" t="s">
        <v>12619</v>
      </c>
      <c r="ROV1" t="s">
        <v>12620</v>
      </c>
      <c r="ROW1" t="s">
        <v>12621</v>
      </c>
      <c r="ROX1" t="s">
        <v>12622</v>
      </c>
      <c r="ROY1" t="s">
        <v>12623</v>
      </c>
      <c r="ROZ1" t="s">
        <v>12624</v>
      </c>
      <c r="RPA1" t="s">
        <v>12625</v>
      </c>
      <c r="RPB1" t="s">
        <v>12626</v>
      </c>
      <c r="RPC1" t="s">
        <v>12627</v>
      </c>
      <c r="RPD1" t="s">
        <v>12628</v>
      </c>
      <c r="RPE1" t="s">
        <v>12629</v>
      </c>
      <c r="RPF1" t="s">
        <v>12630</v>
      </c>
      <c r="RPG1" t="s">
        <v>12631</v>
      </c>
      <c r="RPH1" t="s">
        <v>12632</v>
      </c>
      <c r="RPI1" t="s">
        <v>12633</v>
      </c>
      <c r="RPJ1" t="s">
        <v>12634</v>
      </c>
      <c r="RPK1" t="s">
        <v>12635</v>
      </c>
      <c r="RPL1" t="s">
        <v>12636</v>
      </c>
      <c r="RPM1" t="s">
        <v>12637</v>
      </c>
      <c r="RPN1" t="s">
        <v>12638</v>
      </c>
      <c r="RPO1" t="s">
        <v>12639</v>
      </c>
      <c r="RPP1" t="s">
        <v>12640</v>
      </c>
      <c r="RPQ1" t="s">
        <v>12641</v>
      </c>
      <c r="RPR1" t="s">
        <v>12642</v>
      </c>
      <c r="RPS1" t="s">
        <v>12643</v>
      </c>
      <c r="RPT1" t="s">
        <v>12644</v>
      </c>
      <c r="RPU1" t="s">
        <v>12645</v>
      </c>
      <c r="RPV1" t="s">
        <v>12646</v>
      </c>
      <c r="RPW1" t="s">
        <v>12647</v>
      </c>
      <c r="RPX1" t="s">
        <v>12648</v>
      </c>
      <c r="RPY1" t="s">
        <v>12649</v>
      </c>
      <c r="RPZ1" t="s">
        <v>12650</v>
      </c>
      <c r="RQA1" t="s">
        <v>12651</v>
      </c>
      <c r="RQB1" t="s">
        <v>12652</v>
      </c>
      <c r="RQC1" t="s">
        <v>12653</v>
      </c>
      <c r="RQD1" t="s">
        <v>12654</v>
      </c>
      <c r="RQE1" t="s">
        <v>12655</v>
      </c>
      <c r="RQF1" t="s">
        <v>12656</v>
      </c>
      <c r="RQG1" t="s">
        <v>12657</v>
      </c>
      <c r="RQH1" t="s">
        <v>12658</v>
      </c>
      <c r="RQI1" t="s">
        <v>12659</v>
      </c>
      <c r="RQJ1" t="s">
        <v>12660</v>
      </c>
      <c r="RQK1" t="s">
        <v>12661</v>
      </c>
      <c r="RQL1" t="s">
        <v>12662</v>
      </c>
      <c r="RQM1" t="s">
        <v>12663</v>
      </c>
      <c r="RQN1" t="s">
        <v>12664</v>
      </c>
      <c r="RQO1" t="s">
        <v>12665</v>
      </c>
      <c r="RQP1" t="s">
        <v>12666</v>
      </c>
      <c r="RQQ1" t="s">
        <v>12667</v>
      </c>
      <c r="RQR1" t="s">
        <v>12668</v>
      </c>
      <c r="RQS1" t="s">
        <v>12669</v>
      </c>
      <c r="RQT1" t="s">
        <v>12670</v>
      </c>
      <c r="RQU1" t="s">
        <v>12671</v>
      </c>
      <c r="RQV1" t="s">
        <v>12672</v>
      </c>
      <c r="RQW1" t="s">
        <v>12673</v>
      </c>
      <c r="RQX1" t="s">
        <v>12674</v>
      </c>
      <c r="RQY1" t="s">
        <v>12675</v>
      </c>
      <c r="RQZ1" t="s">
        <v>12676</v>
      </c>
      <c r="RRA1" t="s">
        <v>12677</v>
      </c>
      <c r="RRB1" t="s">
        <v>12678</v>
      </c>
      <c r="RRC1" t="s">
        <v>12679</v>
      </c>
      <c r="RRD1" t="s">
        <v>12680</v>
      </c>
      <c r="RRE1" t="s">
        <v>12681</v>
      </c>
      <c r="RRF1" t="s">
        <v>12682</v>
      </c>
      <c r="RRG1" t="s">
        <v>12683</v>
      </c>
      <c r="RRH1" t="s">
        <v>12684</v>
      </c>
      <c r="RRI1" t="s">
        <v>12685</v>
      </c>
      <c r="RRJ1" t="s">
        <v>12686</v>
      </c>
      <c r="RRK1" t="s">
        <v>12687</v>
      </c>
      <c r="RRL1" t="s">
        <v>12688</v>
      </c>
      <c r="RRM1" t="s">
        <v>12689</v>
      </c>
      <c r="RRN1" t="s">
        <v>12690</v>
      </c>
      <c r="RRO1" t="s">
        <v>12691</v>
      </c>
      <c r="RRP1" t="s">
        <v>12692</v>
      </c>
      <c r="RRQ1" t="s">
        <v>12693</v>
      </c>
      <c r="RRR1" t="s">
        <v>12694</v>
      </c>
      <c r="RRS1" t="s">
        <v>12695</v>
      </c>
      <c r="RRT1" t="s">
        <v>12696</v>
      </c>
      <c r="RRU1" t="s">
        <v>12697</v>
      </c>
      <c r="RRV1" t="s">
        <v>12698</v>
      </c>
      <c r="RRW1" t="s">
        <v>12699</v>
      </c>
      <c r="RRX1" t="s">
        <v>12700</v>
      </c>
      <c r="RRY1" t="s">
        <v>12701</v>
      </c>
      <c r="RRZ1" t="s">
        <v>12702</v>
      </c>
      <c r="RSA1" t="s">
        <v>12703</v>
      </c>
      <c r="RSB1" t="s">
        <v>12704</v>
      </c>
      <c r="RSC1" t="s">
        <v>12705</v>
      </c>
      <c r="RSD1" t="s">
        <v>12706</v>
      </c>
      <c r="RSE1" t="s">
        <v>12707</v>
      </c>
      <c r="RSF1" t="s">
        <v>12708</v>
      </c>
      <c r="RSG1" t="s">
        <v>12709</v>
      </c>
      <c r="RSH1" t="s">
        <v>12710</v>
      </c>
      <c r="RSI1" t="s">
        <v>12711</v>
      </c>
      <c r="RSJ1" t="s">
        <v>12712</v>
      </c>
      <c r="RSK1" t="s">
        <v>12713</v>
      </c>
      <c r="RSL1" t="s">
        <v>12714</v>
      </c>
      <c r="RSM1" t="s">
        <v>12715</v>
      </c>
      <c r="RSN1" t="s">
        <v>12716</v>
      </c>
      <c r="RSO1" t="s">
        <v>12717</v>
      </c>
      <c r="RSP1" t="s">
        <v>12718</v>
      </c>
      <c r="RSQ1" t="s">
        <v>12719</v>
      </c>
      <c r="RSR1" t="s">
        <v>12720</v>
      </c>
      <c r="RSS1" t="s">
        <v>12721</v>
      </c>
      <c r="RST1" t="s">
        <v>12722</v>
      </c>
      <c r="RSU1" t="s">
        <v>12723</v>
      </c>
      <c r="RSV1" t="s">
        <v>12724</v>
      </c>
      <c r="RSW1" t="s">
        <v>12725</v>
      </c>
      <c r="RSX1" t="s">
        <v>12726</v>
      </c>
      <c r="RSY1" t="s">
        <v>12727</v>
      </c>
      <c r="RSZ1" t="s">
        <v>12728</v>
      </c>
      <c r="RTA1" t="s">
        <v>12729</v>
      </c>
      <c r="RTB1" t="s">
        <v>12730</v>
      </c>
      <c r="RTC1" t="s">
        <v>12731</v>
      </c>
      <c r="RTD1" t="s">
        <v>12732</v>
      </c>
      <c r="RTE1" t="s">
        <v>12733</v>
      </c>
      <c r="RTF1" t="s">
        <v>12734</v>
      </c>
      <c r="RTG1" t="s">
        <v>12735</v>
      </c>
      <c r="RTH1" t="s">
        <v>12736</v>
      </c>
      <c r="RTI1" t="s">
        <v>12737</v>
      </c>
      <c r="RTJ1" t="s">
        <v>12738</v>
      </c>
      <c r="RTK1" t="s">
        <v>12739</v>
      </c>
      <c r="RTL1" t="s">
        <v>12740</v>
      </c>
      <c r="RTM1" t="s">
        <v>12741</v>
      </c>
      <c r="RTN1" t="s">
        <v>12742</v>
      </c>
      <c r="RTO1" t="s">
        <v>12743</v>
      </c>
      <c r="RTP1" t="s">
        <v>12744</v>
      </c>
      <c r="RTQ1" t="s">
        <v>12745</v>
      </c>
      <c r="RTR1" t="s">
        <v>12746</v>
      </c>
      <c r="RTS1" t="s">
        <v>12747</v>
      </c>
      <c r="RTT1" t="s">
        <v>12748</v>
      </c>
      <c r="RTU1" t="s">
        <v>12749</v>
      </c>
      <c r="RTV1" t="s">
        <v>12750</v>
      </c>
      <c r="RTW1" t="s">
        <v>12751</v>
      </c>
      <c r="RTX1" t="s">
        <v>12752</v>
      </c>
      <c r="RTY1" t="s">
        <v>12753</v>
      </c>
      <c r="RTZ1" t="s">
        <v>12754</v>
      </c>
      <c r="RUA1" t="s">
        <v>12755</v>
      </c>
      <c r="RUB1" t="s">
        <v>12756</v>
      </c>
      <c r="RUC1" t="s">
        <v>12757</v>
      </c>
      <c r="RUD1" t="s">
        <v>12758</v>
      </c>
      <c r="RUE1" t="s">
        <v>12759</v>
      </c>
      <c r="RUF1" t="s">
        <v>12760</v>
      </c>
      <c r="RUG1" t="s">
        <v>12761</v>
      </c>
      <c r="RUH1" t="s">
        <v>12762</v>
      </c>
      <c r="RUI1" t="s">
        <v>12763</v>
      </c>
      <c r="RUJ1" t="s">
        <v>12764</v>
      </c>
      <c r="RUK1" t="s">
        <v>12765</v>
      </c>
      <c r="RUL1" t="s">
        <v>12766</v>
      </c>
      <c r="RUM1" t="s">
        <v>12767</v>
      </c>
      <c r="RUN1" t="s">
        <v>12768</v>
      </c>
      <c r="RUO1" t="s">
        <v>12769</v>
      </c>
      <c r="RUP1" t="s">
        <v>12770</v>
      </c>
      <c r="RUQ1" t="s">
        <v>12771</v>
      </c>
      <c r="RUR1" t="s">
        <v>12772</v>
      </c>
      <c r="RUS1" t="s">
        <v>12773</v>
      </c>
      <c r="RUT1" t="s">
        <v>12774</v>
      </c>
      <c r="RUU1" t="s">
        <v>12775</v>
      </c>
      <c r="RUV1" t="s">
        <v>12776</v>
      </c>
      <c r="RUW1" t="s">
        <v>12777</v>
      </c>
      <c r="RUX1" t="s">
        <v>12778</v>
      </c>
      <c r="RUY1" t="s">
        <v>12779</v>
      </c>
      <c r="RUZ1" t="s">
        <v>12780</v>
      </c>
      <c r="RVA1" t="s">
        <v>12781</v>
      </c>
      <c r="RVB1" t="s">
        <v>12782</v>
      </c>
      <c r="RVC1" t="s">
        <v>12783</v>
      </c>
      <c r="RVD1" t="s">
        <v>12784</v>
      </c>
      <c r="RVE1" t="s">
        <v>12785</v>
      </c>
      <c r="RVF1" t="s">
        <v>12786</v>
      </c>
      <c r="RVG1" t="s">
        <v>12787</v>
      </c>
      <c r="RVH1" t="s">
        <v>12788</v>
      </c>
      <c r="RVI1" t="s">
        <v>12789</v>
      </c>
      <c r="RVJ1" t="s">
        <v>12790</v>
      </c>
      <c r="RVK1" t="s">
        <v>12791</v>
      </c>
      <c r="RVL1" t="s">
        <v>12792</v>
      </c>
      <c r="RVM1" t="s">
        <v>12793</v>
      </c>
      <c r="RVN1" t="s">
        <v>12794</v>
      </c>
      <c r="RVO1" t="s">
        <v>12795</v>
      </c>
      <c r="RVP1" t="s">
        <v>12796</v>
      </c>
      <c r="RVQ1" t="s">
        <v>12797</v>
      </c>
      <c r="RVR1" t="s">
        <v>12798</v>
      </c>
      <c r="RVS1" t="s">
        <v>12799</v>
      </c>
      <c r="RVT1" t="s">
        <v>12800</v>
      </c>
      <c r="RVU1" t="s">
        <v>12801</v>
      </c>
      <c r="RVV1" t="s">
        <v>12802</v>
      </c>
      <c r="RVW1" t="s">
        <v>12803</v>
      </c>
      <c r="RVX1" t="s">
        <v>12804</v>
      </c>
      <c r="RVY1" t="s">
        <v>12805</v>
      </c>
      <c r="RVZ1" t="s">
        <v>12806</v>
      </c>
      <c r="RWA1" t="s">
        <v>12807</v>
      </c>
      <c r="RWB1" t="s">
        <v>12808</v>
      </c>
      <c r="RWC1" t="s">
        <v>12809</v>
      </c>
      <c r="RWD1" t="s">
        <v>12810</v>
      </c>
      <c r="RWE1" t="s">
        <v>12811</v>
      </c>
      <c r="RWF1" t="s">
        <v>12812</v>
      </c>
      <c r="RWG1" t="s">
        <v>12813</v>
      </c>
      <c r="RWH1" t="s">
        <v>12814</v>
      </c>
      <c r="RWI1" t="s">
        <v>12815</v>
      </c>
      <c r="RWJ1" t="s">
        <v>12816</v>
      </c>
      <c r="RWK1" t="s">
        <v>12817</v>
      </c>
      <c r="RWL1" t="s">
        <v>12818</v>
      </c>
      <c r="RWM1" t="s">
        <v>12819</v>
      </c>
      <c r="RWN1" t="s">
        <v>12820</v>
      </c>
      <c r="RWO1" t="s">
        <v>12821</v>
      </c>
      <c r="RWP1" t="s">
        <v>12822</v>
      </c>
      <c r="RWQ1" t="s">
        <v>12823</v>
      </c>
      <c r="RWR1" t="s">
        <v>12824</v>
      </c>
      <c r="RWS1" t="s">
        <v>12825</v>
      </c>
      <c r="RWT1" t="s">
        <v>12826</v>
      </c>
      <c r="RWU1" t="s">
        <v>12827</v>
      </c>
      <c r="RWV1" t="s">
        <v>12828</v>
      </c>
      <c r="RWW1" t="s">
        <v>12829</v>
      </c>
      <c r="RWX1" t="s">
        <v>12830</v>
      </c>
      <c r="RWY1" t="s">
        <v>12831</v>
      </c>
      <c r="RWZ1" t="s">
        <v>12832</v>
      </c>
      <c r="RXA1" t="s">
        <v>12833</v>
      </c>
      <c r="RXB1" t="s">
        <v>12834</v>
      </c>
      <c r="RXC1" t="s">
        <v>12835</v>
      </c>
      <c r="RXD1" t="s">
        <v>12836</v>
      </c>
      <c r="RXE1" t="s">
        <v>12837</v>
      </c>
      <c r="RXF1" t="s">
        <v>12838</v>
      </c>
      <c r="RXG1" t="s">
        <v>12839</v>
      </c>
      <c r="RXH1" t="s">
        <v>12840</v>
      </c>
      <c r="RXI1" t="s">
        <v>12841</v>
      </c>
      <c r="RXJ1" t="s">
        <v>12842</v>
      </c>
      <c r="RXK1" t="s">
        <v>12843</v>
      </c>
      <c r="RXL1" t="s">
        <v>12844</v>
      </c>
      <c r="RXM1" t="s">
        <v>12845</v>
      </c>
      <c r="RXN1" t="s">
        <v>12846</v>
      </c>
      <c r="RXO1" t="s">
        <v>12847</v>
      </c>
      <c r="RXP1" t="s">
        <v>12848</v>
      </c>
      <c r="RXQ1" t="s">
        <v>12849</v>
      </c>
      <c r="RXR1" t="s">
        <v>12850</v>
      </c>
      <c r="RXS1" t="s">
        <v>12851</v>
      </c>
      <c r="RXT1" t="s">
        <v>12852</v>
      </c>
      <c r="RXU1" t="s">
        <v>12853</v>
      </c>
      <c r="RXV1" t="s">
        <v>12854</v>
      </c>
      <c r="RXW1" t="s">
        <v>12855</v>
      </c>
      <c r="RXX1" t="s">
        <v>12856</v>
      </c>
      <c r="RXY1" t="s">
        <v>12857</v>
      </c>
      <c r="RXZ1" t="s">
        <v>12858</v>
      </c>
      <c r="RYA1" t="s">
        <v>12859</v>
      </c>
      <c r="RYB1" t="s">
        <v>12860</v>
      </c>
      <c r="RYC1" t="s">
        <v>12861</v>
      </c>
      <c r="RYD1" t="s">
        <v>12862</v>
      </c>
      <c r="RYE1" t="s">
        <v>12863</v>
      </c>
      <c r="RYF1" t="s">
        <v>12864</v>
      </c>
      <c r="RYG1" t="s">
        <v>12865</v>
      </c>
      <c r="RYH1" t="s">
        <v>12866</v>
      </c>
      <c r="RYI1" t="s">
        <v>12867</v>
      </c>
      <c r="RYJ1" t="s">
        <v>12868</v>
      </c>
      <c r="RYK1" t="s">
        <v>12869</v>
      </c>
      <c r="RYL1" t="s">
        <v>12870</v>
      </c>
      <c r="RYM1" t="s">
        <v>12871</v>
      </c>
      <c r="RYN1" t="s">
        <v>12872</v>
      </c>
      <c r="RYO1" t="s">
        <v>12873</v>
      </c>
      <c r="RYP1" t="s">
        <v>12874</v>
      </c>
      <c r="RYQ1" t="s">
        <v>12875</v>
      </c>
      <c r="RYR1" t="s">
        <v>12876</v>
      </c>
      <c r="RYS1" t="s">
        <v>12877</v>
      </c>
      <c r="RYT1" t="s">
        <v>12878</v>
      </c>
      <c r="RYU1" t="s">
        <v>12879</v>
      </c>
      <c r="RYV1" t="s">
        <v>12880</v>
      </c>
      <c r="RYW1" t="s">
        <v>12881</v>
      </c>
      <c r="RYX1" t="s">
        <v>12882</v>
      </c>
      <c r="RYY1" t="s">
        <v>12883</v>
      </c>
      <c r="RYZ1" t="s">
        <v>12884</v>
      </c>
      <c r="RZA1" t="s">
        <v>12885</v>
      </c>
      <c r="RZB1" t="s">
        <v>12886</v>
      </c>
      <c r="RZC1" t="s">
        <v>12887</v>
      </c>
      <c r="RZD1" t="s">
        <v>12888</v>
      </c>
      <c r="RZE1" t="s">
        <v>12889</v>
      </c>
      <c r="RZF1" t="s">
        <v>12890</v>
      </c>
      <c r="RZG1" t="s">
        <v>12891</v>
      </c>
      <c r="RZH1" t="s">
        <v>12892</v>
      </c>
      <c r="RZI1" t="s">
        <v>12893</v>
      </c>
      <c r="RZJ1" t="s">
        <v>12894</v>
      </c>
      <c r="RZK1" t="s">
        <v>12895</v>
      </c>
      <c r="RZL1" t="s">
        <v>12896</v>
      </c>
      <c r="RZM1" t="s">
        <v>12897</v>
      </c>
      <c r="RZN1" t="s">
        <v>12898</v>
      </c>
      <c r="RZO1" t="s">
        <v>12899</v>
      </c>
      <c r="RZP1" t="s">
        <v>12900</v>
      </c>
      <c r="RZQ1" t="s">
        <v>12901</v>
      </c>
      <c r="RZR1" t="s">
        <v>12902</v>
      </c>
      <c r="RZS1" t="s">
        <v>12903</v>
      </c>
      <c r="RZT1" t="s">
        <v>12904</v>
      </c>
      <c r="RZU1" t="s">
        <v>12905</v>
      </c>
      <c r="RZV1" t="s">
        <v>12906</v>
      </c>
      <c r="RZW1" t="s">
        <v>12907</v>
      </c>
      <c r="RZX1" t="s">
        <v>12908</v>
      </c>
      <c r="RZY1" t="s">
        <v>12909</v>
      </c>
      <c r="RZZ1" t="s">
        <v>12910</v>
      </c>
      <c r="SAA1" t="s">
        <v>12911</v>
      </c>
      <c r="SAB1" t="s">
        <v>12912</v>
      </c>
      <c r="SAC1" t="s">
        <v>12913</v>
      </c>
      <c r="SAD1" t="s">
        <v>12914</v>
      </c>
      <c r="SAE1" t="s">
        <v>12915</v>
      </c>
      <c r="SAF1" t="s">
        <v>12916</v>
      </c>
      <c r="SAG1" t="s">
        <v>12917</v>
      </c>
      <c r="SAH1" t="s">
        <v>12918</v>
      </c>
      <c r="SAI1" t="s">
        <v>12919</v>
      </c>
      <c r="SAJ1" t="s">
        <v>12920</v>
      </c>
      <c r="SAK1" t="s">
        <v>12921</v>
      </c>
      <c r="SAL1" t="s">
        <v>12922</v>
      </c>
      <c r="SAM1" t="s">
        <v>12923</v>
      </c>
      <c r="SAN1" t="s">
        <v>12924</v>
      </c>
      <c r="SAO1" t="s">
        <v>12925</v>
      </c>
      <c r="SAP1" t="s">
        <v>12926</v>
      </c>
      <c r="SAQ1" t="s">
        <v>12927</v>
      </c>
      <c r="SAR1" t="s">
        <v>12928</v>
      </c>
      <c r="SAS1" t="s">
        <v>12929</v>
      </c>
      <c r="SAT1" t="s">
        <v>12930</v>
      </c>
      <c r="SAU1" t="s">
        <v>12931</v>
      </c>
      <c r="SAV1" t="s">
        <v>12932</v>
      </c>
      <c r="SAW1" t="s">
        <v>12933</v>
      </c>
      <c r="SAX1" t="s">
        <v>12934</v>
      </c>
      <c r="SAY1" t="s">
        <v>12935</v>
      </c>
      <c r="SAZ1" t="s">
        <v>12936</v>
      </c>
      <c r="SBA1" t="s">
        <v>12937</v>
      </c>
      <c r="SBB1" t="s">
        <v>12938</v>
      </c>
      <c r="SBC1" t="s">
        <v>12939</v>
      </c>
      <c r="SBD1" t="s">
        <v>12940</v>
      </c>
      <c r="SBE1" t="s">
        <v>12941</v>
      </c>
      <c r="SBF1" t="s">
        <v>12942</v>
      </c>
      <c r="SBG1" t="s">
        <v>12943</v>
      </c>
      <c r="SBH1" t="s">
        <v>12944</v>
      </c>
      <c r="SBI1" t="s">
        <v>12945</v>
      </c>
      <c r="SBJ1" t="s">
        <v>12946</v>
      </c>
      <c r="SBK1" t="s">
        <v>12947</v>
      </c>
      <c r="SBL1" t="s">
        <v>12948</v>
      </c>
      <c r="SBM1" t="s">
        <v>12949</v>
      </c>
      <c r="SBN1" t="s">
        <v>12950</v>
      </c>
      <c r="SBO1" t="s">
        <v>12951</v>
      </c>
      <c r="SBP1" t="s">
        <v>12952</v>
      </c>
      <c r="SBQ1" t="s">
        <v>12953</v>
      </c>
      <c r="SBR1" t="s">
        <v>12954</v>
      </c>
      <c r="SBS1" t="s">
        <v>12955</v>
      </c>
      <c r="SBT1" t="s">
        <v>12956</v>
      </c>
      <c r="SBU1" t="s">
        <v>12957</v>
      </c>
      <c r="SBV1" t="s">
        <v>12958</v>
      </c>
      <c r="SBW1" t="s">
        <v>12959</v>
      </c>
      <c r="SBX1" t="s">
        <v>12960</v>
      </c>
      <c r="SBY1" t="s">
        <v>12961</v>
      </c>
      <c r="SBZ1" t="s">
        <v>12962</v>
      </c>
      <c r="SCA1" t="s">
        <v>12963</v>
      </c>
      <c r="SCB1" t="s">
        <v>12964</v>
      </c>
      <c r="SCC1" t="s">
        <v>12965</v>
      </c>
      <c r="SCD1" t="s">
        <v>12966</v>
      </c>
      <c r="SCE1" t="s">
        <v>12967</v>
      </c>
      <c r="SCF1" t="s">
        <v>12968</v>
      </c>
      <c r="SCG1" t="s">
        <v>12969</v>
      </c>
      <c r="SCH1" t="s">
        <v>12970</v>
      </c>
      <c r="SCI1" t="s">
        <v>12971</v>
      </c>
      <c r="SCJ1" t="s">
        <v>12972</v>
      </c>
      <c r="SCK1" t="s">
        <v>12973</v>
      </c>
      <c r="SCL1" t="s">
        <v>12974</v>
      </c>
      <c r="SCM1" t="s">
        <v>12975</v>
      </c>
      <c r="SCN1" t="s">
        <v>12976</v>
      </c>
      <c r="SCO1" t="s">
        <v>12977</v>
      </c>
      <c r="SCP1" t="s">
        <v>12978</v>
      </c>
      <c r="SCQ1" t="s">
        <v>12979</v>
      </c>
      <c r="SCR1" t="s">
        <v>12980</v>
      </c>
      <c r="SCS1" t="s">
        <v>12981</v>
      </c>
      <c r="SCT1" t="s">
        <v>12982</v>
      </c>
      <c r="SCU1" t="s">
        <v>12983</v>
      </c>
      <c r="SCV1" t="s">
        <v>12984</v>
      </c>
      <c r="SCW1" t="s">
        <v>12985</v>
      </c>
      <c r="SCX1" t="s">
        <v>12986</v>
      </c>
      <c r="SCY1" t="s">
        <v>12987</v>
      </c>
      <c r="SCZ1" t="s">
        <v>12988</v>
      </c>
      <c r="SDA1" t="s">
        <v>12989</v>
      </c>
      <c r="SDB1" t="s">
        <v>12990</v>
      </c>
      <c r="SDC1" t="s">
        <v>12991</v>
      </c>
      <c r="SDD1" t="s">
        <v>12992</v>
      </c>
      <c r="SDE1" t="s">
        <v>12993</v>
      </c>
      <c r="SDF1" t="s">
        <v>12994</v>
      </c>
      <c r="SDG1" t="s">
        <v>12995</v>
      </c>
      <c r="SDH1" t="s">
        <v>12996</v>
      </c>
      <c r="SDI1" t="s">
        <v>12997</v>
      </c>
      <c r="SDJ1" t="s">
        <v>12998</v>
      </c>
      <c r="SDK1" t="s">
        <v>12999</v>
      </c>
      <c r="SDL1" t="s">
        <v>13000</v>
      </c>
      <c r="SDM1" t="s">
        <v>13001</v>
      </c>
      <c r="SDN1" t="s">
        <v>13002</v>
      </c>
      <c r="SDO1" t="s">
        <v>13003</v>
      </c>
      <c r="SDP1" t="s">
        <v>13004</v>
      </c>
      <c r="SDQ1" t="s">
        <v>13005</v>
      </c>
      <c r="SDR1" t="s">
        <v>13006</v>
      </c>
      <c r="SDS1" t="s">
        <v>13007</v>
      </c>
      <c r="SDT1" t="s">
        <v>13008</v>
      </c>
      <c r="SDU1" t="s">
        <v>13009</v>
      </c>
      <c r="SDV1" t="s">
        <v>13010</v>
      </c>
      <c r="SDW1" t="s">
        <v>13011</v>
      </c>
      <c r="SDX1" t="s">
        <v>13012</v>
      </c>
      <c r="SDY1" t="s">
        <v>13013</v>
      </c>
      <c r="SDZ1" t="s">
        <v>13014</v>
      </c>
      <c r="SEA1" t="s">
        <v>13015</v>
      </c>
      <c r="SEB1" t="s">
        <v>13016</v>
      </c>
      <c r="SEC1" t="s">
        <v>13017</v>
      </c>
      <c r="SED1" t="s">
        <v>13018</v>
      </c>
      <c r="SEE1" t="s">
        <v>13019</v>
      </c>
      <c r="SEF1" t="s">
        <v>13020</v>
      </c>
      <c r="SEG1" t="s">
        <v>13021</v>
      </c>
      <c r="SEH1" t="s">
        <v>13022</v>
      </c>
      <c r="SEI1" t="s">
        <v>13023</v>
      </c>
      <c r="SEJ1" t="s">
        <v>13024</v>
      </c>
      <c r="SEK1" t="s">
        <v>13025</v>
      </c>
      <c r="SEL1" t="s">
        <v>13026</v>
      </c>
      <c r="SEM1" t="s">
        <v>13027</v>
      </c>
      <c r="SEN1" t="s">
        <v>13028</v>
      </c>
      <c r="SEO1" t="s">
        <v>13029</v>
      </c>
      <c r="SEP1" t="s">
        <v>13030</v>
      </c>
      <c r="SEQ1" t="s">
        <v>13031</v>
      </c>
      <c r="SER1" t="s">
        <v>13032</v>
      </c>
      <c r="SES1" t="s">
        <v>13033</v>
      </c>
      <c r="SET1" t="s">
        <v>13034</v>
      </c>
      <c r="SEU1" t="s">
        <v>13035</v>
      </c>
      <c r="SEV1" t="s">
        <v>13036</v>
      </c>
      <c r="SEW1" t="s">
        <v>13037</v>
      </c>
      <c r="SEX1" t="s">
        <v>13038</v>
      </c>
      <c r="SEY1" t="s">
        <v>13039</v>
      </c>
      <c r="SEZ1" t="s">
        <v>13040</v>
      </c>
      <c r="SFA1" t="s">
        <v>13041</v>
      </c>
      <c r="SFB1" t="s">
        <v>13042</v>
      </c>
      <c r="SFC1" t="s">
        <v>13043</v>
      </c>
      <c r="SFD1" t="s">
        <v>13044</v>
      </c>
      <c r="SFE1" t="s">
        <v>13045</v>
      </c>
      <c r="SFF1" t="s">
        <v>13046</v>
      </c>
      <c r="SFG1" t="s">
        <v>13047</v>
      </c>
      <c r="SFH1" t="s">
        <v>13048</v>
      </c>
      <c r="SFI1" t="s">
        <v>13049</v>
      </c>
      <c r="SFJ1" t="s">
        <v>13050</v>
      </c>
      <c r="SFK1" t="s">
        <v>13051</v>
      </c>
      <c r="SFL1" t="s">
        <v>13052</v>
      </c>
      <c r="SFM1" t="s">
        <v>13053</v>
      </c>
      <c r="SFN1" t="s">
        <v>13054</v>
      </c>
      <c r="SFO1" t="s">
        <v>13055</v>
      </c>
      <c r="SFP1" t="s">
        <v>13056</v>
      </c>
      <c r="SFQ1" t="s">
        <v>13057</v>
      </c>
      <c r="SFR1" t="s">
        <v>13058</v>
      </c>
      <c r="SFS1" t="s">
        <v>13059</v>
      </c>
      <c r="SFT1" t="s">
        <v>13060</v>
      </c>
      <c r="SFU1" t="s">
        <v>13061</v>
      </c>
      <c r="SFV1" t="s">
        <v>13062</v>
      </c>
      <c r="SFW1" t="s">
        <v>13063</v>
      </c>
      <c r="SFX1" t="s">
        <v>13064</v>
      </c>
      <c r="SFY1" t="s">
        <v>13065</v>
      </c>
      <c r="SFZ1" t="s">
        <v>13066</v>
      </c>
      <c r="SGA1" t="s">
        <v>13067</v>
      </c>
      <c r="SGB1" t="s">
        <v>13068</v>
      </c>
      <c r="SGC1" t="s">
        <v>13069</v>
      </c>
      <c r="SGD1" t="s">
        <v>13070</v>
      </c>
      <c r="SGE1" t="s">
        <v>13071</v>
      </c>
      <c r="SGF1" t="s">
        <v>13072</v>
      </c>
      <c r="SGG1" t="s">
        <v>13073</v>
      </c>
      <c r="SGH1" t="s">
        <v>13074</v>
      </c>
      <c r="SGI1" t="s">
        <v>13075</v>
      </c>
      <c r="SGJ1" t="s">
        <v>13076</v>
      </c>
      <c r="SGK1" t="s">
        <v>13077</v>
      </c>
      <c r="SGL1" t="s">
        <v>13078</v>
      </c>
      <c r="SGM1" t="s">
        <v>13079</v>
      </c>
      <c r="SGN1" t="s">
        <v>13080</v>
      </c>
      <c r="SGO1" t="s">
        <v>13081</v>
      </c>
      <c r="SGP1" t="s">
        <v>13082</v>
      </c>
      <c r="SGQ1" t="s">
        <v>13083</v>
      </c>
      <c r="SGR1" t="s">
        <v>13084</v>
      </c>
      <c r="SGS1" t="s">
        <v>13085</v>
      </c>
      <c r="SGT1" t="s">
        <v>13086</v>
      </c>
      <c r="SGU1" t="s">
        <v>13087</v>
      </c>
      <c r="SGV1" t="s">
        <v>13088</v>
      </c>
      <c r="SGW1" t="s">
        <v>13089</v>
      </c>
      <c r="SGX1" t="s">
        <v>13090</v>
      </c>
      <c r="SGY1" t="s">
        <v>13091</v>
      </c>
      <c r="SGZ1" t="s">
        <v>13092</v>
      </c>
      <c r="SHA1" t="s">
        <v>13093</v>
      </c>
      <c r="SHB1" t="s">
        <v>13094</v>
      </c>
      <c r="SHC1" t="s">
        <v>13095</v>
      </c>
      <c r="SHD1" t="s">
        <v>13096</v>
      </c>
      <c r="SHE1" t="s">
        <v>13097</v>
      </c>
      <c r="SHF1" t="s">
        <v>13098</v>
      </c>
      <c r="SHG1" t="s">
        <v>13099</v>
      </c>
      <c r="SHH1" t="s">
        <v>13100</v>
      </c>
      <c r="SHI1" t="s">
        <v>13101</v>
      </c>
      <c r="SHJ1" t="s">
        <v>13102</v>
      </c>
      <c r="SHK1" t="s">
        <v>13103</v>
      </c>
      <c r="SHL1" t="s">
        <v>13104</v>
      </c>
      <c r="SHM1" t="s">
        <v>13105</v>
      </c>
      <c r="SHN1" t="s">
        <v>13106</v>
      </c>
      <c r="SHO1" t="s">
        <v>13107</v>
      </c>
      <c r="SHP1" t="s">
        <v>13108</v>
      </c>
      <c r="SHQ1" t="s">
        <v>13109</v>
      </c>
      <c r="SHR1" t="s">
        <v>13110</v>
      </c>
      <c r="SHS1" t="s">
        <v>13111</v>
      </c>
      <c r="SHT1" t="s">
        <v>13112</v>
      </c>
      <c r="SHU1" t="s">
        <v>13113</v>
      </c>
      <c r="SHV1" t="s">
        <v>13114</v>
      </c>
      <c r="SHW1" t="s">
        <v>13115</v>
      </c>
      <c r="SHX1" t="s">
        <v>13116</v>
      </c>
      <c r="SHY1" t="s">
        <v>13117</v>
      </c>
      <c r="SHZ1" t="s">
        <v>13118</v>
      </c>
      <c r="SIA1" t="s">
        <v>13119</v>
      </c>
      <c r="SIB1" t="s">
        <v>13120</v>
      </c>
      <c r="SIC1" t="s">
        <v>13121</v>
      </c>
      <c r="SID1" t="s">
        <v>13122</v>
      </c>
      <c r="SIE1" t="s">
        <v>13123</v>
      </c>
      <c r="SIF1" t="s">
        <v>13124</v>
      </c>
      <c r="SIG1" t="s">
        <v>13125</v>
      </c>
      <c r="SIH1" t="s">
        <v>13126</v>
      </c>
      <c r="SII1" t="s">
        <v>13127</v>
      </c>
      <c r="SIJ1" t="s">
        <v>13128</v>
      </c>
      <c r="SIK1" t="s">
        <v>13129</v>
      </c>
      <c r="SIL1" t="s">
        <v>13130</v>
      </c>
      <c r="SIM1" t="s">
        <v>13131</v>
      </c>
      <c r="SIN1" t="s">
        <v>13132</v>
      </c>
      <c r="SIO1" t="s">
        <v>13133</v>
      </c>
      <c r="SIP1" t="s">
        <v>13134</v>
      </c>
      <c r="SIQ1" t="s">
        <v>13135</v>
      </c>
      <c r="SIR1" t="s">
        <v>13136</v>
      </c>
      <c r="SIS1" t="s">
        <v>13137</v>
      </c>
      <c r="SIT1" t="s">
        <v>13138</v>
      </c>
      <c r="SIU1" t="s">
        <v>13139</v>
      </c>
      <c r="SIV1" t="s">
        <v>13140</v>
      </c>
      <c r="SIW1" t="s">
        <v>13141</v>
      </c>
      <c r="SIX1" t="s">
        <v>13142</v>
      </c>
      <c r="SIY1" t="s">
        <v>13143</v>
      </c>
      <c r="SIZ1" t="s">
        <v>13144</v>
      </c>
      <c r="SJA1" t="s">
        <v>13145</v>
      </c>
      <c r="SJB1" t="s">
        <v>13146</v>
      </c>
      <c r="SJC1" t="s">
        <v>13147</v>
      </c>
      <c r="SJD1" t="s">
        <v>13148</v>
      </c>
      <c r="SJE1" t="s">
        <v>13149</v>
      </c>
      <c r="SJF1" t="s">
        <v>13150</v>
      </c>
      <c r="SJG1" t="s">
        <v>13151</v>
      </c>
      <c r="SJH1" t="s">
        <v>13152</v>
      </c>
      <c r="SJI1" t="s">
        <v>13153</v>
      </c>
      <c r="SJJ1" t="s">
        <v>13154</v>
      </c>
      <c r="SJK1" t="s">
        <v>13155</v>
      </c>
      <c r="SJL1" t="s">
        <v>13156</v>
      </c>
      <c r="SJM1" t="s">
        <v>13157</v>
      </c>
      <c r="SJN1" t="s">
        <v>13158</v>
      </c>
      <c r="SJO1" t="s">
        <v>13159</v>
      </c>
      <c r="SJP1" t="s">
        <v>13160</v>
      </c>
      <c r="SJQ1" t="s">
        <v>13161</v>
      </c>
      <c r="SJR1" t="s">
        <v>13162</v>
      </c>
      <c r="SJS1" t="s">
        <v>13163</v>
      </c>
      <c r="SJT1" t="s">
        <v>13164</v>
      </c>
      <c r="SJU1" t="s">
        <v>13165</v>
      </c>
      <c r="SJV1" t="s">
        <v>13166</v>
      </c>
      <c r="SJW1" t="s">
        <v>13167</v>
      </c>
      <c r="SJX1" t="s">
        <v>13168</v>
      </c>
      <c r="SJY1" t="s">
        <v>13169</v>
      </c>
      <c r="SJZ1" t="s">
        <v>13170</v>
      </c>
      <c r="SKA1" t="s">
        <v>13171</v>
      </c>
      <c r="SKB1" t="s">
        <v>13172</v>
      </c>
      <c r="SKC1" t="s">
        <v>13173</v>
      </c>
      <c r="SKD1" t="s">
        <v>13174</v>
      </c>
      <c r="SKE1" t="s">
        <v>13175</v>
      </c>
      <c r="SKF1" t="s">
        <v>13176</v>
      </c>
      <c r="SKG1" t="s">
        <v>13177</v>
      </c>
      <c r="SKH1" t="s">
        <v>13178</v>
      </c>
      <c r="SKI1" t="s">
        <v>13179</v>
      </c>
      <c r="SKJ1" t="s">
        <v>13180</v>
      </c>
      <c r="SKK1" t="s">
        <v>13181</v>
      </c>
      <c r="SKL1" t="s">
        <v>13182</v>
      </c>
      <c r="SKM1" t="s">
        <v>13183</v>
      </c>
      <c r="SKN1" t="s">
        <v>13184</v>
      </c>
      <c r="SKO1" t="s">
        <v>13185</v>
      </c>
      <c r="SKP1" t="s">
        <v>13186</v>
      </c>
      <c r="SKQ1" t="s">
        <v>13187</v>
      </c>
      <c r="SKR1" t="s">
        <v>13188</v>
      </c>
      <c r="SKS1" t="s">
        <v>13189</v>
      </c>
      <c r="SKT1" t="s">
        <v>13190</v>
      </c>
      <c r="SKU1" t="s">
        <v>13191</v>
      </c>
      <c r="SKV1" t="s">
        <v>13192</v>
      </c>
      <c r="SKW1" t="s">
        <v>13193</v>
      </c>
      <c r="SKX1" t="s">
        <v>13194</v>
      </c>
      <c r="SKY1" t="s">
        <v>13195</v>
      </c>
      <c r="SKZ1" t="s">
        <v>13196</v>
      </c>
      <c r="SLA1" t="s">
        <v>13197</v>
      </c>
      <c r="SLB1" t="s">
        <v>13198</v>
      </c>
      <c r="SLC1" t="s">
        <v>13199</v>
      </c>
      <c r="SLD1" t="s">
        <v>13200</v>
      </c>
      <c r="SLE1" t="s">
        <v>13201</v>
      </c>
      <c r="SLF1" t="s">
        <v>13202</v>
      </c>
      <c r="SLG1" t="s">
        <v>13203</v>
      </c>
      <c r="SLH1" t="s">
        <v>13204</v>
      </c>
      <c r="SLI1" t="s">
        <v>13205</v>
      </c>
      <c r="SLJ1" t="s">
        <v>13206</v>
      </c>
      <c r="SLK1" t="s">
        <v>13207</v>
      </c>
      <c r="SLL1" t="s">
        <v>13208</v>
      </c>
      <c r="SLM1" t="s">
        <v>13209</v>
      </c>
      <c r="SLN1" t="s">
        <v>13210</v>
      </c>
      <c r="SLO1" t="s">
        <v>13211</v>
      </c>
      <c r="SLP1" t="s">
        <v>13212</v>
      </c>
      <c r="SLQ1" t="s">
        <v>13213</v>
      </c>
      <c r="SLR1" t="s">
        <v>13214</v>
      </c>
      <c r="SLS1" t="s">
        <v>13215</v>
      </c>
      <c r="SLT1" t="s">
        <v>13216</v>
      </c>
      <c r="SLU1" t="s">
        <v>13217</v>
      </c>
      <c r="SLV1" t="s">
        <v>13218</v>
      </c>
      <c r="SLW1" t="s">
        <v>13219</v>
      </c>
      <c r="SLX1" t="s">
        <v>13220</v>
      </c>
      <c r="SLY1" t="s">
        <v>13221</v>
      </c>
      <c r="SLZ1" t="s">
        <v>13222</v>
      </c>
      <c r="SMA1" t="s">
        <v>13223</v>
      </c>
      <c r="SMB1" t="s">
        <v>13224</v>
      </c>
      <c r="SMC1" t="s">
        <v>13225</v>
      </c>
      <c r="SMD1" t="s">
        <v>13226</v>
      </c>
      <c r="SME1" t="s">
        <v>13227</v>
      </c>
      <c r="SMF1" t="s">
        <v>13228</v>
      </c>
      <c r="SMG1" t="s">
        <v>13229</v>
      </c>
      <c r="SMH1" t="s">
        <v>13230</v>
      </c>
      <c r="SMI1" t="s">
        <v>13231</v>
      </c>
      <c r="SMJ1" t="s">
        <v>13232</v>
      </c>
      <c r="SMK1" t="s">
        <v>13233</v>
      </c>
      <c r="SML1" t="s">
        <v>13234</v>
      </c>
      <c r="SMM1" t="s">
        <v>13235</v>
      </c>
      <c r="SMN1" t="s">
        <v>13236</v>
      </c>
      <c r="SMO1" t="s">
        <v>13237</v>
      </c>
      <c r="SMP1" t="s">
        <v>13238</v>
      </c>
      <c r="SMQ1" t="s">
        <v>13239</v>
      </c>
      <c r="SMR1" t="s">
        <v>13240</v>
      </c>
      <c r="SMS1" t="s">
        <v>13241</v>
      </c>
      <c r="SMT1" t="s">
        <v>13242</v>
      </c>
      <c r="SMU1" t="s">
        <v>13243</v>
      </c>
      <c r="SMV1" t="s">
        <v>13244</v>
      </c>
      <c r="SMW1" t="s">
        <v>13245</v>
      </c>
      <c r="SMX1" t="s">
        <v>13246</v>
      </c>
      <c r="SMY1" t="s">
        <v>13247</v>
      </c>
      <c r="SMZ1" t="s">
        <v>13248</v>
      </c>
      <c r="SNA1" t="s">
        <v>13249</v>
      </c>
      <c r="SNB1" t="s">
        <v>13250</v>
      </c>
      <c r="SNC1" t="s">
        <v>13251</v>
      </c>
      <c r="SND1" t="s">
        <v>13252</v>
      </c>
      <c r="SNE1" t="s">
        <v>13253</v>
      </c>
      <c r="SNF1" t="s">
        <v>13254</v>
      </c>
      <c r="SNG1" t="s">
        <v>13255</v>
      </c>
      <c r="SNH1" t="s">
        <v>13256</v>
      </c>
      <c r="SNI1" t="s">
        <v>13257</v>
      </c>
      <c r="SNJ1" t="s">
        <v>13258</v>
      </c>
      <c r="SNK1" t="s">
        <v>13259</v>
      </c>
      <c r="SNL1" t="s">
        <v>13260</v>
      </c>
      <c r="SNM1" t="s">
        <v>13261</v>
      </c>
      <c r="SNN1" t="s">
        <v>13262</v>
      </c>
      <c r="SNO1" t="s">
        <v>13263</v>
      </c>
      <c r="SNP1" t="s">
        <v>13264</v>
      </c>
      <c r="SNQ1" t="s">
        <v>13265</v>
      </c>
      <c r="SNR1" t="s">
        <v>13266</v>
      </c>
      <c r="SNS1" t="s">
        <v>13267</v>
      </c>
      <c r="SNT1" t="s">
        <v>13268</v>
      </c>
      <c r="SNU1" t="s">
        <v>13269</v>
      </c>
      <c r="SNV1" t="s">
        <v>13270</v>
      </c>
      <c r="SNW1" t="s">
        <v>13271</v>
      </c>
      <c r="SNX1" t="s">
        <v>13272</v>
      </c>
      <c r="SNY1" t="s">
        <v>13273</v>
      </c>
      <c r="SNZ1" t="s">
        <v>13274</v>
      </c>
      <c r="SOA1" t="s">
        <v>13275</v>
      </c>
      <c r="SOB1" t="s">
        <v>13276</v>
      </c>
      <c r="SOC1" t="s">
        <v>13277</v>
      </c>
      <c r="SOD1" t="s">
        <v>13278</v>
      </c>
      <c r="SOE1" t="s">
        <v>13279</v>
      </c>
      <c r="SOF1" t="s">
        <v>13280</v>
      </c>
      <c r="SOG1" t="s">
        <v>13281</v>
      </c>
      <c r="SOH1" t="s">
        <v>13282</v>
      </c>
      <c r="SOI1" t="s">
        <v>13283</v>
      </c>
      <c r="SOJ1" t="s">
        <v>13284</v>
      </c>
      <c r="SOK1" t="s">
        <v>13285</v>
      </c>
      <c r="SOL1" t="s">
        <v>13286</v>
      </c>
      <c r="SOM1" t="s">
        <v>13287</v>
      </c>
      <c r="SON1" t="s">
        <v>13288</v>
      </c>
      <c r="SOO1" t="s">
        <v>13289</v>
      </c>
      <c r="SOP1" t="s">
        <v>13290</v>
      </c>
      <c r="SOQ1" t="s">
        <v>13291</v>
      </c>
      <c r="SOR1" t="s">
        <v>13292</v>
      </c>
      <c r="SOS1" t="s">
        <v>13293</v>
      </c>
      <c r="SOT1" t="s">
        <v>13294</v>
      </c>
      <c r="SOU1" t="s">
        <v>13295</v>
      </c>
      <c r="SOV1" t="s">
        <v>13296</v>
      </c>
      <c r="SOW1" t="s">
        <v>13297</v>
      </c>
      <c r="SOX1" t="s">
        <v>13298</v>
      </c>
      <c r="SOY1" t="s">
        <v>13299</v>
      </c>
      <c r="SOZ1" t="s">
        <v>13300</v>
      </c>
      <c r="SPA1" t="s">
        <v>13301</v>
      </c>
      <c r="SPB1" t="s">
        <v>13302</v>
      </c>
      <c r="SPC1" t="s">
        <v>13303</v>
      </c>
      <c r="SPD1" t="s">
        <v>13304</v>
      </c>
      <c r="SPE1" t="s">
        <v>13305</v>
      </c>
      <c r="SPF1" t="s">
        <v>13306</v>
      </c>
      <c r="SPG1" t="s">
        <v>13307</v>
      </c>
      <c r="SPH1" t="s">
        <v>13308</v>
      </c>
      <c r="SPI1" t="s">
        <v>13309</v>
      </c>
      <c r="SPJ1" t="s">
        <v>13310</v>
      </c>
      <c r="SPK1" t="s">
        <v>13311</v>
      </c>
      <c r="SPL1" t="s">
        <v>13312</v>
      </c>
      <c r="SPM1" t="s">
        <v>13313</v>
      </c>
      <c r="SPN1" t="s">
        <v>13314</v>
      </c>
      <c r="SPO1" t="s">
        <v>13315</v>
      </c>
      <c r="SPP1" t="s">
        <v>13316</v>
      </c>
      <c r="SPQ1" t="s">
        <v>13317</v>
      </c>
      <c r="SPR1" t="s">
        <v>13318</v>
      </c>
      <c r="SPS1" t="s">
        <v>13319</v>
      </c>
      <c r="SPT1" t="s">
        <v>13320</v>
      </c>
      <c r="SPU1" t="s">
        <v>13321</v>
      </c>
      <c r="SPV1" t="s">
        <v>13322</v>
      </c>
      <c r="SPW1" t="s">
        <v>13323</v>
      </c>
      <c r="SPX1" t="s">
        <v>13324</v>
      </c>
      <c r="SPY1" t="s">
        <v>13325</v>
      </c>
      <c r="SPZ1" t="s">
        <v>13326</v>
      </c>
      <c r="SQA1" t="s">
        <v>13327</v>
      </c>
      <c r="SQB1" t="s">
        <v>13328</v>
      </c>
      <c r="SQC1" t="s">
        <v>13329</v>
      </c>
      <c r="SQD1" t="s">
        <v>13330</v>
      </c>
      <c r="SQE1" t="s">
        <v>13331</v>
      </c>
      <c r="SQF1" t="s">
        <v>13332</v>
      </c>
      <c r="SQG1" t="s">
        <v>13333</v>
      </c>
      <c r="SQH1" t="s">
        <v>13334</v>
      </c>
      <c r="SQI1" t="s">
        <v>13335</v>
      </c>
      <c r="SQJ1" t="s">
        <v>13336</v>
      </c>
      <c r="SQK1" t="s">
        <v>13337</v>
      </c>
      <c r="SQL1" t="s">
        <v>13338</v>
      </c>
      <c r="SQM1" t="s">
        <v>13339</v>
      </c>
      <c r="SQN1" t="s">
        <v>13340</v>
      </c>
      <c r="SQO1" t="s">
        <v>13341</v>
      </c>
      <c r="SQP1" t="s">
        <v>13342</v>
      </c>
      <c r="SQQ1" t="s">
        <v>13343</v>
      </c>
      <c r="SQR1" t="s">
        <v>13344</v>
      </c>
      <c r="SQS1" t="s">
        <v>13345</v>
      </c>
      <c r="SQT1" t="s">
        <v>13346</v>
      </c>
      <c r="SQU1" t="s">
        <v>13347</v>
      </c>
      <c r="SQV1" t="s">
        <v>13348</v>
      </c>
      <c r="SQW1" t="s">
        <v>13349</v>
      </c>
      <c r="SQX1" t="s">
        <v>13350</v>
      </c>
      <c r="SQY1" t="s">
        <v>13351</v>
      </c>
      <c r="SQZ1" t="s">
        <v>13352</v>
      </c>
      <c r="SRA1" t="s">
        <v>13353</v>
      </c>
      <c r="SRB1" t="s">
        <v>13354</v>
      </c>
      <c r="SRC1" t="s">
        <v>13355</v>
      </c>
      <c r="SRD1" t="s">
        <v>13356</v>
      </c>
      <c r="SRE1" t="s">
        <v>13357</v>
      </c>
      <c r="SRF1" t="s">
        <v>13358</v>
      </c>
      <c r="SRG1" t="s">
        <v>13359</v>
      </c>
      <c r="SRH1" t="s">
        <v>13360</v>
      </c>
      <c r="SRI1" t="s">
        <v>13361</v>
      </c>
      <c r="SRJ1" t="s">
        <v>13362</v>
      </c>
      <c r="SRK1" t="s">
        <v>13363</v>
      </c>
      <c r="SRL1" t="s">
        <v>13364</v>
      </c>
      <c r="SRM1" t="s">
        <v>13365</v>
      </c>
      <c r="SRN1" t="s">
        <v>13366</v>
      </c>
      <c r="SRO1" t="s">
        <v>13367</v>
      </c>
      <c r="SRP1" t="s">
        <v>13368</v>
      </c>
      <c r="SRQ1" t="s">
        <v>13369</v>
      </c>
      <c r="SRR1" t="s">
        <v>13370</v>
      </c>
      <c r="SRS1" t="s">
        <v>13371</v>
      </c>
      <c r="SRT1" t="s">
        <v>13372</v>
      </c>
      <c r="SRU1" t="s">
        <v>13373</v>
      </c>
      <c r="SRV1" t="s">
        <v>13374</v>
      </c>
      <c r="SRW1" t="s">
        <v>13375</v>
      </c>
      <c r="SRX1" t="s">
        <v>13376</v>
      </c>
      <c r="SRY1" t="s">
        <v>13377</v>
      </c>
      <c r="SRZ1" t="s">
        <v>13378</v>
      </c>
      <c r="SSA1" t="s">
        <v>13379</v>
      </c>
      <c r="SSB1" t="s">
        <v>13380</v>
      </c>
      <c r="SSC1" t="s">
        <v>13381</v>
      </c>
      <c r="SSD1" t="s">
        <v>13382</v>
      </c>
      <c r="SSE1" t="s">
        <v>13383</v>
      </c>
      <c r="SSF1" t="s">
        <v>13384</v>
      </c>
      <c r="SSG1" t="s">
        <v>13385</v>
      </c>
      <c r="SSH1" t="s">
        <v>13386</v>
      </c>
      <c r="SSI1" t="s">
        <v>13387</v>
      </c>
      <c r="SSJ1" t="s">
        <v>13388</v>
      </c>
      <c r="SSK1" t="s">
        <v>13389</v>
      </c>
      <c r="SSL1" t="s">
        <v>13390</v>
      </c>
      <c r="SSM1" t="s">
        <v>13391</v>
      </c>
      <c r="SSN1" t="s">
        <v>13392</v>
      </c>
      <c r="SSO1" t="s">
        <v>13393</v>
      </c>
      <c r="SSP1" t="s">
        <v>13394</v>
      </c>
      <c r="SSQ1" t="s">
        <v>13395</v>
      </c>
      <c r="SSR1" t="s">
        <v>13396</v>
      </c>
      <c r="SSS1" t="s">
        <v>13397</v>
      </c>
      <c r="SST1" t="s">
        <v>13398</v>
      </c>
      <c r="SSU1" t="s">
        <v>13399</v>
      </c>
      <c r="SSV1" t="s">
        <v>13400</v>
      </c>
      <c r="SSW1" t="s">
        <v>13401</v>
      </c>
      <c r="SSX1" t="s">
        <v>13402</v>
      </c>
      <c r="SSY1" t="s">
        <v>13403</v>
      </c>
      <c r="SSZ1" t="s">
        <v>13404</v>
      </c>
      <c r="STA1" t="s">
        <v>13405</v>
      </c>
      <c r="STB1" t="s">
        <v>13406</v>
      </c>
      <c r="STC1" t="s">
        <v>13407</v>
      </c>
      <c r="STD1" t="s">
        <v>13408</v>
      </c>
      <c r="STE1" t="s">
        <v>13409</v>
      </c>
      <c r="STF1" t="s">
        <v>13410</v>
      </c>
      <c r="STG1" t="s">
        <v>13411</v>
      </c>
      <c r="STH1" t="s">
        <v>13412</v>
      </c>
      <c r="STI1" t="s">
        <v>13413</v>
      </c>
      <c r="STJ1" t="s">
        <v>13414</v>
      </c>
      <c r="STK1" t="s">
        <v>13415</v>
      </c>
      <c r="STL1" t="s">
        <v>13416</v>
      </c>
      <c r="STM1" t="s">
        <v>13417</v>
      </c>
      <c r="STN1" t="s">
        <v>13418</v>
      </c>
      <c r="STO1" t="s">
        <v>13419</v>
      </c>
      <c r="STP1" t="s">
        <v>13420</v>
      </c>
      <c r="STQ1" t="s">
        <v>13421</v>
      </c>
      <c r="STR1" t="s">
        <v>13422</v>
      </c>
      <c r="STS1" t="s">
        <v>13423</v>
      </c>
      <c r="STT1" t="s">
        <v>13424</v>
      </c>
      <c r="STU1" t="s">
        <v>13425</v>
      </c>
      <c r="STV1" t="s">
        <v>13426</v>
      </c>
      <c r="STW1" t="s">
        <v>13427</v>
      </c>
      <c r="STX1" t="s">
        <v>13428</v>
      </c>
      <c r="STY1" t="s">
        <v>13429</v>
      </c>
      <c r="STZ1" t="s">
        <v>13430</v>
      </c>
      <c r="SUA1" t="s">
        <v>13431</v>
      </c>
      <c r="SUB1" t="s">
        <v>13432</v>
      </c>
      <c r="SUC1" t="s">
        <v>13433</v>
      </c>
      <c r="SUD1" t="s">
        <v>13434</v>
      </c>
      <c r="SUE1" t="s">
        <v>13435</v>
      </c>
      <c r="SUF1" t="s">
        <v>13436</v>
      </c>
      <c r="SUG1" t="s">
        <v>13437</v>
      </c>
      <c r="SUH1" t="s">
        <v>13438</v>
      </c>
      <c r="SUI1" t="s">
        <v>13439</v>
      </c>
      <c r="SUJ1" t="s">
        <v>13440</v>
      </c>
      <c r="SUK1" t="s">
        <v>13441</v>
      </c>
      <c r="SUL1" t="s">
        <v>13442</v>
      </c>
      <c r="SUM1" t="s">
        <v>13443</v>
      </c>
      <c r="SUN1" t="s">
        <v>13444</v>
      </c>
      <c r="SUO1" t="s">
        <v>13445</v>
      </c>
      <c r="SUP1" t="s">
        <v>13446</v>
      </c>
      <c r="SUQ1" t="s">
        <v>13447</v>
      </c>
      <c r="SUR1" t="s">
        <v>13448</v>
      </c>
      <c r="SUS1" t="s">
        <v>13449</v>
      </c>
      <c r="SUT1" t="s">
        <v>13450</v>
      </c>
      <c r="SUU1" t="s">
        <v>13451</v>
      </c>
      <c r="SUV1" t="s">
        <v>13452</v>
      </c>
      <c r="SUW1" t="s">
        <v>13453</v>
      </c>
      <c r="SUX1" t="s">
        <v>13454</v>
      </c>
      <c r="SUY1" t="s">
        <v>13455</v>
      </c>
      <c r="SUZ1" t="s">
        <v>13456</v>
      </c>
      <c r="SVA1" t="s">
        <v>13457</v>
      </c>
      <c r="SVB1" t="s">
        <v>13458</v>
      </c>
      <c r="SVC1" t="s">
        <v>13459</v>
      </c>
      <c r="SVD1" t="s">
        <v>13460</v>
      </c>
      <c r="SVE1" t="s">
        <v>13461</v>
      </c>
      <c r="SVF1" t="s">
        <v>13462</v>
      </c>
      <c r="SVG1" t="s">
        <v>13463</v>
      </c>
      <c r="SVH1" t="s">
        <v>13464</v>
      </c>
      <c r="SVI1" t="s">
        <v>13465</v>
      </c>
      <c r="SVJ1" t="s">
        <v>13466</v>
      </c>
      <c r="SVK1" t="s">
        <v>13467</v>
      </c>
      <c r="SVL1" t="s">
        <v>13468</v>
      </c>
      <c r="SVM1" t="s">
        <v>13469</v>
      </c>
      <c r="SVN1" t="s">
        <v>13470</v>
      </c>
      <c r="SVO1" t="s">
        <v>13471</v>
      </c>
      <c r="SVP1" t="s">
        <v>13472</v>
      </c>
      <c r="SVQ1" t="s">
        <v>13473</v>
      </c>
      <c r="SVR1" t="s">
        <v>13474</v>
      </c>
      <c r="SVS1" t="s">
        <v>13475</v>
      </c>
      <c r="SVT1" t="s">
        <v>13476</v>
      </c>
      <c r="SVU1" t="s">
        <v>13477</v>
      </c>
      <c r="SVV1" t="s">
        <v>13478</v>
      </c>
      <c r="SVW1" t="s">
        <v>13479</v>
      </c>
      <c r="SVX1" t="s">
        <v>13480</v>
      </c>
      <c r="SVY1" t="s">
        <v>13481</v>
      </c>
      <c r="SVZ1" t="s">
        <v>13482</v>
      </c>
      <c r="SWA1" t="s">
        <v>13483</v>
      </c>
      <c r="SWB1" t="s">
        <v>13484</v>
      </c>
      <c r="SWC1" t="s">
        <v>13485</v>
      </c>
      <c r="SWD1" t="s">
        <v>13486</v>
      </c>
      <c r="SWE1" t="s">
        <v>13487</v>
      </c>
      <c r="SWF1" t="s">
        <v>13488</v>
      </c>
      <c r="SWG1" t="s">
        <v>13489</v>
      </c>
      <c r="SWH1" t="s">
        <v>13490</v>
      </c>
      <c r="SWI1" t="s">
        <v>13491</v>
      </c>
      <c r="SWJ1" t="s">
        <v>13492</v>
      </c>
      <c r="SWK1" t="s">
        <v>13493</v>
      </c>
      <c r="SWL1" t="s">
        <v>13494</v>
      </c>
      <c r="SWM1" t="s">
        <v>13495</v>
      </c>
      <c r="SWN1" t="s">
        <v>13496</v>
      </c>
      <c r="SWO1" t="s">
        <v>13497</v>
      </c>
      <c r="SWP1" t="s">
        <v>13498</v>
      </c>
      <c r="SWQ1" t="s">
        <v>13499</v>
      </c>
      <c r="SWR1" t="s">
        <v>13500</v>
      </c>
      <c r="SWS1" t="s">
        <v>13501</v>
      </c>
      <c r="SWT1" t="s">
        <v>13502</v>
      </c>
      <c r="SWU1" t="s">
        <v>13503</v>
      </c>
      <c r="SWV1" t="s">
        <v>13504</v>
      </c>
      <c r="SWW1" t="s">
        <v>13505</v>
      </c>
      <c r="SWX1" t="s">
        <v>13506</v>
      </c>
      <c r="SWY1" t="s">
        <v>13507</v>
      </c>
      <c r="SWZ1" t="s">
        <v>13508</v>
      </c>
      <c r="SXA1" t="s">
        <v>13509</v>
      </c>
      <c r="SXB1" t="s">
        <v>13510</v>
      </c>
      <c r="SXC1" t="s">
        <v>13511</v>
      </c>
      <c r="SXD1" t="s">
        <v>13512</v>
      </c>
      <c r="SXE1" t="s">
        <v>13513</v>
      </c>
      <c r="SXF1" t="s">
        <v>13514</v>
      </c>
      <c r="SXG1" t="s">
        <v>13515</v>
      </c>
      <c r="SXH1" t="s">
        <v>13516</v>
      </c>
      <c r="SXI1" t="s">
        <v>13517</v>
      </c>
      <c r="SXJ1" t="s">
        <v>13518</v>
      </c>
      <c r="SXK1" t="s">
        <v>13519</v>
      </c>
      <c r="SXL1" t="s">
        <v>13520</v>
      </c>
      <c r="SXM1" t="s">
        <v>13521</v>
      </c>
      <c r="SXN1" t="s">
        <v>13522</v>
      </c>
      <c r="SXO1" t="s">
        <v>13523</v>
      </c>
      <c r="SXP1" t="s">
        <v>13524</v>
      </c>
      <c r="SXQ1" t="s">
        <v>13525</v>
      </c>
      <c r="SXR1" t="s">
        <v>13526</v>
      </c>
      <c r="SXS1" t="s">
        <v>13527</v>
      </c>
      <c r="SXT1" t="s">
        <v>13528</v>
      </c>
      <c r="SXU1" t="s">
        <v>13529</v>
      </c>
      <c r="SXV1" t="s">
        <v>13530</v>
      </c>
      <c r="SXW1" t="s">
        <v>13531</v>
      </c>
      <c r="SXX1" t="s">
        <v>13532</v>
      </c>
      <c r="SXY1" t="s">
        <v>13533</v>
      </c>
      <c r="SXZ1" t="s">
        <v>13534</v>
      </c>
      <c r="SYA1" t="s">
        <v>13535</v>
      </c>
      <c r="SYB1" t="s">
        <v>13536</v>
      </c>
      <c r="SYC1" t="s">
        <v>13537</v>
      </c>
      <c r="SYD1" t="s">
        <v>13538</v>
      </c>
      <c r="SYE1" t="s">
        <v>13539</v>
      </c>
      <c r="SYF1" t="s">
        <v>13540</v>
      </c>
      <c r="SYG1" t="s">
        <v>13541</v>
      </c>
      <c r="SYH1" t="s">
        <v>13542</v>
      </c>
      <c r="SYI1" t="s">
        <v>13543</v>
      </c>
      <c r="SYJ1" t="s">
        <v>13544</v>
      </c>
      <c r="SYK1" t="s">
        <v>13545</v>
      </c>
      <c r="SYL1" t="s">
        <v>13546</v>
      </c>
      <c r="SYM1" t="s">
        <v>13547</v>
      </c>
      <c r="SYN1" t="s">
        <v>13548</v>
      </c>
      <c r="SYO1" t="s">
        <v>13549</v>
      </c>
      <c r="SYP1" t="s">
        <v>13550</v>
      </c>
      <c r="SYQ1" t="s">
        <v>13551</v>
      </c>
      <c r="SYR1" t="s">
        <v>13552</v>
      </c>
      <c r="SYS1" t="s">
        <v>13553</v>
      </c>
      <c r="SYT1" t="s">
        <v>13554</v>
      </c>
      <c r="SYU1" t="s">
        <v>13555</v>
      </c>
      <c r="SYV1" t="s">
        <v>13556</v>
      </c>
      <c r="SYW1" t="s">
        <v>13557</v>
      </c>
      <c r="SYX1" t="s">
        <v>13558</v>
      </c>
      <c r="SYY1" t="s">
        <v>13559</v>
      </c>
      <c r="SYZ1" t="s">
        <v>13560</v>
      </c>
      <c r="SZA1" t="s">
        <v>13561</v>
      </c>
      <c r="SZB1" t="s">
        <v>13562</v>
      </c>
      <c r="SZC1" t="s">
        <v>13563</v>
      </c>
      <c r="SZD1" t="s">
        <v>13564</v>
      </c>
      <c r="SZE1" t="s">
        <v>13565</v>
      </c>
      <c r="SZF1" t="s">
        <v>13566</v>
      </c>
      <c r="SZG1" t="s">
        <v>13567</v>
      </c>
      <c r="SZH1" t="s">
        <v>13568</v>
      </c>
      <c r="SZI1" t="s">
        <v>13569</v>
      </c>
      <c r="SZJ1" t="s">
        <v>13570</v>
      </c>
      <c r="SZK1" t="s">
        <v>13571</v>
      </c>
      <c r="SZL1" t="s">
        <v>13572</v>
      </c>
      <c r="SZM1" t="s">
        <v>13573</v>
      </c>
      <c r="SZN1" t="s">
        <v>13574</v>
      </c>
      <c r="SZO1" t="s">
        <v>13575</v>
      </c>
      <c r="SZP1" t="s">
        <v>13576</v>
      </c>
      <c r="SZQ1" t="s">
        <v>13577</v>
      </c>
      <c r="SZR1" t="s">
        <v>13578</v>
      </c>
      <c r="SZS1" t="s">
        <v>13579</v>
      </c>
      <c r="SZT1" t="s">
        <v>13580</v>
      </c>
      <c r="SZU1" t="s">
        <v>13581</v>
      </c>
      <c r="SZV1" t="s">
        <v>13582</v>
      </c>
      <c r="SZW1" t="s">
        <v>13583</v>
      </c>
      <c r="SZX1" t="s">
        <v>13584</v>
      </c>
      <c r="SZY1" t="s">
        <v>13585</v>
      </c>
      <c r="SZZ1" t="s">
        <v>13586</v>
      </c>
      <c r="TAA1" t="s">
        <v>13587</v>
      </c>
      <c r="TAB1" t="s">
        <v>13588</v>
      </c>
      <c r="TAC1" t="s">
        <v>13589</v>
      </c>
      <c r="TAD1" t="s">
        <v>13590</v>
      </c>
      <c r="TAE1" t="s">
        <v>13591</v>
      </c>
      <c r="TAF1" t="s">
        <v>13592</v>
      </c>
      <c r="TAG1" t="s">
        <v>13593</v>
      </c>
      <c r="TAH1" t="s">
        <v>13594</v>
      </c>
      <c r="TAI1" t="s">
        <v>13595</v>
      </c>
      <c r="TAJ1" t="s">
        <v>13596</v>
      </c>
      <c r="TAK1" t="s">
        <v>13597</v>
      </c>
      <c r="TAL1" t="s">
        <v>13598</v>
      </c>
      <c r="TAM1" t="s">
        <v>13599</v>
      </c>
      <c r="TAN1" t="s">
        <v>13600</v>
      </c>
      <c r="TAO1" t="s">
        <v>13601</v>
      </c>
      <c r="TAP1" t="s">
        <v>13602</v>
      </c>
      <c r="TAQ1" t="s">
        <v>13603</v>
      </c>
      <c r="TAR1" t="s">
        <v>13604</v>
      </c>
      <c r="TAS1" t="s">
        <v>13605</v>
      </c>
      <c r="TAT1" t="s">
        <v>13606</v>
      </c>
      <c r="TAU1" t="s">
        <v>13607</v>
      </c>
      <c r="TAV1" t="s">
        <v>13608</v>
      </c>
      <c r="TAW1" t="s">
        <v>13609</v>
      </c>
      <c r="TAX1" t="s">
        <v>13610</v>
      </c>
      <c r="TAY1" t="s">
        <v>13611</v>
      </c>
      <c r="TAZ1" t="s">
        <v>13612</v>
      </c>
      <c r="TBA1" t="s">
        <v>13613</v>
      </c>
      <c r="TBB1" t="s">
        <v>13614</v>
      </c>
      <c r="TBC1" t="s">
        <v>13615</v>
      </c>
      <c r="TBD1" t="s">
        <v>13616</v>
      </c>
      <c r="TBE1" t="s">
        <v>13617</v>
      </c>
      <c r="TBF1" t="s">
        <v>13618</v>
      </c>
      <c r="TBG1" t="s">
        <v>13619</v>
      </c>
      <c r="TBH1" t="s">
        <v>13620</v>
      </c>
      <c r="TBI1" t="s">
        <v>13621</v>
      </c>
      <c r="TBJ1" t="s">
        <v>13622</v>
      </c>
      <c r="TBK1" t="s">
        <v>13623</v>
      </c>
      <c r="TBL1" t="s">
        <v>13624</v>
      </c>
      <c r="TBM1" t="s">
        <v>13625</v>
      </c>
      <c r="TBN1" t="s">
        <v>13626</v>
      </c>
      <c r="TBO1" t="s">
        <v>13627</v>
      </c>
      <c r="TBP1" t="s">
        <v>13628</v>
      </c>
      <c r="TBQ1" t="s">
        <v>13629</v>
      </c>
      <c r="TBR1" t="s">
        <v>13630</v>
      </c>
      <c r="TBS1" t="s">
        <v>13631</v>
      </c>
      <c r="TBT1" t="s">
        <v>13632</v>
      </c>
      <c r="TBU1" t="s">
        <v>13633</v>
      </c>
      <c r="TBV1" t="s">
        <v>13634</v>
      </c>
      <c r="TBW1" t="s">
        <v>13635</v>
      </c>
      <c r="TBX1" t="s">
        <v>13636</v>
      </c>
      <c r="TBY1" t="s">
        <v>13637</v>
      </c>
      <c r="TBZ1" t="s">
        <v>13638</v>
      </c>
      <c r="TCA1" t="s">
        <v>13639</v>
      </c>
      <c r="TCB1" t="s">
        <v>13640</v>
      </c>
      <c r="TCC1" t="s">
        <v>13641</v>
      </c>
      <c r="TCD1" t="s">
        <v>13642</v>
      </c>
      <c r="TCE1" t="s">
        <v>13643</v>
      </c>
      <c r="TCF1" t="s">
        <v>13644</v>
      </c>
      <c r="TCG1" t="s">
        <v>13645</v>
      </c>
      <c r="TCH1" t="s">
        <v>13646</v>
      </c>
      <c r="TCI1" t="s">
        <v>13647</v>
      </c>
      <c r="TCJ1" t="s">
        <v>13648</v>
      </c>
      <c r="TCK1" t="s">
        <v>13649</v>
      </c>
      <c r="TCL1" t="s">
        <v>13650</v>
      </c>
      <c r="TCM1" t="s">
        <v>13651</v>
      </c>
      <c r="TCN1" t="s">
        <v>13652</v>
      </c>
      <c r="TCO1" t="s">
        <v>13653</v>
      </c>
      <c r="TCP1" t="s">
        <v>13654</v>
      </c>
      <c r="TCQ1" t="s">
        <v>13655</v>
      </c>
      <c r="TCR1" t="s">
        <v>13656</v>
      </c>
      <c r="TCS1" t="s">
        <v>13657</v>
      </c>
      <c r="TCT1" t="s">
        <v>13658</v>
      </c>
      <c r="TCU1" t="s">
        <v>13659</v>
      </c>
      <c r="TCV1" t="s">
        <v>13660</v>
      </c>
      <c r="TCW1" t="s">
        <v>13661</v>
      </c>
      <c r="TCX1" t="s">
        <v>13662</v>
      </c>
      <c r="TCY1" t="s">
        <v>13663</v>
      </c>
      <c r="TCZ1" t="s">
        <v>13664</v>
      </c>
      <c r="TDA1" t="s">
        <v>13665</v>
      </c>
      <c r="TDB1" t="s">
        <v>13666</v>
      </c>
      <c r="TDC1" t="s">
        <v>13667</v>
      </c>
      <c r="TDD1" t="s">
        <v>13668</v>
      </c>
      <c r="TDE1" t="s">
        <v>13669</v>
      </c>
      <c r="TDF1" t="s">
        <v>13670</v>
      </c>
      <c r="TDG1" t="s">
        <v>13671</v>
      </c>
      <c r="TDH1" t="s">
        <v>13672</v>
      </c>
      <c r="TDI1" t="s">
        <v>13673</v>
      </c>
      <c r="TDJ1" t="s">
        <v>13674</v>
      </c>
      <c r="TDK1" t="s">
        <v>13675</v>
      </c>
      <c r="TDL1" t="s">
        <v>13676</v>
      </c>
      <c r="TDM1" t="s">
        <v>13677</v>
      </c>
      <c r="TDN1" t="s">
        <v>13678</v>
      </c>
      <c r="TDO1" t="s">
        <v>13679</v>
      </c>
      <c r="TDP1" t="s">
        <v>13680</v>
      </c>
      <c r="TDQ1" t="s">
        <v>13681</v>
      </c>
      <c r="TDR1" t="s">
        <v>13682</v>
      </c>
      <c r="TDS1" t="s">
        <v>13683</v>
      </c>
      <c r="TDT1" t="s">
        <v>13684</v>
      </c>
      <c r="TDU1" t="s">
        <v>13685</v>
      </c>
      <c r="TDV1" t="s">
        <v>13686</v>
      </c>
      <c r="TDW1" t="s">
        <v>13687</v>
      </c>
      <c r="TDX1" t="s">
        <v>13688</v>
      </c>
      <c r="TDY1" t="s">
        <v>13689</v>
      </c>
      <c r="TDZ1" t="s">
        <v>13690</v>
      </c>
      <c r="TEA1" t="s">
        <v>13691</v>
      </c>
      <c r="TEB1" t="s">
        <v>13692</v>
      </c>
      <c r="TEC1" t="s">
        <v>13693</v>
      </c>
      <c r="TED1" t="s">
        <v>13694</v>
      </c>
      <c r="TEE1" t="s">
        <v>13695</v>
      </c>
      <c r="TEF1" t="s">
        <v>13696</v>
      </c>
      <c r="TEG1" t="s">
        <v>13697</v>
      </c>
      <c r="TEH1" t="s">
        <v>13698</v>
      </c>
      <c r="TEI1" t="s">
        <v>13699</v>
      </c>
      <c r="TEJ1" t="s">
        <v>13700</v>
      </c>
      <c r="TEK1" t="s">
        <v>13701</v>
      </c>
      <c r="TEL1" t="s">
        <v>13702</v>
      </c>
      <c r="TEM1" t="s">
        <v>13703</v>
      </c>
      <c r="TEN1" t="s">
        <v>13704</v>
      </c>
      <c r="TEO1" t="s">
        <v>13705</v>
      </c>
      <c r="TEP1" t="s">
        <v>13706</v>
      </c>
      <c r="TEQ1" t="s">
        <v>13707</v>
      </c>
      <c r="TER1" t="s">
        <v>13708</v>
      </c>
      <c r="TES1" t="s">
        <v>13709</v>
      </c>
      <c r="TET1" t="s">
        <v>13710</v>
      </c>
      <c r="TEU1" t="s">
        <v>13711</v>
      </c>
      <c r="TEV1" t="s">
        <v>13712</v>
      </c>
      <c r="TEW1" t="s">
        <v>13713</v>
      </c>
      <c r="TEX1" t="s">
        <v>13714</v>
      </c>
      <c r="TEY1" t="s">
        <v>13715</v>
      </c>
      <c r="TEZ1" t="s">
        <v>13716</v>
      </c>
      <c r="TFA1" t="s">
        <v>13717</v>
      </c>
      <c r="TFB1" t="s">
        <v>13718</v>
      </c>
      <c r="TFC1" t="s">
        <v>13719</v>
      </c>
      <c r="TFD1" t="s">
        <v>13720</v>
      </c>
      <c r="TFE1" t="s">
        <v>13721</v>
      </c>
      <c r="TFF1" t="s">
        <v>13722</v>
      </c>
      <c r="TFG1" t="s">
        <v>13723</v>
      </c>
      <c r="TFH1" t="s">
        <v>13724</v>
      </c>
      <c r="TFI1" t="s">
        <v>13725</v>
      </c>
      <c r="TFJ1" t="s">
        <v>13726</v>
      </c>
      <c r="TFK1" t="s">
        <v>13727</v>
      </c>
      <c r="TFL1" t="s">
        <v>13728</v>
      </c>
      <c r="TFM1" t="s">
        <v>13729</v>
      </c>
      <c r="TFN1" t="s">
        <v>13730</v>
      </c>
      <c r="TFO1" t="s">
        <v>13731</v>
      </c>
      <c r="TFP1" t="s">
        <v>13732</v>
      </c>
      <c r="TFQ1" t="s">
        <v>13733</v>
      </c>
      <c r="TFR1" t="s">
        <v>13734</v>
      </c>
      <c r="TFS1" t="s">
        <v>13735</v>
      </c>
      <c r="TFT1" t="s">
        <v>13736</v>
      </c>
      <c r="TFU1" t="s">
        <v>13737</v>
      </c>
      <c r="TFV1" t="s">
        <v>13738</v>
      </c>
      <c r="TFW1" t="s">
        <v>13739</v>
      </c>
      <c r="TFX1" t="s">
        <v>13740</v>
      </c>
      <c r="TFY1" t="s">
        <v>13741</v>
      </c>
      <c r="TFZ1" t="s">
        <v>13742</v>
      </c>
      <c r="TGA1" t="s">
        <v>13743</v>
      </c>
      <c r="TGB1" t="s">
        <v>13744</v>
      </c>
      <c r="TGC1" t="s">
        <v>13745</v>
      </c>
      <c r="TGD1" t="s">
        <v>13746</v>
      </c>
      <c r="TGE1" t="s">
        <v>13747</v>
      </c>
      <c r="TGF1" t="s">
        <v>13748</v>
      </c>
      <c r="TGG1" t="s">
        <v>13749</v>
      </c>
      <c r="TGH1" t="s">
        <v>13750</v>
      </c>
      <c r="TGI1" t="s">
        <v>13751</v>
      </c>
      <c r="TGJ1" t="s">
        <v>13752</v>
      </c>
      <c r="TGK1" t="s">
        <v>13753</v>
      </c>
      <c r="TGL1" t="s">
        <v>13754</v>
      </c>
      <c r="TGM1" t="s">
        <v>13755</v>
      </c>
      <c r="TGN1" t="s">
        <v>13756</v>
      </c>
      <c r="TGO1" t="s">
        <v>13757</v>
      </c>
      <c r="TGP1" t="s">
        <v>13758</v>
      </c>
      <c r="TGQ1" t="s">
        <v>13759</v>
      </c>
      <c r="TGR1" t="s">
        <v>13760</v>
      </c>
      <c r="TGS1" t="s">
        <v>13761</v>
      </c>
      <c r="TGT1" t="s">
        <v>13762</v>
      </c>
      <c r="TGU1" t="s">
        <v>13763</v>
      </c>
      <c r="TGV1" t="s">
        <v>13764</v>
      </c>
      <c r="TGW1" t="s">
        <v>13765</v>
      </c>
      <c r="TGX1" t="s">
        <v>13766</v>
      </c>
      <c r="TGY1" t="s">
        <v>13767</v>
      </c>
      <c r="TGZ1" t="s">
        <v>13768</v>
      </c>
      <c r="THA1" t="s">
        <v>13769</v>
      </c>
      <c r="THB1" t="s">
        <v>13770</v>
      </c>
      <c r="THC1" t="s">
        <v>13771</v>
      </c>
      <c r="THD1" t="s">
        <v>13772</v>
      </c>
      <c r="THE1" t="s">
        <v>13773</v>
      </c>
      <c r="THF1" t="s">
        <v>13774</v>
      </c>
      <c r="THG1" t="s">
        <v>13775</v>
      </c>
      <c r="THH1" t="s">
        <v>13776</v>
      </c>
      <c r="THI1" t="s">
        <v>13777</v>
      </c>
      <c r="THJ1" t="s">
        <v>13778</v>
      </c>
      <c r="THK1" t="s">
        <v>13779</v>
      </c>
      <c r="THL1" t="s">
        <v>13780</v>
      </c>
      <c r="THM1" t="s">
        <v>13781</v>
      </c>
      <c r="THN1" t="s">
        <v>13782</v>
      </c>
      <c r="THO1" t="s">
        <v>13783</v>
      </c>
      <c r="THP1" t="s">
        <v>13784</v>
      </c>
      <c r="THQ1" t="s">
        <v>13785</v>
      </c>
      <c r="THR1" t="s">
        <v>13786</v>
      </c>
      <c r="THS1" t="s">
        <v>13787</v>
      </c>
      <c r="THT1" t="s">
        <v>13788</v>
      </c>
      <c r="THU1" t="s">
        <v>13789</v>
      </c>
      <c r="THV1" t="s">
        <v>13790</v>
      </c>
      <c r="THW1" t="s">
        <v>13791</v>
      </c>
      <c r="THX1" t="s">
        <v>13792</v>
      </c>
      <c r="THY1" t="s">
        <v>13793</v>
      </c>
      <c r="THZ1" t="s">
        <v>13794</v>
      </c>
      <c r="TIA1" t="s">
        <v>13795</v>
      </c>
      <c r="TIB1" t="s">
        <v>13796</v>
      </c>
      <c r="TIC1" t="s">
        <v>13797</v>
      </c>
      <c r="TID1" t="s">
        <v>13798</v>
      </c>
      <c r="TIE1" t="s">
        <v>13799</v>
      </c>
      <c r="TIF1" t="s">
        <v>13800</v>
      </c>
      <c r="TIG1" t="s">
        <v>13801</v>
      </c>
      <c r="TIH1" t="s">
        <v>13802</v>
      </c>
      <c r="TII1" t="s">
        <v>13803</v>
      </c>
      <c r="TIJ1" t="s">
        <v>13804</v>
      </c>
      <c r="TIK1" t="s">
        <v>13805</v>
      </c>
      <c r="TIL1" t="s">
        <v>13806</v>
      </c>
      <c r="TIM1" t="s">
        <v>13807</v>
      </c>
      <c r="TIN1" t="s">
        <v>13808</v>
      </c>
      <c r="TIO1" t="s">
        <v>13809</v>
      </c>
      <c r="TIP1" t="s">
        <v>13810</v>
      </c>
      <c r="TIQ1" t="s">
        <v>13811</v>
      </c>
      <c r="TIR1" t="s">
        <v>13812</v>
      </c>
      <c r="TIS1" t="s">
        <v>13813</v>
      </c>
      <c r="TIT1" t="s">
        <v>13814</v>
      </c>
      <c r="TIU1" t="s">
        <v>13815</v>
      </c>
      <c r="TIV1" t="s">
        <v>13816</v>
      </c>
      <c r="TIW1" t="s">
        <v>13817</v>
      </c>
      <c r="TIX1" t="s">
        <v>13818</v>
      </c>
      <c r="TIY1" t="s">
        <v>13819</v>
      </c>
      <c r="TIZ1" t="s">
        <v>13820</v>
      </c>
      <c r="TJA1" t="s">
        <v>13821</v>
      </c>
      <c r="TJB1" t="s">
        <v>13822</v>
      </c>
      <c r="TJC1" t="s">
        <v>13823</v>
      </c>
      <c r="TJD1" t="s">
        <v>13824</v>
      </c>
      <c r="TJE1" t="s">
        <v>13825</v>
      </c>
      <c r="TJF1" t="s">
        <v>13826</v>
      </c>
      <c r="TJG1" t="s">
        <v>13827</v>
      </c>
      <c r="TJH1" t="s">
        <v>13828</v>
      </c>
      <c r="TJI1" t="s">
        <v>13829</v>
      </c>
      <c r="TJJ1" t="s">
        <v>13830</v>
      </c>
      <c r="TJK1" t="s">
        <v>13831</v>
      </c>
      <c r="TJL1" t="s">
        <v>13832</v>
      </c>
      <c r="TJM1" t="s">
        <v>13833</v>
      </c>
      <c r="TJN1" t="s">
        <v>13834</v>
      </c>
      <c r="TJO1" t="s">
        <v>13835</v>
      </c>
      <c r="TJP1" t="s">
        <v>13836</v>
      </c>
      <c r="TJQ1" t="s">
        <v>13837</v>
      </c>
      <c r="TJR1" t="s">
        <v>13838</v>
      </c>
      <c r="TJS1" t="s">
        <v>13839</v>
      </c>
      <c r="TJT1" t="s">
        <v>13840</v>
      </c>
      <c r="TJU1" t="s">
        <v>13841</v>
      </c>
      <c r="TJV1" t="s">
        <v>13842</v>
      </c>
      <c r="TJW1" t="s">
        <v>13843</v>
      </c>
      <c r="TJX1" t="s">
        <v>13844</v>
      </c>
      <c r="TJY1" t="s">
        <v>13845</v>
      </c>
      <c r="TJZ1" t="s">
        <v>13846</v>
      </c>
      <c r="TKA1" t="s">
        <v>13847</v>
      </c>
      <c r="TKB1" t="s">
        <v>13848</v>
      </c>
      <c r="TKC1" t="s">
        <v>13849</v>
      </c>
      <c r="TKD1" t="s">
        <v>13850</v>
      </c>
      <c r="TKE1" t="s">
        <v>13851</v>
      </c>
      <c r="TKF1" t="s">
        <v>13852</v>
      </c>
      <c r="TKG1" t="s">
        <v>13853</v>
      </c>
      <c r="TKH1" t="s">
        <v>13854</v>
      </c>
      <c r="TKI1" t="s">
        <v>13855</v>
      </c>
      <c r="TKJ1" t="s">
        <v>13856</v>
      </c>
      <c r="TKK1" t="s">
        <v>13857</v>
      </c>
      <c r="TKL1" t="s">
        <v>13858</v>
      </c>
      <c r="TKM1" t="s">
        <v>13859</v>
      </c>
      <c r="TKN1" t="s">
        <v>13860</v>
      </c>
      <c r="TKO1" t="s">
        <v>13861</v>
      </c>
      <c r="TKP1" t="s">
        <v>13862</v>
      </c>
      <c r="TKQ1" t="s">
        <v>13863</v>
      </c>
      <c r="TKR1" t="s">
        <v>13864</v>
      </c>
      <c r="TKS1" t="s">
        <v>13865</v>
      </c>
      <c r="TKT1" t="s">
        <v>13866</v>
      </c>
      <c r="TKU1" t="s">
        <v>13867</v>
      </c>
      <c r="TKV1" t="s">
        <v>13868</v>
      </c>
      <c r="TKW1" t="s">
        <v>13869</v>
      </c>
      <c r="TKX1" t="s">
        <v>13870</v>
      </c>
      <c r="TKY1" t="s">
        <v>13871</v>
      </c>
      <c r="TKZ1" t="s">
        <v>13872</v>
      </c>
      <c r="TLA1" t="s">
        <v>13873</v>
      </c>
      <c r="TLB1" t="s">
        <v>13874</v>
      </c>
      <c r="TLC1" t="s">
        <v>13875</v>
      </c>
      <c r="TLD1" t="s">
        <v>13876</v>
      </c>
      <c r="TLE1" t="s">
        <v>13877</v>
      </c>
      <c r="TLF1" t="s">
        <v>13878</v>
      </c>
      <c r="TLG1" t="s">
        <v>13879</v>
      </c>
      <c r="TLH1" t="s">
        <v>13880</v>
      </c>
      <c r="TLI1" t="s">
        <v>13881</v>
      </c>
      <c r="TLJ1" t="s">
        <v>13882</v>
      </c>
      <c r="TLK1" t="s">
        <v>13883</v>
      </c>
      <c r="TLL1" t="s">
        <v>13884</v>
      </c>
      <c r="TLM1" t="s">
        <v>13885</v>
      </c>
      <c r="TLN1" t="s">
        <v>13886</v>
      </c>
      <c r="TLO1" t="s">
        <v>13887</v>
      </c>
      <c r="TLP1" t="s">
        <v>13888</v>
      </c>
      <c r="TLQ1" t="s">
        <v>13889</v>
      </c>
      <c r="TLR1" t="s">
        <v>13890</v>
      </c>
      <c r="TLS1" t="s">
        <v>13891</v>
      </c>
      <c r="TLT1" t="s">
        <v>13892</v>
      </c>
      <c r="TLU1" t="s">
        <v>13893</v>
      </c>
      <c r="TLV1" t="s">
        <v>13894</v>
      </c>
      <c r="TLW1" t="s">
        <v>13895</v>
      </c>
      <c r="TLX1" t="s">
        <v>13896</v>
      </c>
      <c r="TLY1" t="s">
        <v>13897</v>
      </c>
      <c r="TLZ1" t="s">
        <v>13898</v>
      </c>
      <c r="TMA1" t="s">
        <v>13899</v>
      </c>
      <c r="TMB1" t="s">
        <v>13900</v>
      </c>
      <c r="TMC1" t="s">
        <v>13901</v>
      </c>
      <c r="TMD1" t="s">
        <v>13902</v>
      </c>
      <c r="TME1" t="s">
        <v>13903</v>
      </c>
      <c r="TMF1" t="s">
        <v>13904</v>
      </c>
      <c r="TMG1" t="s">
        <v>13905</v>
      </c>
      <c r="TMH1" t="s">
        <v>13906</v>
      </c>
      <c r="TMI1" t="s">
        <v>13907</v>
      </c>
      <c r="TMJ1" t="s">
        <v>13908</v>
      </c>
      <c r="TMK1" t="s">
        <v>13909</v>
      </c>
      <c r="TML1" t="s">
        <v>13910</v>
      </c>
      <c r="TMM1" t="s">
        <v>13911</v>
      </c>
      <c r="TMN1" t="s">
        <v>13912</v>
      </c>
      <c r="TMO1" t="s">
        <v>13913</v>
      </c>
      <c r="TMP1" t="s">
        <v>13914</v>
      </c>
      <c r="TMQ1" t="s">
        <v>13915</v>
      </c>
      <c r="TMR1" t="s">
        <v>13916</v>
      </c>
      <c r="TMS1" t="s">
        <v>13917</v>
      </c>
      <c r="TMT1" t="s">
        <v>13918</v>
      </c>
      <c r="TMU1" t="s">
        <v>13919</v>
      </c>
      <c r="TMV1" t="s">
        <v>13920</v>
      </c>
      <c r="TMW1" t="s">
        <v>13921</v>
      </c>
      <c r="TMX1" t="s">
        <v>13922</v>
      </c>
      <c r="TMY1" t="s">
        <v>13923</v>
      </c>
      <c r="TMZ1" t="s">
        <v>13924</v>
      </c>
      <c r="TNA1" t="s">
        <v>13925</v>
      </c>
      <c r="TNB1" t="s">
        <v>13926</v>
      </c>
      <c r="TNC1" t="s">
        <v>13927</v>
      </c>
      <c r="TND1" t="s">
        <v>13928</v>
      </c>
      <c r="TNE1" t="s">
        <v>13929</v>
      </c>
      <c r="TNF1" t="s">
        <v>13930</v>
      </c>
      <c r="TNG1" t="s">
        <v>13931</v>
      </c>
      <c r="TNH1" t="s">
        <v>13932</v>
      </c>
      <c r="TNI1" t="s">
        <v>13933</v>
      </c>
      <c r="TNJ1" t="s">
        <v>13934</v>
      </c>
      <c r="TNK1" t="s">
        <v>13935</v>
      </c>
      <c r="TNL1" t="s">
        <v>13936</v>
      </c>
      <c r="TNM1" t="s">
        <v>13937</v>
      </c>
      <c r="TNN1" t="s">
        <v>13938</v>
      </c>
      <c r="TNO1" t="s">
        <v>13939</v>
      </c>
      <c r="TNP1" t="s">
        <v>13940</v>
      </c>
      <c r="TNQ1" t="s">
        <v>13941</v>
      </c>
      <c r="TNR1" t="s">
        <v>13942</v>
      </c>
      <c r="TNS1" t="s">
        <v>13943</v>
      </c>
      <c r="TNT1" t="s">
        <v>13944</v>
      </c>
      <c r="TNU1" t="s">
        <v>13945</v>
      </c>
      <c r="TNV1" t="s">
        <v>13946</v>
      </c>
      <c r="TNW1" t="s">
        <v>13947</v>
      </c>
      <c r="TNX1" t="s">
        <v>13948</v>
      </c>
      <c r="TNY1" t="s">
        <v>13949</v>
      </c>
      <c r="TNZ1" t="s">
        <v>13950</v>
      </c>
      <c r="TOA1" t="s">
        <v>13951</v>
      </c>
      <c r="TOB1" t="s">
        <v>13952</v>
      </c>
      <c r="TOC1" t="s">
        <v>13953</v>
      </c>
      <c r="TOD1" t="s">
        <v>13954</v>
      </c>
      <c r="TOE1" t="s">
        <v>13955</v>
      </c>
      <c r="TOF1" t="s">
        <v>13956</v>
      </c>
      <c r="TOG1" t="s">
        <v>13957</v>
      </c>
      <c r="TOH1" t="s">
        <v>13958</v>
      </c>
      <c r="TOI1" t="s">
        <v>13959</v>
      </c>
      <c r="TOJ1" t="s">
        <v>13960</v>
      </c>
      <c r="TOK1" t="s">
        <v>13961</v>
      </c>
      <c r="TOL1" t="s">
        <v>13962</v>
      </c>
      <c r="TOM1" t="s">
        <v>13963</v>
      </c>
      <c r="TON1" t="s">
        <v>13964</v>
      </c>
      <c r="TOO1" t="s">
        <v>13965</v>
      </c>
      <c r="TOP1" t="s">
        <v>13966</v>
      </c>
      <c r="TOQ1" t="s">
        <v>13967</v>
      </c>
      <c r="TOR1" t="s">
        <v>13968</v>
      </c>
      <c r="TOS1" t="s">
        <v>13969</v>
      </c>
      <c r="TOT1" t="s">
        <v>13970</v>
      </c>
      <c r="TOU1" t="s">
        <v>13971</v>
      </c>
      <c r="TOV1" t="s">
        <v>13972</v>
      </c>
      <c r="TOW1" t="s">
        <v>13973</v>
      </c>
      <c r="TOX1" t="s">
        <v>13974</v>
      </c>
      <c r="TOY1" t="s">
        <v>13975</v>
      </c>
      <c r="TOZ1" t="s">
        <v>13976</v>
      </c>
      <c r="TPA1" t="s">
        <v>13977</v>
      </c>
      <c r="TPB1" t="s">
        <v>13978</v>
      </c>
      <c r="TPC1" t="s">
        <v>13979</v>
      </c>
      <c r="TPD1" t="s">
        <v>13980</v>
      </c>
      <c r="TPE1" t="s">
        <v>13981</v>
      </c>
      <c r="TPF1" t="s">
        <v>13982</v>
      </c>
      <c r="TPG1" t="s">
        <v>13983</v>
      </c>
      <c r="TPH1" t="s">
        <v>13984</v>
      </c>
      <c r="TPI1" t="s">
        <v>13985</v>
      </c>
      <c r="TPJ1" t="s">
        <v>13986</v>
      </c>
      <c r="TPK1" t="s">
        <v>13987</v>
      </c>
      <c r="TPL1" t="s">
        <v>13988</v>
      </c>
      <c r="TPM1" t="s">
        <v>13989</v>
      </c>
      <c r="TPN1" t="s">
        <v>13990</v>
      </c>
      <c r="TPO1" t="s">
        <v>13991</v>
      </c>
      <c r="TPP1" t="s">
        <v>13992</v>
      </c>
      <c r="TPQ1" t="s">
        <v>13993</v>
      </c>
      <c r="TPR1" t="s">
        <v>13994</v>
      </c>
      <c r="TPS1" t="s">
        <v>13995</v>
      </c>
      <c r="TPT1" t="s">
        <v>13996</v>
      </c>
      <c r="TPU1" t="s">
        <v>13997</v>
      </c>
      <c r="TPV1" t="s">
        <v>13998</v>
      </c>
      <c r="TPW1" t="s">
        <v>13999</v>
      </c>
      <c r="TPX1" t="s">
        <v>14000</v>
      </c>
      <c r="TPY1" t="s">
        <v>14001</v>
      </c>
      <c r="TPZ1" t="s">
        <v>14002</v>
      </c>
      <c r="TQA1" t="s">
        <v>14003</v>
      </c>
      <c r="TQB1" t="s">
        <v>14004</v>
      </c>
      <c r="TQC1" t="s">
        <v>14005</v>
      </c>
      <c r="TQD1" t="s">
        <v>14006</v>
      </c>
      <c r="TQE1" t="s">
        <v>14007</v>
      </c>
      <c r="TQF1" t="s">
        <v>14008</v>
      </c>
      <c r="TQG1" t="s">
        <v>14009</v>
      </c>
      <c r="TQH1" t="s">
        <v>14010</v>
      </c>
      <c r="TQI1" t="s">
        <v>14011</v>
      </c>
      <c r="TQJ1" t="s">
        <v>14012</v>
      </c>
      <c r="TQK1" t="s">
        <v>14013</v>
      </c>
      <c r="TQL1" t="s">
        <v>14014</v>
      </c>
      <c r="TQM1" t="s">
        <v>14015</v>
      </c>
      <c r="TQN1" t="s">
        <v>14016</v>
      </c>
      <c r="TQO1" t="s">
        <v>14017</v>
      </c>
      <c r="TQP1" t="s">
        <v>14018</v>
      </c>
      <c r="TQQ1" t="s">
        <v>14019</v>
      </c>
      <c r="TQR1" t="s">
        <v>14020</v>
      </c>
      <c r="TQS1" t="s">
        <v>14021</v>
      </c>
      <c r="TQT1" t="s">
        <v>14022</v>
      </c>
      <c r="TQU1" t="s">
        <v>14023</v>
      </c>
      <c r="TQV1" t="s">
        <v>14024</v>
      </c>
      <c r="TQW1" t="s">
        <v>14025</v>
      </c>
      <c r="TQX1" t="s">
        <v>14026</v>
      </c>
      <c r="TQY1" t="s">
        <v>14027</v>
      </c>
      <c r="TQZ1" t="s">
        <v>14028</v>
      </c>
      <c r="TRA1" t="s">
        <v>14029</v>
      </c>
      <c r="TRB1" t="s">
        <v>14030</v>
      </c>
      <c r="TRC1" t="s">
        <v>14031</v>
      </c>
      <c r="TRD1" t="s">
        <v>14032</v>
      </c>
      <c r="TRE1" t="s">
        <v>14033</v>
      </c>
      <c r="TRF1" t="s">
        <v>14034</v>
      </c>
      <c r="TRG1" t="s">
        <v>14035</v>
      </c>
      <c r="TRH1" t="s">
        <v>14036</v>
      </c>
      <c r="TRI1" t="s">
        <v>14037</v>
      </c>
      <c r="TRJ1" t="s">
        <v>14038</v>
      </c>
      <c r="TRK1" t="s">
        <v>14039</v>
      </c>
      <c r="TRL1" t="s">
        <v>14040</v>
      </c>
      <c r="TRM1" t="s">
        <v>14041</v>
      </c>
      <c r="TRN1" t="s">
        <v>14042</v>
      </c>
      <c r="TRO1" t="s">
        <v>14043</v>
      </c>
      <c r="TRP1" t="s">
        <v>14044</v>
      </c>
      <c r="TRQ1" t="s">
        <v>14045</v>
      </c>
      <c r="TRR1" t="s">
        <v>14046</v>
      </c>
      <c r="TRS1" t="s">
        <v>14047</v>
      </c>
      <c r="TRT1" t="s">
        <v>14048</v>
      </c>
      <c r="TRU1" t="s">
        <v>14049</v>
      </c>
      <c r="TRV1" t="s">
        <v>14050</v>
      </c>
      <c r="TRW1" t="s">
        <v>14051</v>
      </c>
      <c r="TRX1" t="s">
        <v>14052</v>
      </c>
      <c r="TRY1" t="s">
        <v>14053</v>
      </c>
      <c r="TRZ1" t="s">
        <v>14054</v>
      </c>
      <c r="TSA1" t="s">
        <v>14055</v>
      </c>
      <c r="TSB1" t="s">
        <v>14056</v>
      </c>
      <c r="TSC1" t="s">
        <v>14057</v>
      </c>
      <c r="TSD1" t="s">
        <v>14058</v>
      </c>
      <c r="TSE1" t="s">
        <v>14059</v>
      </c>
      <c r="TSF1" t="s">
        <v>14060</v>
      </c>
      <c r="TSG1" t="s">
        <v>14061</v>
      </c>
      <c r="TSH1" t="s">
        <v>14062</v>
      </c>
      <c r="TSI1" t="s">
        <v>14063</v>
      </c>
      <c r="TSJ1" t="s">
        <v>14064</v>
      </c>
      <c r="TSK1" t="s">
        <v>14065</v>
      </c>
      <c r="TSL1" t="s">
        <v>14066</v>
      </c>
      <c r="TSM1" t="s">
        <v>14067</v>
      </c>
      <c r="TSN1" t="s">
        <v>14068</v>
      </c>
      <c r="TSO1" t="s">
        <v>14069</v>
      </c>
      <c r="TSP1" t="s">
        <v>14070</v>
      </c>
      <c r="TSQ1" t="s">
        <v>14071</v>
      </c>
      <c r="TSR1" t="s">
        <v>14072</v>
      </c>
      <c r="TSS1" t="s">
        <v>14073</v>
      </c>
      <c r="TST1" t="s">
        <v>14074</v>
      </c>
      <c r="TSU1" t="s">
        <v>14075</v>
      </c>
      <c r="TSV1" t="s">
        <v>14076</v>
      </c>
      <c r="TSW1" t="s">
        <v>14077</v>
      </c>
      <c r="TSX1" t="s">
        <v>14078</v>
      </c>
      <c r="TSY1" t="s">
        <v>14079</v>
      </c>
      <c r="TSZ1" t="s">
        <v>14080</v>
      </c>
      <c r="TTA1" t="s">
        <v>14081</v>
      </c>
      <c r="TTB1" t="s">
        <v>14082</v>
      </c>
      <c r="TTC1" t="s">
        <v>14083</v>
      </c>
      <c r="TTD1" t="s">
        <v>14084</v>
      </c>
      <c r="TTE1" t="s">
        <v>14085</v>
      </c>
      <c r="TTF1" t="s">
        <v>14086</v>
      </c>
      <c r="TTG1" t="s">
        <v>14087</v>
      </c>
      <c r="TTH1" t="s">
        <v>14088</v>
      </c>
      <c r="TTI1" t="s">
        <v>14089</v>
      </c>
      <c r="TTJ1" t="s">
        <v>14090</v>
      </c>
      <c r="TTK1" t="s">
        <v>14091</v>
      </c>
      <c r="TTL1" t="s">
        <v>14092</v>
      </c>
      <c r="TTM1" t="s">
        <v>14093</v>
      </c>
      <c r="TTN1" t="s">
        <v>14094</v>
      </c>
      <c r="TTO1" t="s">
        <v>14095</v>
      </c>
      <c r="TTP1" t="s">
        <v>14096</v>
      </c>
      <c r="TTQ1" t="s">
        <v>14097</v>
      </c>
      <c r="TTR1" t="s">
        <v>14098</v>
      </c>
      <c r="TTS1" t="s">
        <v>14099</v>
      </c>
      <c r="TTT1" t="s">
        <v>14100</v>
      </c>
      <c r="TTU1" t="s">
        <v>14101</v>
      </c>
      <c r="TTV1" t="s">
        <v>14102</v>
      </c>
      <c r="TTW1" t="s">
        <v>14103</v>
      </c>
      <c r="TTX1" t="s">
        <v>14104</v>
      </c>
      <c r="TTY1" t="s">
        <v>14105</v>
      </c>
      <c r="TTZ1" t="s">
        <v>14106</v>
      </c>
      <c r="TUA1" t="s">
        <v>14107</v>
      </c>
      <c r="TUB1" t="s">
        <v>14108</v>
      </c>
      <c r="TUC1" t="s">
        <v>14109</v>
      </c>
      <c r="TUD1" t="s">
        <v>14110</v>
      </c>
      <c r="TUE1" t="s">
        <v>14111</v>
      </c>
      <c r="TUF1" t="s">
        <v>14112</v>
      </c>
      <c r="TUG1" t="s">
        <v>14113</v>
      </c>
      <c r="TUH1" t="s">
        <v>14114</v>
      </c>
      <c r="TUI1" t="s">
        <v>14115</v>
      </c>
      <c r="TUJ1" t="s">
        <v>14116</v>
      </c>
      <c r="TUK1" t="s">
        <v>14117</v>
      </c>
      <c r="TUL1" t="s">
        <v>14118</v>
      </c>
      <c r="TUM1" t="s">
        <v>14119</v>
      </c>
      <c r="TUN1" t="s">
        <v>14120</v>
      </c>
      <c r="TUO1" t="s">
        <v>14121</v>
      </c>
      <c r="TUP1" t="s">
        <v>14122</v>
      </c>
      <c r="TUQ1" t="s">
        <v>14123</v>
      </c>
      <c r="TUR1" t="s">
        <v>14124</v>
      </c>
      <c r="TUS1" t="s">
        <v>14125</v>
      </c>
      <c r="TUT1" t="s">
        <v>14126</v>
      </c>
      <c r="TUU1" t="s">
        <v>14127</v>
      </c>
      <c r="TUV1" t="s">
        <v>14128</v>
      </c>
      <c r="TUW1" t="s">
        <v>14129</v>
      </c>
      <c r="TUX1" t="s">
        <v>14130</v>
      </c>
      <c r="TUY1" t="s">
        <v>14131</v>
      </c>
      <c r="TUZ1" t="s">
        <v>14132</v>
      </c>
      <c r="TVA1" t="s">
        <v>14133</v>
      </c>
      <c r="TVB1" t="s">
        <v>14134</v>
      </c>
      <c r="TVC1" t="s">
        <v>14135</v>
      </c>
      <c r="TVD1" t="s">
        <v>14136</v>
      </c>
      <c r="TVE1" t="s">
        <v>14137</v>
      </c>
      <c r="TVF1" t="s">
        <v>14138</v>
      </c>
      <c r="TVG1" t="s">
        <v>14139</v>
      </c>
      <c r="TVH1" t="s">
        <v>14140</v>
      </c>
      <c r="TVI1" t="s">
        <v>14141</v>
      </c>
      <c r="TVJ1" t="s">
        <v>14142</v>
      </c>
      <c r="TVK1" t="s">
        <v>14143</v>
      </c>
      <c r="TVL1" t="s">
        <v>14144</v>
      </c>
      <c r="TVM1" t="s">
        <v>14145</v>
      </c>
      <c r="TVN1" t="s">
        <v>14146</v>
      </c>
      <c r="TVO1" t="s">
        <v>14147</v>
      </c>
      <c r="TVP1" t="s">
        <v>14148</v>
      </c>
      <c r="TVQ1" t="s">
        <v>14149</v>
      </c>
      <c r="TVR1" t="s">
        <v>14150</v>
      </c>
      <c r="TVS1" t="s">
        <v>14151</v>
      </c>
      <c r="TVT1" t="s">
        <v>14152</v>
      </c>
      <c r="TVU1" t="s">
        <v>14153</v>
      </c>
      <c r="TVV1" t="s">
        <v>14154</v>
      </c>
      <c r="TVW1" t="s">
        <v>14155</v>
      </c>
      <c r="TVX1" t="s">
        <v>14156</v>
      </c>
      <c r="TVY1" t="s">
        <v>14157</v>
      </c>
      <c r="TVZ1" t="s">
        <v>14158</v>
      </c>
      <c r="TWA1" t="s">
        <v>14159</v>
      </c>
      <c r="TWB1" t="s">
        <v>14160</v>
      </c>
      <c r="TWC1" t="s">
        <v>14161</v>
      </c>
      <c r="TWD1" t="s">
        <v>14162</v>
      </c>
      <c r="TWE1" t="s">
        <v>14163</v>
      </c>
      <c r="TWF1" t="s">
        <v>14164</v>
      </c>
      <c r="TWG1" t="s">
        <v>14165</v>
      </c>
      <c r="TWH1" t="s">
        <v>14166</v>
      </c>
      <c r="TWI1" t="s">
        <v>14167</v>
      </c>
      <c r="TWJ1" t="s">
        <v>14168</v>
      </c>
      <c r="TWK1" t="s">
        <v>14169</v>
      </c>
      <c r="TWL1" t="s">
        <v>14170</v>
      </c>
      <c r="TWM1" t="s">
        <v>14171</v>
      </c>
      <c r="TWN1" t="s">
        <v>14172</v>
      </c>
      <c r="TWO1" t="s">
        <v>14173</v>
      </c>
      <c r="TWP1" t="s">
        <v>14174</v>
      </c>
      <c r="TWQ1" t="s">
        <v>14175</v>
      </c>
      <c r="TWR1" t="s">
        <v>14176</v>
      </c>
      <c r="TWS1" t="s">
        <v>14177</v>
      </c>
      <c r="TWT1" t="s">
        <v>14178</v>
      </c>
      <c r="TWU1" t="s">
        <v>14179</v>
      </c>
      <c r="TWV1" t="s">
        <v>14180</v>
      </c>
      <c r="TWW1" t="s">
        <v>14181</v>
      </c>
      <c r="TWX1" t="s">
        <v>14182</v>
      </c>
      <c r="TWY1" t="s">
        <v>14183</v>
      </c>
      <c r="TWZ1" t="s">
        <v>14184</v>
      </c>
      <c r="TXA1" t="s">
        <v>14185</v>
      </c>
      <c r="TXB1" t="s">
        <v>14186</v>
      </c>
      <c r="TXC1" t="s">
        <v>14187</v>
      </c>
      <c r="TXD1" t="s">
        <v>14188</v>
      </c>
      <c r="TXE1" t="s">
        <v>14189</v>
      </c>
      <c r="TXF1" t="s">
        <v>14190</v>
      </c>
      <c r="TXG1" t="s">
        <v>14191</v>
      </c>
      <c r="TXH1" t="s">
        <v>14192</v>
      </c>
      <c r="TXI1" t="s">
        <v>14193</v>
      </c>
      <c r="TXJ1" t="s">
        <v>14194</v>
      </c>
      <c r="TXK1" t="s">
        <v>14195</v>
      </c>
      <c r="TXL1" t="s">
        <v>14196</v>
      </c>
      <c r="TXM1" t="s">
        <v>14197</v>
      </c>
      <c r="TXN1" t="s">
        <v>14198</v>
      </c>
      <c r="TXO1" t="s">
        <v>14199</v>
      </c>
      <c r="TXP1" t="s">
        <v>14200</v>
      </c>
      <c r="TXQ1" t="s">
        <v>14201</v>
      </c>
      <c r="TXR1" t="s">
        <v>14202</v>
      </c>
      <c r="TXS1" t="s">
        <v>14203</v>
      </c>
      <c r="TXT1" t="s">
        <v>14204</v>
      </c>
      <c r="TXU1" t="s">
        <v>14205</v>
      </c>
      <c r="TXV1" t="s">
        <v>14206</v>
      </c>
      <c r="TXW1" t="s">
        <v>14207</v>
      </c>
      <c r="TXX1" t="s">
        <v>14208</v>
      </c>
      <c r="TXY1" t="s">
        <v>14209</v>
      </c>
      <c r="TXZ1" t="s">
        <v>14210</v>
      </c>
      <c r="TYA1" t="s">
        <v>14211</v>
      </c>
      <c r="TYB1" t="s">
        <v>14212</v>
      </c>
      <c r="TYC1" t="s">
        <v>14213</v>
      </c>
      <c r="TYD1" t="s">
        <v>14214</v>
      </c>
      <c r="TYE1" t="s">
        <v>14215</v>
      </c>
      <c r="TYF1" t="s">
        <v>14216</v>
      </c>
      <c r="TYG1" t="s">
        <v>14217</v>
      </c>
      <c r="TYH1" t="s">
        <v>14218</v>
      </c>
      <c r="TYI1" t="s">
        <v>14219</v>
      </c>
      <c r="TYJ1" t="s">
        <v>14220</v>
      </c>
      <c r="TYK1" t="s">
        <v>14221</v>
      </c>
      <c r="TYL1" t="s">
        <v>14222</v>
      </c>
      <c r="TYM1" t="s">
        <v>14223</v>
      </c>
      <c r="TYN1" t="s">
        <v>14224</v>
      </c>
      <c r="TYO1" t="s">
        <v>14225</v>
      </c>
      <c r="TYP1" t="s">
        <v>14226</v>
      </c>
      <c r="TYQ1" t="s">
        <v>14227</v>
      </c>
      <c r="TYR1" t="s">
        <v>14228</v>
      </c>
      <c r="TYS1" t="s">
        <v>14229</v>
      </c>
      <c r="TYT1" t="s">
        <v>14230</v>
      </c>
      <c r="TYU1" t="s">
        <v>14231</v>
      </c>
      <c r="TYV1" t="s">
        <v>14232</v>
      </c>
      <c r="TYW1" t="s">
        <v>14233</v>
      </c>
      <c r="TYX1" t="s">
        <v>14234</v>
      </c>
      <c r="TYY1" t="s">
        <v>14235</v>
      </c>
      <c r="TYZ1" t="s">
        <v>14236</v>
      </c>
      <c r="TZA1" t="s">
        <v>14237</v>
      </c>
      <c r="TZB1" t="s">
        <v>14238</v>
      </c>
      <c r="TZC1" t="s">
        <v>14239</v>
      </c>
      <c r="TZD1" t="s">
        <v>14240</v>
      </c>
      <c r="TZE1" t="s">
        <v>14241</v>
      </c>
      <c r="TZF1" t="s">
        <v>14242</v>
      </c>
      <c r="TZG1" t="s">
        <v>14243</v>
      </c>
      <c r="TZH1" t="s">
        <v>14244</v>
      </c>
      <c r="TZI1" t="s">
        <v>14245</v>
      </c>
      <c r="TZJ1" t="s">
        <v>14246</v>
      </c>
      <c r="TZK1" t="s">
        <v>14247</v>
      </c>
      <c r="TZL1" t="s">
        <v>14248</v>
      </c>
      <c r="TZM1" t="s">
        <v>14249</v>
      </c>
      <c r="TZN1" t="s">
        <v>14250</v>
      </c>
      <c r="TZO1" t="s">
        <v>14251</v>
      </c>
      <c r="TZP1" t="s">
        <v>14252</v>
      </c>
      <c r="TZQ1" t="s">
        <v>14253</v>
      </c>
      <c r="TZR1" t="s">
        <v>14254</v>
      </c>
      <c r="TZS1" t="s">
        <v>14255</v>
      </c>
      <c r="TZT1" t="s">
        <v>14256</v>
      </c>
      <c r="TZU1" t="s">
        <v>14257</v>
      </c>
      <c r="TZV1" t="s">
        <v>14258</v>
      </c>
      <c r="TZW1" t="s">
        <v>14259</v>
      </c>
      <c r="TZX1" t="s">
        <v>14260</v>
      </c>
      <c r="TZY1" t="s">
        <v>14261</v>
      </c>
      <c r="TZZ1" t="s">
        <v>14262</v>
      </c>
      <c r="UAA1" t="s">
        <v>14263</v>
      </c>
      <c r="UAB1" t="s">
        <v>14264</v>
      </c>
      <c r="UAC1" t="s">
        <v>14265</v>
      </c>
      <c r="UAD1" t="s">
        <v>14266</v>
      </c>
      <c r="UAE1" t="s">
        <v>14267</v>
      </c>
      <c r="UAF1" t="s">
        <v>14268</v>
      </c>
      <c r="UAG1" t="s">
        <v>14269</v>
      </c>
      <c r="UAH1" t="s">
        <v>14270</v>
      </c>
      <c r="UAI1" t="s">
        <v>14271</v>
      </c>
      <c r="UAJ1" t="s">
        <v>14272</v>
      </c>
      <c r="UAK1" t="s">
        <v>14273</v>
      </c>
      <c r="UAL1" t="s">
        <v>14274</v>
      </c>
      <c r="UAM1" t="s">
        <v>14275</v>
      </c>
      <c r="UAN1" t="s">
        <v>14276</v>
      </c>
      <c r="UAO1" t="s">
        <v>14277</v>
      </c>
      <c r="UAP1" t="s">
        <v>14278</v>
      </c>
      <c r="UAQ1" t="s">
        <v>14279</v>
      </c>
      <c r="UAR1" t="s">
        <v>14280</v>
      </c>
      <c r="UAS1" t="s">
        <v>14281</v>
      </c>
      <c r="UAT1" t="s">
        <v>14282</v>
      </c>
      <c r="UAU1" t="s">
        <v>14283</v>
      </c>
      <c r="UAV1" t="s">
        <v>14284</v>
      </c>
      <c r="UAW1" t="s">
        <v>14285</v>
      </c>
      <c r="UAX1" t="s">
        <v>14286</v>
      </c>
      <c r="UAY1" t="s">
        <v>14287</v>
      </c>
      <c r="UAZ1" t="s">
        <v>14288</v>
      </c>
      <c r="UBA1" t="s">
        <v>14289</v>
      </c>
      <c r="UBB1" t="s">
        <v>14290</v>
      </c>
      <c r="UBC1" t="s">
        <v>14291</v>
      </c>
      <c r="UBD1" t="s">
        <v>14292</v>
      </c>
      <c r="UBE1" t="s">
        <v>14293</v>
      </c>
      <c r="UBF1" t="s">
        <v>14294</v>
      </c>
      <c r="UBG1" t="s">
        <v>14295</v>
      </c>
      <c r="UBH1" t="s">
        <v>14296</v>
      </c>
      <c r="UBI1" t="s">
        <v>14297</v>
      </c>
      <c r="UBJ1" t="s">
        <v>14298</v>
      </c>
      <c r="UBK1" t="s">
        <v>14299</v>
      </c>
      <c r="UBL1" t="s">
        <v>14300</v>
      </c>
      <c r="UBM1" t="s">
        <v>14301</v>
      </c>
      <c r="UBN1" t="s">
        <v>14302</v>
      </c>
      <c r="UBO1" t="s">
        <v>14303</v>
      </c>
      <c r="UBP1" t="s">
        <v>14304</v>
      </c>
      <c r="UBQ1" t="s">
        <v>14305</v>
      </c>
      <c r="UBR1" t="s">
        <v>14306</v>
      </c>
      <c r="UBS1" t="s">
        <v>14307</v>
      </c>
      <c r="UBT1" t="s">
        <v>14308</v>
      </c>
      <c r="UBU1" t="s">
        <v>14309</v>
      </c>
      <c r="UBV1" t="s">
        <v>14310</v>
      </c>
      <c r="UBW1" t="s">
        <v>14311</v>
      </c>
      <c r="UBX1" t="s">
        <v>14312</v>
      </c>
      <c r="UBY1" t="s">
        <v>14313</v>
      </c>
      <c r="UBZ1" t="s">
        <v>14314</v>
      </c>
      <c r="UCA1" t="s">
        <v>14315</v>
      </c>
      <c r="UCB1" t="s">
        <v>14316</v>
      </c>
      <c r="UCC1" t="s">
        <v>14317</v>
      </c>
      <c r="UCD1" t="s">
        <v>14318</v>
      </c>
      <c r="UCE1" t="s">
        <v>14319</v>
      </c>
      <c r="UCF1" t="s">
        <v>14320</v>
      </c>
      <c r="UCG1" t="s">
        <v>14321</v>
      </c>
      <c r="UCH1" t="s">
        <v>14322</v>
      </c>
      <c r="UCI1" t="s">
        <v>14323</v>
      </c>
      <c r="UCJ1" t="s">
        <v>14324</v>
      </c>
      <c r="UCK1" t="s">
        <v>14325</v>
      </c>
      <c r="UCL1" t="s">
        <v>14326</v>
      </c>
      <c r="UCM1" t="s">
        <v>14327</v>
      </c>
      <c r="UCN1" t="s">
        <v>14328</v>
      </c>
      <c r="UCO1" t="s">
        <v>14329</v>
      </c>
      <c r="UCP1" t="s">
        <v>14330</v>
      </c>
      <c r="UCQ1" t="s">
        <v>14331</v>
      </c>
      <c r="UCR1" t="s">
        <v>14332</v>
      </c>
      <c r="UCS1" t="s">
        <v>14333</v>
      </c>
      <c r="UCT1" t="s">
        <v>14334</v>
      </c>
      <c r="UCU1" t="s">
        <v>14335</v>
      </c>
      <c r="UCV1" t="s">
        <v>14336</v>
      </c>
      <c r="UCW1" t="s">
        <v>14337</v>
      </c>
      <c r="UCX1" t="s">
        <v>14338</v>
      </c>
      <c r="UCY1" t="s">
        <v>14339</v>
      </c>
      <c r="UCZ1" t="s">
        <v>14340</v>
      </c>
      <c r="UDA1" t="s">
        <v>14341</v>
      </c>
      <c r="UDB1" t="s">
        <v>14342</v>
      </c>
      <c r="UDC1" t="s">
        <v>14343</v>
      </c>
      <c r="UDD1" t="s">
        <v>14344</v>
      </c>
      <c r="UDE1" t="s">
        <v>14345</v>
      </c>
      <c r="UDF1" t="s">
        <v>14346</v>
      </c>
      <c r="UDG1" t="s">
        <v>14347</v>
      </c>
      <c r="UDH1" t="s">
        <v>14348</v>
      </c>
      <c r="UDI1" t="s">
        <v>14349</v>
      </c>
      <c r="UDJ1" t="s">
        <v>14350</v>
      </c>
      <c r="UDK1" t="s">
        <v>14351</v>
      </c>
      <c r="UDL1" t="s">
        <v>14352</v>
      </c>
      <c r="UDM1" t="s">
        <v>14353</v>
      </c>
      <c r="UDN1" t="s">
        <v>14354</v>
      </c>
      <c r="UDO1" t="s">
        <v>14355</v>
      </c>
      <c r="UDP1" t="s">
        <v>14356</v>
      </c>
      <c r="UDQ1" t="s">
        <v>14357</v>
      </c>
      <c r="UDR1" t="s">
        <v>14358</v>
      </c>
      <c r="UDS1" t="s">
        <v>14359</v>
      </c>
      <c r="UDT1" t="s">
        <v>14360</v>
      </c>
      <c r="UDU1" t="s">
        <v>14361</v>
      </c>
      <c r="UDV1" t="s">
        <v>14362</v>
      </c>
      <c r="UDW1" t="s">
        <v>14363</v>
      </c>
      <c r="UDX1" t="s">
        <v>14364</v>
      </c>
      <c r="UDY1" t="s">
        <v>14365</v>
      </c>
      <c r="UDZ1" t="s">
        <v>14366</v>
      </c>
      <c r="UEA1" t="s">
        <v>14367</v>
      </c>
      <c r="UEB1" t="s">
        <v>14368</v>
      </c>
      <c r="UEC1" t="s">
        <v>14369</v>
      </c>
      <c r="UED1" t="s">
        <v>14370</v>
      </c>
      <c r="UEE1" t="s">
        <v>14371</v>
      </c>
      <c r="UEF1" t="s">
        <v>14372</v>
      </c>
      <c r="UEG1" t="s">
        <v>14373</v>
      </c>
      <c r="UEH1" t="s">
        <v>14374</v>
      </c>
      <c r="UEI1" t="s">
        <v>14375</v>
      </c>
      <c r="UEJ1" t="s">
        <v>14376</v>
      </c>
      <c r="UEK1" t="s">
        <v>14377</v>
      </c>
      <c r="UEL1" t="s">
        <v>14378</v>
      </c>
      <c r="UEM1" t="s">
        <v>14379</v>
      </c>
      <c r="UEN1" t="s">
        <v>14380</v>
      </c>
      <c r="UEO1" t="s">
        <v>14381</v>
      </c>
      <c r="UEP1" t="s">
        <v>14382</v>
      </c>
      <c r="UEQ1" t="s">
        <v>14383</v>
      </c>
      <c r="UER1" t="s">
        <v>14384</v>
      </c>
      <c r="UES1" t="s">
        <v>14385</v>
      </c>
      <c r="UET1" t="s">
        <v>14386</v>
      </c>
      <c r="UEU1" t="s">
        <v>14387</v>
      </c>
      <c r="UEV1" t="s">
        <v>14388</v>
      </c>
      <c r="UEW1" t="s">
        <v>14389</v>
      </c>
      <c r="UEX1" t="s">
        <v>14390</v>
      </c>
      <c r="UEY1" t="s">
        <v>14391</v>
      </c>
      <c r="UEZ1" t="s">
        <v>14392</v>
      </c>
      <c r="UFA1" t="s">
        <v>14393</v>
      </c>
      <c r="UFB1" t="s">
        <v>14394</v>
      </c>
      <c r="UFC1" t="s">
        <v>14395</v>
      </c>
      <c r="UFD1" t="s">
        <v>14396</v>
      </c>
      <c r="UFE1" t="s">
        <v>14397</v>
      </c>
      <c r="UFF1" t="s">
        <v>14398</v>
      </c>
      <c r="UFG1" t="s">
        <v>14399</v>
      </c>
      <c r="UFH1" t="s">
        <v>14400</v>
      </c>
      <c r="UFI1" t="s">
        <v>14401</v>
      </c>
      <c r="UFJ1" t="s">
        <v>14402</v>
      </c>
      <c r="UFK1" t="s">
        <v>14403</v>
      </c>
      <c r="UFL1" t="s">
        <v>14404</v>
      </c>
      <c r="UFM1" t="s">
        <v>14405</v>
      </c>
      <c r="UFN1" t="s">
        <v>14406</v>
      </c>
      <c r="UFO1" t="s">
        <v>14407</v>
      </c>
      <c r="UFP1" t="s">
        <v>14408</v>
      </c>
      <c r="UFQ1" t="s">
        <v>14409</v>
      </c>
      <c r="UFR1" t="s">
        <v>14410</v>
      </c>
      <c r="UFS1" t="s">
        <v>14411</v>
      </c>
      <c r="UFT1" t="s">
        <v>14412</v>
      </c>
      <c r="UFU1" t="s">
        <v>14413</v>
      </c>
      <c r="UFV1" t="s">
        <v>14414</v>
      </c>
      <c r="UFW1" t="s">
        <v>14415</v>
      </c>
      <c r="UFX1" t="s">
        <v>14416</v>
      </c>
      <c r="UFY1" t="s">
        <v>14417</v>
      </c>
      <c r="UFZ1" t="s">
        <v>14418</v>
      </c>
      <c r="UGA1" t="s">
        <v>14419</v>
      </c>
      <c r="UGB1" t="s">
        <v>14420</v>
      </c>
      <c r="UGC1" t="s">
        <v>14421</v>
      </c>
      <c r="UGD1" t="s">
        <v>14422</v>
      </c>
      <c r="UGE1" t="s">
        <v>14423</v>
      </c>
      <c r="UGF1" t="s">
        <v>14424</v>
      </c>
      <c r="UGG1" t="s">
        <v>14425</v>
      </c>
      <c r="UGH1" t="s">
        <v>14426</v>
      </c>
      <c r="UGI1" t="s">
        <v>14427</v>
      </c>
      <c r="UGJ1" t="s">
        <v>14428</v>
      </c>
      <c r="UGK1" t="s">
        <v>14429</v>
      </c>
      <c r="UGL1" t="s">
        <v>14430</v>
      </c>
      <c r="UGM1" t="s">
        <v>14431</v>
      </c>
      <c r="UGN1" t="s">
        <v>14432</v>
      </c>
      <c r="UGO1" t="s">
        <v>14433</v>
      </c>
      <c r="UGP1" t="s">
        <v>14434</v>
      </c>
      <c r="UGQ1" t="s">
        <v>14435</v>
      </c>
      <c r="UGR1" t="s">
        <v>14436</v>
      </c>
      <c r="UGS1" t="s">
        <v>14437</v>
      </c>
      <c r="UGT1" t="s">
        <v>14438</v>
      </c>
      <c r="UGU1" t="s">
        <v>14439</v>
      </c>
      <c r="UGV1" t="s">
        <v>14440</v>
      </c>
      <c r="UGW1" t="s">
        <v>14441</v>
      </c>
      <c r="UGX1" t="s">
        <v>14442</v>
      </c>
      <c r="UGY1" t="s">
        <v>14443</v>
      </c>
      <c r="UGZ1" t="s">
        <v>14444</v>
      </c>
      <c r="UHA1" t="s">
        <v>14445</v>
      </c>
      <c r="UHB1" t="s">
        <v>14446</v>
      </c>
      <c r="UHC1" t="s">
        <v>14447</v>
      </c>
      <c r="UHD1" t="s">
        <v>14448</v>
      </c>
      <c r="UHE1" t="s">
        <v>14449</v>
      </c>
      <c r="UHF1" t="s">
        <v>14450</v>
      </c>
      <c r="UHG1" t="s">
        <v>14451</v>
      </c>
      <c r="UHH1" t="s">
        <v>14452</v>
      </c>
      <c r="UHI1" t="s">
        <v>14453</v>
      </c>
      <c r="UHJ1" t="s">
        <v>14454</v>
      </c>
      <c r="UHK1" t="s">
        <v>14455</v>
      </c>
      <c r="UHL1" t="s">
        <v>14456</v>
      </c>
      <c r="UHM1" t="s">
        <v>14457</v>
      </c>
      <c r="UHN1" t="s">
        <v>14458</v>
      </c>
      <c r="UHO1" t="s">
        <v>14459</v>
      </c>
      <c r="UHP1" t="s">
        <v>14460</v>
      </c>
      <c r="UHQ1" t="s">
        <v>14461</v>
      </c>
      <c r="UHR1" t="s">
        <v>14462</v>
      </c>
      <c r="UHS1" t="s">
        <v>14463</v>
      </c>
      <c r="UHT1" t="s">
        <v>14464</v>
      </c>
      <c r="UHU1" t="s">
        <v>14465</v>
      </c>
      <c r="UHV1" t="s">
        <v>14466</v>
      </c>
      <c r="UHW1" t="s">
        <v>14467</v>
      </c>
      <c r="UHX1" t="s">
        <v>14468</v>
      </c>
      <c r="UHY1" t="s">
        <v>14469</v>
      </c>
      <c r="UHZ1" t="s">
        <v>14470</v>
      </c>
      <c r="UIA1" t="s">
        <v>14471</v>
      </c>
      <c r="UIB1" t="s">
        <v>14472</v>
      </c>
      <c r="UIC1" t="s">
        <v>14473</v>
      </c>
      <c r="UID1" t="s">
        <v>14474</v>
      </c>
      <c r="UIE1" t="s">
        <v>14475</v>
      </c>
      <c r="UIF1" t="s">
        <v>14476</v>
      </c>
      <c r="UIG1" t="s">
        <v>14477</v>
      </c>
      <c r="UIH1" t="s">
        <v>14478</v>
      </c>
      <c r="UII1" t="s">
        <v>14479</v>
      </c>
      <c r="UIJ1" t="s">
        <v>14480</v>
      </c>
      <c r="UIK1" t="s">
        <v>14481</v>
      </c>
      <c r="UIL1" t="s">
        <v>14482</v>
      </c>
      <c r="UIM1" t="s">
        <v>14483</v>
      </c>
      <c r="UIN1" t="s">
        <v>14484</v>
      </c>
      <c r="UIO1" t="s">
        <v>14485</v>
      </c>
      <c r="UIP1" t="s">
        <v>14486</v>
      </c>
      <c r="UIQ1" t="s">
        <v>14487</v>
      </c>
      <c r="UIR1" t="s">
        <v>14488</v>
      </c>
      <c r="UIS1" t="s">
        <v>14489</v>
      </c>
      <c r="UIT1" t="s">
        <v>14490</v>
      </c>
      <c r="UIU1" t="s">
        <v>14491</v>
      </c>
      <c r="UIV1" t="s">
        <v>14492</v>
      </c>
      <c r="UIW1" t="s">
        <v>14493</v>
      </c>
      <c r="UIX1" t="s">
        <v>14494</v>
      </c>
      <c r="UIY1" t="s">
        <v>14495</v>
      </c>
      <c r="UIZ1" t="s">
        <v>14496</v>
      </c>
      <c r="UJA1" t="s">
        <v>14497</v>
      </c>
      <c r="UJB1" t="s">
        <v>14498</v>
      </c>
      <c r="UJC1" t="s">
        <v>14499</v>
      </c>
      <c r="UJD1" t="s">
        <v>14500</v>
      </c>
      <c r="UJE1" t="s">
        <v>14501</v>
      </c>
      <c r="UJF1" t="s">
        <v>14502</v>
      </c>
      <c r="UJG1" t="s">
        <v>14503</v>
      </c>
      <c r="UJH1" t="s">
        <v>14504</v>
      </c>
      <c r="UJI1" t="s">
        <v>14505</v>
      </c>
      <c r="UJJ1" t="s">
        <v>14506</v>
      </c>
      <c r="UJK1" t="s">
        <v>14507</v>
      </c>
      <c r="UJL1" t="s">
        <v>14508</v>
      </c>
      <c r="UJM1" t="s">
        <v>14509</v>
      </c>
      <c r="UJN1" t="s">
        <v>14510</v>
      </c>
      <c r="UJO1" t="s">
        <v>14511</v>
      </c>
      <c r="UJP1" t="s">
        <v>14512</v>
      </c>
      <c r="UJQ1" t="s">
        <v>14513</v>
      </c>
      <c r="UJR1" t="s">
        <v>14514</v>
      </c>
      <c r="UJS1" t="s">
        <v>14515</v>
      </c>
      <c r="UJT1" t="s">
        <v>14516</v>
      </c>
      <c r="UJU1" t="s">
        <v>14517</v>
      </c>
      <c r="UJV1" t="s">
        <v>14518</v>
      </c>
      <c r="UJW1" t="s">
        <v>14519</v>
      </c>
      <c r="UJX1" t="s">
        <v>14520</v>
      </c>
      <c r="UJY1" t="s">
        <v>14521</v>
      </c>
      <c r="UJZ1" t="s">
        <v>14522</v>
      </c>
      <c r="UKA1" t="s">
        <v>14523</v>
      </c>
      <c r="UKB1" t="s">
        <v>14524</v>
      </c>
      <c r="UKC1" t="s">
        <v>14525</v>
      </c>
      <c r="UKD1" t="s">
        <v>14526</v>
      </c>
      <c r="UKE1" t="s">
        <v>14527</v>
      </c>
      <c r="UKF1" t="s">
        <v>14528</v>
      </c>
      <c r="UKG1" t="s">
        <v>14529</v>
      </c>
      <c r="UKH1" t="s">
        <v>14530</v>
      </c>
      <c r="UKI1" t="s">
        <v>14531</v>
      </c>
      <c r="UKJ1" t="s">
        <v>14532</v>
      </c>
      <c r="UKK1" t="s">
        <v>14533</v>
      </c>
      <c r="UKL1" t="s">
        <v>14534</v>
      </c>
      <c r="UKM1" t="s">
        <v>14535</v>
      </c>
      <c r="UKN1" t="s">
        <v>14536</v>
      </c>
      <c r="UKO1" t="s">
        <v>14537</v>
      </c>
      <c r="UKP1" t="s">
        <v>14538</v>
      </c>
      <c r="UKQ1" t="s">
        <v>14539</v>
      </c>
      <c r="UKR1" t="s">
        <v>14540</v>
      </c>
      <c r="UKS1" t="s">
        <v>14541</v>
      </c>
      <c r="UKT1" t="s">
        <v>14542</v>
      </c>
      <c r="UKU1" t="s">
        <v>14543</v>
      </c>
      <c r="UKV1" t="s">
        <v>14544</v>
      </c>
      <c r="UKW1" t="s">
        <v>14545</v>
      </c>
      <c r="UKX1" t="s">
        <v>14546</v>
      </c>
      <c r="UKY1" t="s">
        <v>14547</v>
      </c>
      <c r="UKZ1" t="s">
        <v>14548</v>
      </c>
      <c r="ULA1" t="s">
        <v>14549</v>
      </c>
      <c r="ULB1" t="s">
        <v>14550</v>
      </c>
      <c r="ULC1" t="s">
        <v>14551</v>
      </c>
      <c r="ULD1" t="s">
        <v>14552</v>
      </c>
      <c r="ULE1" t="s">
        <v>14553</v>
      </c>
      <c r="ULF1" t="s">
        <v>14554</v>
      </c>
      <c r="ULG1" t="s">
        <v>14555</v>
      </c>
      <c r="ULH1" t="s">
        <v>14556</v>
      </c>
      <c r="ULI1" t="s">
        <v>14557</v>
      </c>
      <c r="ULJ1" t="s">
        <v>14558</v>
      </c>
      <c r="ULK1" t="s">
        <v>14559</v>
      </c>
      <c r="ULL1" t="s">
        <v>14560</v>
      </c>
      <c r="ULM1" t="s">
        <v>14561</v>
      </c>
      <c r="ULN1" t="s">
        <v>14562</v>
      </c>
      <c r="ULO1" t="s">
        <v>14563</v>
      </c>
      <c r="ULP1" t="s">
        <v>14564</v>
      </c>
      <c r="ULQ1" t="s">
        <v>14565</v>
      </c>
      <c r="ULR1" t="s">
        <v>14566</v>
      </c>
      <c r="ULS1" t="s">
        <v>14567</v>
      </c>
      <c r="ULT1" t="s">
        <v>14568</v>
      </c>
      <c r="ULU1" t="s">
        <v>14569</v>
      </c>
      <c r="ULV1" t="s">
        <v>14570</v>
      </c>
      <c r="ULW1" t="s">
        <v>14571</v>
      </c>
      <c r="ULX1" t="s">
        <v>14572</v>
      </c>
      <c r="ULY1" t="s">
        <v>14573</v>
      </c>
      <c r="ULZ1" t="s">
        <v>14574</v>
      </c>
      <c r="UMA1" t="s">
        <v>14575</v>
      </c>
      <c r="UMB1" t="s">
        <v>14576</v>
      </c>
      <c r="UMC1" t="s">
        <v>14577</v>
      </c>
      <c r="UMD1" t="s">
        <v>14578</v>
      </c>
      <c r="UME1" t="s">
        <v>14579</v>
      </c>
      <c r="UMF1" t="s">
        <v>14580</v>
      </c>
      <c r="UMG1" t="s">
        <v>14581</v>
      </c>
      <c r="UMH1" t="s">
        <v>14582</v>
      </c>
      <c r="UMI1" t="s">
        <v>14583</v>
      </c>
      <c r="UMJ1" t="s">
        <v>14584</v>
      </c>
      <c r="UMK1" t="s">
        <v>14585</v>
      </c>
      <c r="UML1" t="s">
        <v>14586</v>
      </c>
      <c r="UMM1" t="s">
        <v>14587</v>
      </c>
      <c r="UMN1" t="s">
        <v>14588</v>
      </c>
      <c r="UMO1" t="s">
        <v>14589</v>
      </c>
      <c r="UMP1" t="s">
        <v>14590</v>
      </c>
      <c r="UMQ1" t="s">
        <v>14591</v>
      </c>
      <c r="UMR1" t="s">
        <v>14592</v>
      </c>
      <c r="UMS1" t="s">
        <v>14593</v>
      </c>
      <c r="UMT1" t="s">
        <v>14594</v>
      </c>
      <c r="UMU1" t="s">
        <v>14595</v>
      </c>
      <c r="UMV1" t="s">
        <v>14596</v>
      </c>
      <c r="UMW1" t="s">
        <v>14597</v>
      </c>
      <c r="UMX1" t="s">
        <v>14598</v>
      </c>
      <c r="UMY1" t="s">
        <v>14599</v>
      </c>
      <c r="UMZ1" t="s">
        <v>14600</v>
      </c>
      <c r="UNA1" t="s">
        <v>14601</v>
      </c>
      <c r="UNB1" t="s">
        <v>14602</v>
      </c>
      <c r="UNC1" t="s">
        <v>14603</v>
      </c>
      <c r="UND1" t="s">
        <v>14604</v>
      </c>
      <c r="UNE1" t="s">
        <v>14605</v>
      </c>
      <c r="UNF1" t="s">
        <v>14606</v>
      </c>
      <c r="UNG1" t="s">
        <v>14607</v>
      </c>
      <c r="UNH1" t="s">
        <v>14608</v>
      </c>
      <c r="UNI1" t="s">
        <v>14609</v>
      </c>
      <c r="UNJ1" t="s">
        <v>14610</v>
      </c>
      <c r="UNK1" t="s">
        <v>14611</v>
      </c>
      <c r="UNL1" t="s">
        <v>14612</v>
      </c>
      <c r="UNM1" t="s">
        <v>14613</v>
      </c>
      <c r="UNN1" t="s">
        <v>14614</v>
      </c>
      <c r="UNO1" t="s">
        <v>14615</v>
      </c>
      <c r="UNP1" t="s">
        <v>14616</v>
      </c>
      <c r="UNQ1" t="s">
        <v>14617</v>
      </c>
      <c r="UNR1" t="s">
        <v>14618</v>
      </c>
      <c r="UNS1" t="s">
        <v>14619</v>
      </c>
      <c r="UNT1" t="s">
        <v>14620</v>
      </c>
      <c r="UNU1" t="s">
        <v>14621</v>
      </c>
      <c r="UNV1" t="s">
        <v>14622</v>
      </c>
      <c r="UNW1" t="s">
        <v>14623</v>
      </c>
      <c r="UNX1" t="s">
        <v>14624</v>
      </c>
      <c r="UNY1" t="s">
        <v>14625</v>
      </c>
      <c r="UNZ1" t="s">
        <v>14626</v>
      </c>
      <c r="UOA1" t="s">
        <v>14627</v>
      </c>
      <c r="UOB1" t="s">
        <v>14628</v>
      </c>
      <c r="UOC1" t="s">
        <v>14629</v>
      </c>
      <c r="UOD1" t="s">
        <v>14630</v>
      </c>
      <c r="UOE1" t="s">
        <v>14631</v>
      </c>
      <c r="UOF1" t="s">
        <v>14632</v>
      </c>
      <c r="UOG1" t="s">
        <v>14633</v>
      </c>
      <c r="UOH1" t="s">
        <v>14634</v>
      </c>
      <c r="UOI1" t="s">
        <v>14635</v>
      </c>
      <c r="UOJ1" t="s">
        <v>14636</v>
      </c>
      <c r="UOK1" t="s">
        <v>14637</v>
      </c>
      <c r="UOL1" t="s">
        <v>14638</v>
      </c>
      <c r="UOM1" t="s">
        <v>14639</v>
      </c>
      <c r="UON1" t="s">
        <v>14640</v>
      </c>
      <c r="UOO1" t="s">
        <v>14641</v>
      </c>
      <c r="UOP1" t="s">
        <v>14642</v>
      </c>
      <c r="UOQ1" t="s">
        <v>14643</v>
      </c>
      <c r="UOR1" t="s">
        <v>14644</v>
      </c>
      <c r="UOS1" t="s">
        <v>14645</v>
      </c>
      <c r="UOT1" t="s">
        <v>14646</v>
      </c>
      <c r="UOU1" t="s">
        <v>14647</v>
      </c>
      <c r="UOV1" t="s">
        <v>14648</v>
      </c>
      <c r="UOW1" t="s">
        <v>14649</v>
      </c>
      <c r="UOX1" t="s">
        <v>14650</v>
      </c>
      <c r="UOY1" t="s">
        <v>14651</v>
      </c>
      <c r="UOZ1" t="s">
        <v>14652</v>
      </c>
      <c r="UPA1" t="s">
        <v>14653</v>
      </c>
      <c r="UPB1" t="s">
        <v>14654</v>
      </c>
      <c r="UPC1" t="s">
        <v>14655</v>
      </c>
      <c r="UPD1" t="s">
        <v>14656</v>
      </c>
      <c r="UPE1" t="s">
        <v>14657</v>
      </c>
      <c r="UPF1" t="s">
        <v>14658</v>
      </c>
      <c r="UPG1" t="s">
        <v>14659</v>
      </c>
      <c r="UPH1" t="s">
        <v>14660</v>
      </c>
      <c r="UPI1" t="s">
        <v>14661</v>
      </c>
      <c r="UPJ1" t="s">
        <v>14662</v>
      </c>
      <c r="UPK1" t="s">
        <v>14663</v>
      </c>
      <c r="UPL1" t="s">
        <v>14664</v>
      </c>
      <c r="UPM1" t="s">
        <v>14665</v>
      </c>
      <c r="UPN1" t="s">
        <v>14666</v>
      </c>
      <c r="UPO1" t="s">
        <v>14667</v>
      </c>
      <c r="UPP1" t="s">
        <v>14668</v>
      </c>
      <c r="UPQ1" t="s">
        <v>14669</v>
      </c>
      <c r="UPR1" t="s">
        <v>14670</v>
      </c>
      <c r="UPS1" t="s">
        <v>14671</v>
      </c>
      <c r="UPT1" t="s">
        <v>14672</v>
      </c>
      <c r="UPU1" t="s">
        <v>14673</v>
      </c>
      <c r="UPV1" t="s">
        <v>14674</v>
      </c>
      <c r="UPW1" t="s">
        <v>14675</v>
      </c>
      <c r="UPX1" t="s">
        <v>14676</v>
      </c>
      <c r="UPY1" t="s">
        <v>14677</v>
      </c>
      <c r="UPZ1" t="s">
        <v>14678</v>
      </c>
      <c r="UQA1" t="s">
        <v>14679</v>
      </c>
      <c r="UQB1" t="s">
        <v>14680</v>
      </c>
      <c r="UQC1" t="s">
        <v>14681</v>
      </c>
      <c r="UQD1" t="s">
        <v>14682</v>
      </c>
      <c r="UQE1" t="s">
        <v>14683</v>
      </c>
      <c r="UQF1" t="s">
        <v>14684</v>
      </c>
      <c r="UQG1" t="s">
        <v>14685</v>
      </c>
      <c r="UQH1" t="s">
        <v>14686</v>
      </c>
      <c r="UQI1" t="s">
        <v>14687</v>
      </c>
      <c r="UQJ1" t="s">
        <v>14688</v>
      </c>
      <c r="UQK1" t="s">
        <v>14689</v>
      </c>
      <c r="UQL1" t="s">
        <v>14690</v>
      </c>
      <c r="UQM1" t="s">
        <v>14691</v>
      </c>
      <c r="UQN1" t="s">
        <v>14692</v>
      </c>
      <c r="UQO1" t="s">
        <v>14693</v>
      </c>
      <c r="UQP1" t="s">
        <v>14694</v>
      </c>
      <c r="UQQ1" t="s">
        <v>14695</v>
      </c>
      <c r="UQR1" t="s">
        <v>14696</v>
      </c>
      <c r="UQS1" t="s">
        <v>14697</v>
      </c>
      <c r="UQT1" t="s">
        <v>14698</v>
      </c>
      <c r="UQU1" t="s">
        <v>14699</v>
      </c>
      <c r="UQV1" t="s">
        <v>14700</v>
      </c>
      <c r="UQW1" t="s">
        <v>14701</v>
      </c>
      <c r="UQX1" t="s">
        <v>14702</v>
      </c>
      <c r="UQY1" t="s">
        <v>14703</v>
      </c>
      <c r="UQZ1" t="s">
        <v>14704</v>
      </c>
      <c r="URA1" t="s">
        <v>14705</v>
      </c>
      <c r="URB1" t="s">
        <v>14706</v>
      </c>
      <c r="URC1" t="s">
        <v>14707</v>
      </c>
      <c r="URD1" t="s">
        <v>14708</v>
      </c>
      <c r="URE1" t="s">
        <v>14709</v>
      </c>
      <c r="URF1" t="s">
        <v>14710</v>
      </c>
      <c r="URG1" t="s">
        <v>14711</v>
      </c>
      <c r="URH1" t="s">
        <v>14712</v>
      </c>
      <c r="URI1" t="s">
        <v>14713</v>
      </c>
      <c r="URJ1" t="s">
        <v>14714</v>
      </c>
      <c r="URK1" t="s">
        <v>14715</v>
      </c>
      <c r="URL1" t="s">
        <v>14716</v>
      </c>
      <c r="URM1" t="s">
        <v>14717</v>
      </c>
      <c r="URN1" t="s">
        <v>14718</v>
      </c>
      <c r="URO1" t="s">
        <v>14719</v>
      </c>
      <c r="URP1" t="s">
        <v>14720</v>
      </c>
      <c r="URQ1" t="s">
        <v>14721</v>
      </c>
      <c r="URR1" t="s">
        <v>14722</v>
      </c>
      <c r="URS1" t="s">
        <v>14723</v>
      </c>
      <c r="URT1" t="s">
        <v>14724</v>
      </c>
      <c r="URU1" t="s">
        <v>14725</v>
      </c>
      <c r="URV1" t="s">
        <v>14726</v>
      </c>
      <c r="URW1" t="s">
        <v>14727</v>
      </c>
      <c r="URX1" t="s">
        <v>14728</v>
      </c>
      <c r="URY1" t="s">
        <v>14729</v>
      </c>
      <c r="URZ1" t="s">
        <v>14730</v>
      </c>
      <c r="USA1" t="s">
        <v>14731</v>
      </c>
      <c r="USB1" t="s">
        <v>14732</v>
      </c>
      <c r="USC1" t="s">
        <v>14733</v>
      </c>
      <c r="USD1" t="s">
        <v>14734</v>
      </c>
      <c r="USE1" t="s">
        <v>14735</v>
      </c>
      <c r="USF1" t="s">
        <v>14736</v>
      </c>
      <c r="USG1" t="s">
        <v>14737</v>
      </c>
      <c r="USH1" t="s">
        <v>14738</v>
      </c>
      <c r="USI1" t="s">
        <v>14739</v>
      </c>
      <c r="USJ1" t="s">
        <v>14740</v>
      </c>
      <c r="USK1" t="s">
        <v>14741</v>
      </c>
      <c r="USL1" t="s">
        <v>14742</v>
      </c>
      <c r="USM1" t="s">
        <v>14743</v>
      </c>
      <c r="USN1" t="s">
        <v>14744</v>
      </c>
      <c r="USO1" t="s">
        <v>14745</v>
      </c>
      <c r="USP1" t="s">
        <v>14746</v>
      </c>
      <c r="USQ1" t="s">
        <v>14747</v>
      </c>
      <c r="USR1" t="s">
        <v>14748</v>
      </c>
      <c r="USS1" t="s">
        <v>14749</v>
      </c>
      <c r="UST1" t="s">
        <v>14750</v>
      </c>
      <c r="USU1" t="s">
        <v>14751</v>
      </c>
      <c r="USV1" t="s">
        <v>14752</v>
      </c>
      <c r="USW1" t="s">
        <v>14753</v>
      </c>
      <c r="USX1" t="s">
        <v>14754</v>
      </c>
      <c r="USY1" t="s">
        <v>14755</v>
      </c>
      <c r="USZ1" t="s">
        <v>14756</v>
      </c>
      <c r="UTA1" t="s">
        <v>14757</v>
      </c>
      <c r="UTB1" t="s">
        <v>14758</v>
      </c>
      <c r="UTC1" t="s">
        <v>14759</v>
      </c>
      <c r="UTD1" t="s">
        <v>14760</v>
      </c>
      <c r="UTE1" t="s">
        <v>14761</v>
      </c>
      <c r="UTF1" t="s">
        <v>14762</v>
      </c>
      <c r="UTG1" t="s">
        <v>14763</v>
      </c>
      <c r="UTH1" t="s">
        <v>14764</v>
      </c>
      <c r="UTI1" t="s">
        <v>14765</v>
      </c>
      <c r="UTJ1" t="s">
        <v>14766</v>
      </c>
      <c r="UTK1" t="s">
        <v>14767</v>
      </c>
      <c r="UTL1" t="s">
        <v>14768</v>
      </c>
      <c r="UTM1" t="s">
        <v>14769</v>
      </c>
      <c r="UTN1" t="s">
        <v>14770</v>
      </c>
      <c r="UTO1" t="s">
        <v>14771</v>
      </c>
      <c r="UTP1" t="s">
        <v>14772</v>
      </c>
      <c r="UTQ1" t="s">
        <v>14773</v>
      </c>
      <c r="UTR1" t="s">
        <v>14774</v>
      </c>
      <c r="UTS1" t="s">
        <v>14775</v>
      </c>
      <c r="UTT1" t="s">
        <v>14776</v>
      </c>
      <c r="UTU1" t="s">
        <v>14777</v>
      </c>
      <c r="UTV1" t="s">
        <v>14778</v>
      </c>
      <c r="UTW1" t="s">
        <v>14779</v>
      </c>
      <c r="UTX1" t="s">
        <v>14780</v>
      </c>
      <c r="UTY1" t="s">
        <v>14781</v>
      </c>
      <c r="UTZ1" t="s">
        <v>14782</v>
      </c>
      <c r="UUA1" t="s">
        <v>14783</v>
      </c>
      <c r="UUB1" t="s">
        <v>14784</v>
      </c>
      <c r="UUC1" t="s">
        <v>14785</v>
      </c>
      <c r="UUD1" t="s">
        <v>14786</v>
      </c>
      <c r="UUE1" t="s">
        <v>14787</v>
      </c>
      <c r="UUF1" t="s">
        <v>14788</v>
      </c>
      <c r="UUG1" t="s">
        <v>14789</v>
      </c>
      <c r="UUH1" t="s">
        <v>14790</v>
      </c>
      <c r="UUI1" t="s">
        <v>14791</v>
      </c>
      <c r="UUJ1" t="s">
        <v>14792</v>
      </c>
      <c r="UUK1" t="s">
        <v>14793</v>
      </c>
      <c r="UUL1" t="s">
        <v>14794</v>
      </c>
      <c r="UUM1" t="s">
        <v>14795</v>
      </c>
      <c r="UUN1" t="s">
        <v>14796</v>
      </c>
      <c r="UUO1" t="s">
        <v>14797</v>
      </c>
      <c r="UUP1" t="s">
        <v>14798</v>
      </c>
      <c r="UUQ1" t="s">
        <v>14799</v>
      </c>
      <c r="UUR1" t="s">
        <v>14800</v>
      </c>
      <c r="UUS1" t="s">
        <v>14801</v>
      </c>
      <c r="UUT1" t="s">
        <v>14802</v>
      </c>
      <c r="UUU1" t="s">
        <v>14803</v>
      </c>
      <c r="UUV1" t="s">
        <v>14804</v>
      </c>
      <c r="UUW1" t="s">
        <v>14805</v>
      </c>
      <c r="UUX1" t="s">
        <v>14806</v>
      </c>
      <c r="UUY1" t="s">
        <v>14807</v>
      </c>
      <c r="UUZ1" t="s">
        <v>14808</v>
      </c>
      <c r="UVA1" t="s">
        <v>14809</v>
      </c>
      <c r="UVB1" t="s">
        <v>14810</v>
      </c>
      <c r="UVC1" t="s">
        <v>14811</v>
      </c>
      <c r="UVD1" t="s">
        <v>14812</v>
      </c>
      <c r="UVE1" t="s">
        <v>14813</v>
      </c>
      <c r="UVF1" t="s">
        <v>14814</v>
      </c>
      <c r="UVG1" t="s">
        <v>14815</v>
      </c>
      <c r="UVH1" t="s">
        <v>14816</v>
      </c>
      <c r="UVI1" t="s">
        <v>14817</v>
      </c>
      <c r="UVJ1" t="s">
        <v>14818</v>
      </c>
      <c r="UVK1" t="s">
        <v>14819</v>
      </c>
      <c r="UVL1" t="s">
        <v>14820</v>
      </c>
      <c r="UVM1" t="s">
        <v>14821</v>
      </c>
      <c r="UVN1" t="s">
        <v>14822</v>
      </c>
      <c r="UVO1" t="s">
        <v>14823</v>
      </c>
      <c r="UVP1" t="s">
        <v>14824</v>
      </c>
      <c r="UVQ1" t="s">
        <v>14825</v>
      </c>
      <c r="UVR1" t="s">
        <v>14826</v>
      </c>
      <c r="UVS1" t="s">
        <v>14827</v>
      </c>
      <c r="UVT1" t="s">
        <v>14828</v>
      </c>
      <c r="UVU1" t="s">
        <v>14829</v>
      </c>
      <c r="UVV1" t="s">
        <v>14830</v>
      </c>
      <c r="UVW1" t="s">
        <v>14831</v>
      </c>
      <c r="UVX1" t="s">
        <v>14832</v>
      </c>
      <c r="UVY1" t="s">
        <v>14833</v>
      </c>
      <c r="UVZ1" t="s">
        <v>14834</v>
      </c>
      <c r="UWA1" t="s">
        <v>14835</v>
      </c>
      <c r="UWB1" t="s">
        <v>14836</v>
      </c>
      <c r="UWC1" t="s">
        <v>14837</v>
      </c>
      <c r="UWD1" t="s">
        <v>14838</v>
      </c>
      <c r="UWE1" t="s">
        <v>14839</v>
      </c>
      <c r="UWF1" t="s">
        <v>14840</v>
      </c>
      <c r="UWG1" t="s">
        <v>14841</v>
      </c>
      <c r="UWH1" t="s">
        <v>14842</v>
      </c>
      <c r="UWI1" t="s">
        <v>14843</v>
      </c>
      <c r="UWJ1" t="s">
        <v>14844</v>
      </c>
      <c r="UWK1" t="s">
        <v>14845</v>
      </c>
      <c r="UWL1" t="s">
        <v>14846</v>
      </c>
      <c r="UWM1" t="s">
        <v>14847</v>
      </c>
      <c r="UWN1" t="s">
        <v>14848</v>
      </c>
      <c r="UWO1" t="s">
        <v>14849</v>
      </c>
      <c r="UWP1" t="s">
        <v>14850</v>
      </c>
      <c r="UWQ1" t="s">
        <v>14851</v>
      </c>
      <c r="UWR1" t="s">
        <v>14852</v>
      </c>
      <c r="UWS1" t="s">
        <v>14853</v>
      </c>
      <c r="UWT1" t="s">
        <v>14854</v>
      </c>
      <c r="UWU1" t="s">
        <v>14855</v>
      </c>
      <c r="UWV1" t="s">
        <v>14856</v>
      </c>
      <c r="UWW1" t="s">
        <v>14857</v>
      </c>
      <c r="UWX1" t="s">
        <v>14858</v>
      </c>
      <c r="UWY1" t="s">
        <v>14859</v>
      </c>
      <c r="UWZ1" t="s">
        <v>14860</v>
      </c>
      <c r="UXA1" t="s">
        <v>14861</v>
      </c>
      <c r="UXB1" t="s">
        <v>14862</v>
      </c>
      <c r="UXC1" t="s">
        <v>14863</v>
      </c>
      <c r="UXD1" t="s">
        <v>14864</v>
      </c>
      <c r="UXE1" t="s">
        <v>14865</v>
      </c>
      <c r="UXF1" t="s">
        <v>14866</v>
      </c>
      <c r="UXG1" t="s">
        <v>14867</v>
      </c>
      <c r="UXH1" t="s">
        <v>14868</v>
      </c>
      <c r="UXI1" t="s">
        <v>14869</v>
      </c>
      <c r="UXJ1" t="s">
        <v>14870</v>
      </c>
      <c r="UXK1" t="s">
        <v>14871</v>
      </c>
      <c r="UXL1" t="s">
        <v>14872</v>
      </c>
      <c r="UXM1" t="s">
        <v>14873</v>
      </c>
      <c r="UXN1" t="s">
        <v>14874</v>
      </c>
      <c r="UXO1" t="s">
        <v>14875</v>
      </c>
      <c r="UXP1" t="s">
        <v>14876</v>
      </c>
      <c r="UXQ1" t="s">
        <v>14877</v>
      </c>
      <c r="UXR1" t="s">
        <v>14878</v>
      </c>
      <c r="UXS1" t="s">
        <v>14879</v>
      </c>
      <c r="UXT1" t="s">
        <v>14880</v>
      </c>
      <c r="UXU1" t="s">
        <v>14881</v>
      </c>
      <c r="UXV1" t="s">
        <v>14882</v>
      </c>
      <c r="UXW1" t="s">
        <v>14883</v>
      </c>
      <c r="UXX1" t="s">
        <v>14884</v>
      </c>
      <c r="UXY1" t="s">
        <v>14885</v>
      </c>
      <c r="UXZ1" t="s">
        <v>14886</v>
      </c>
      <c r="UYA1" t="s">
        <v>14887</v>
      </c>
      <c r="UYB1" t="s">
        <v>14888</v>
      </c>
      <c r="UYC1" t="s">
        <v>14889</v>
      </c>
      <c r="UYD1" t="s">
        <v>14890</v>
      </c>
      <c r="UYE1" t="s">
        <v>14891</v>
      </c>
      <c r="UYF1" t="s">
        <v>14892</v>
      </c>
      <c r="UYG1" t="s">
        <v>14893</v>
      </c>
      <c r="UYH1" t="s">
        <v>14894</v>
      </c>
      <c r="UYI1" t="s">
        <v>14895</v>
      </c>
      <c r="UYJ1" t="s">
        <v>14896</v>
      </c>
      <c r="UYK1" t="s">
        <v>14897</v>
      </c>
      <c r="UYL1" t="s">
        <v>14898</v>
      </c>
      <c r="UYM1" t="s">
        <v>14899</v>
      </c>
      <c r="UYN1" t="s">
        <v>14900</v>
      </c>
      <c r="UYO1" t="s">
        <v>14901</v>
      </c>
      <c r="UYP1" t="s">
        <v>14902</v>
      </c>
      <c r="UYQ1" t="s">
        <v>14903</v>
      </c>
      <c r="UYR1" t="s">
        <v>14904</v>
      </c>
      <c r="UYS1" t="s">
        <v>14905</v>
      </c>
      <c r="UYT1" t="s">
        <v>14906</v>
      </c>
      <c r="UYU1" t="s">
        <v>14907</v>
      </c>
      <c r="UYV1" t="s">
        <v>14908</v>
      </c>
      <c r="UYW1" t="s">
        <v>14909</v>
      </c>
      <c r="UYX1" t="s">
        <v>14910</v>
      </c>
      <c r="UYY1" t="s">
        <v>14911</v>
      </c>
      <c r="UYZ1" t="s">
        <v>14912</v>
      </c>
      <c r="UZA1" t="s">
        <v>14913</v>
      </c>
      <c r="UZB1" t="s">
        <v>14914</v>
      </c>
      <c r="UZC1" t="s">
        <v>14915</v>
      </c>
      <c r="UZD1" t="s">
        <v>14916</v>
      </c>
      <c r="UZE1" t="s">
        <v>14917</v>
      </c>
      <c r="UZF1" t="s">
        <v>14918</v>
      </c>
      <c r="UZG1" t="s">
        <v>14919</v>
      </c>
      <c r="UZH1" t="s">
        <v>14920</v>
      </c>
      <c r="UZI1" t="s">
        <v>14921</v>
      </c>
      <c r="UZJ1" t="s">
        <v>14922</v>
      </c>
      <c r="UZK1" t="s">
        <v>14923</v>
      </c>
      <c r="UZL1" t="s">
        <v>14924</v>
      </c>
      <c r="UZM1" t="s">
        <v>14925</v>
      </c>
      <c r="UZN1" t="s">
        <v>14926</v>
      </c>
      <c r="UZO1" t="s">
        <v>14927</v>
      </c>
      <c r="UZP1" t="s">
        <v>14928</v>
      </c>
      <c r="UZQ1" t="s">
        <v>14929</v>
      </c>
      <c r="UZR1" t="s">
        <v>14930</v>
      </c>
      <c r="UZS1" t="s">
        <v>14931</v>
      </c>
      <c r="UZT1" t="s">
        <v>14932</v>
      </c>
      <c r="UZU1" t="s">
        <v>14933</v>
      </c>
      <c r="UZV1" t="s">
        <v>14934</v>
      </c>
      <c r="UZW1" t="s">
        <v>14935</v>
      </c>
      <c r="UZX1" t="s">
        <v>14936</v>
      </c>
      <c r="UZY1" t="s">
        <v>14937</v>
      </c>
      <c r="UZZ1" t="s">
        <v>14938</v>
      </c>
      <c r="VAA1" t="s">
        <v>14939</v>
      </c>
      <c r="VAB1" t="s">
        <v>14940</v>
      </c>
      <c r="VAC1" t="s">
        <v>14941</v>
      </c>
      <c r="VAD1" t="s">
        <v>14942</v>
      </c>
      <c r="VAE1" t="s">
        <v>14943</v>
      </c>
      <c r="VAF1" t="s">
        <v>14944</v>
      </c>
      <c r="VAG1" t="s">
        <v>14945</v>
      </c>
      <c r="VAH1" t="s">
        <v>14946</v>
      </c>
      <c r="VAI1" t="s">
        <v>14947</v>
      </c>
      <c r="VAJ1" t="s">
        <v>14948</v>
      </c>
      <c r="VAK1" t="s">
        <v>14949</v>
      </c>
      <c r="VAL1" t="s">
        <v>14950</v>
      </c>
      <c r="VAM1" t="s">
        <v>14951</v>
      </c>
      <c r="VAN1" t="s">
        <v>14952</v>
      </c>
      <c r="VAO1" t="s">
        <v>14953</v>
      </c>
      <c r="VAP1" t="s">
        <v>14954</v>
      </c>
      <c r="VAQ1" t="s">
        <v>14955</v>
      </c>
      <c r="VAR1" t="s">
        <v>14956</v>
      </c>
      <c r="VAS1" t="s">
        <v>14957</v>
      </c>
      <c r="VAT1" t="s">
        <v>14958</v>
      </c>
      <c r="VAU1" t="s">
        <v>14959</v>
      </c>
      <c r="VAV1" t="s">
        <v>14960</v>
      </c>
      <c r="VAW1" t="s">
        <v>14961</v>
      </c>
      <c r="VAX1" t="s">
        <v>14962</v>
      </c>
      <c r="VAY1" t="s">
        <v>14963</v>
      </c>
      <c r="VAZ1" t="s">
        <v>14964</v>
      </c>
      <c r="VBA1" t="s">
        <v>14965</v>
      </c>
      <c r="VBB1" t="s">
        <v>14966</v>
      </c>
      <c r="VBC1" t="s">
        <v>14967</v>
      </c>
      <c r="VBD1" t="s">
        <v>14968</v>
      </c>
      <c r="VBE1" t="s">
        <v>14969</v>
      </c>
      <c r="VBF1" t="s">
        <v>14970</v>
      </c>
      <c r="VBG1" t="s">
        <v>14971</v>
      </c>
      <c r="VBH1" t="s">
        <v>14972</v>
      </c>
      <c r="VBI1" t="s">
        <v>14973</v>
      </c>
      <c r="VBJ1" t="s">
        <v>14974</v>
      </c>
      <c r="VBK1" t="s">
        <v>14975</v>
      </c>
      <c r="VBL1" t="s">
        <v>14976</v>
      </c>
      <c r="VBM1" t="s">
        <v>14977</v>
      </c>
      <c r="VBN1" t="s">
        <v>14978</v>
      </c>
      <c r="VBO1" t="s">
        <v>14979</v>
      </c>
      <c r="VBP1" t="s">
        <v>14980</v>
      </c>
      <c r="VBQ1" t="s">
        <v>14981</v>
      </c>
      <c r="VBR1" t="s">
        <v>14982</v>
      </c>
      <c r="VBS1" t="s">
        <v>14983</v>
      </c>
      <c r="VBT1" t="s">
        <v>14984</v>
      </c>
      <c r="VBU1" t="s">
        <v>14985</v>
      </c>
      <c r="VBV1" t="s">
        <v>14986</v>
      </c>
      <c r="VBW1" t="s">
        <v>14987</v>
      </c>
      <c r="VBX1" t="s">
        <v>14988</v>
      </c>
      <c r="VBY1" t="s">
        <v>14989</v>
      </c>
      <c r="VBZ1" t="s">
        <v>14990</v>
      </c>
      <c r="VCA1" t="s">
        <v>14991</v>
      </c>
      <c r="VCB1" t="s">
        <v>14992</v>
      </c>
      <c r="VCC1" t="s">
        <v>14993</v>
      </c>
      <c r="VCD1" t="s">
        <v>14994</v>
      </c>
      <c r="VCE1" t="s">
        <v>14995</v>
      </c>
      <c r="VCF1" t="s">
        <v>14996</v>
      </c>
      <c r="VCG1" t="s">
        <v>14997</v>
      </c>
      <c r="VCH1" t="s">
        <v>14998</v>
      </c>
      <c r="VCI1" t="s">
        <v>14999</v>
      </c>
      <c r="VCJ1" t="s">
        <v>15000</v>
      </c>
      <c r="VCK1" t="s">
        <v>15001</v>
      </c>
      <c r="VCL1" t="s">
        <v>15002</v>
      </c>
      <c r="VCM1" t="s">
        <v>15003</v>
      </c>
      <c r="VCN1" t="s">
        <v>15004</v>
      </c>
      <c r="VCO1" t="s">
        <v>15005</v>
      </c>
      <c r="VCP1" t="s">
        <v>15006</v>
      </c>
      <c r="VCQ1" t="s">
        <v>15007</v>
      </c>
      <c r="VCR1" t="s">
        <v>15008</v>
      </c>
      <c r="VCS1" t="s">
        <v>15009</v>
      </c>
      <c r="VCT1" t="s">
        <v>15010</v>
      </c>
      <c r="VCU1" t="s">
        <v>15011</v>
      </c>
      <c r="VCV1" t="s">
        <v>15012</v>
      </c>
      <c r="VCW1" t="s">
        <v>15013</v>
      </c>
      <c r="VCX1" t="s">
        <v>15014</v>
      </c>
      <c r="VCY1" t="s">
        <v>15015</v>
      </c>
      <c r="VCZ1" t="s">
        <v>15016</v>
      </c>
      <c r="VDA1" t="s">
        <v>15017</v>
      </c>
      <c r="VDB1" t="s">
        <v>15018</v>
      </c>
      <c r="VDC1" t="s">
        <v>15019</v>
      </c>
      <c r="VDD1" t="s">
        <v>15020</v>
      </c>
      <c r="VDE1" t="s">
        <v>15021</v>
      </c>
      <c r="VDF1" t="s">
        <v>15022</v>
      </c>
      <c r="VDG1" t="s">
        <v>15023</v>
      </c>
      <c r="VDH1" t="s">
        <v>15024</v>
      </c>
      <c r="VDI1" t="s">
        <v>15025</v>
      </c>
      <c r="VDJ1" t="s">
        <v>15026</v>
      </c>
      <c r="VDK1" t="s">
        <v>15027</v>
      </c>
      <c r="VDL1" t="s">
        <v>15028</v>
      </c>
      <c r="VDM1" t="s">
        <v>15029</v>
      </c>
      <c r="VDN1" t="s">
        <v>15030</v>
      </c>
      <c r="VDO1" t="s">
        <v>15031</v>
      </c>
      <c r="VDP1" t="s">
        <v>15032</v>
      </c>
      <c r="VDQ1" t="s">
        <v>15033</v>
      </c>
      <c r="VDR1" t="s">
        <v>15034</v>
      </c>
      <c r="VDS1" t="s">
        <v>15035</v>
      </c>
      <c r="VDT1" t="s">
        <v>15036</v>
      </c>
      <c r="VDU1" t="s">
        <v>15037</v>
      </c>
      <c r="VDV1" t="s">
        <v>15038</v>
      </c>
      <c r="VDW1" t="s">
        <v>15039</v>
      </c>
      <c r="VDX1" t="s">
        <v>15040</v>
      </c>
      <c r="VDY1" t="s">
        <v>15041</v>
      </c>
      <c r="VDZ1" t="s">
        <v>15042</v>
      </c>
      <c r="VEA1" t="s">
        <v>15043</v>
      </c>
      <c r="VEB1" t="s">
        <v>15044</v>
      </c>
      <c r="VEC1" t="s">
        <v>15045</v>
      </c>
      <c r="VED1" t="s">
        <v>15046</v>
      </c>
      <c r="VEE1" t="s">
        <v>15047</v>
      </c>
      <c r="VEF1" t="s">
        <v>15048</v>
      </c>
      <c r="VEG1" t="s">
        <v>15049</v>
      </c>
      <c r="VEH1" t="s">
        <v>15050</v>
      </c>
      <c r="VEI1" t="s">
        <v>15051</v>
      </c>
      <c r="VEJ1" t="s">
        <v>15052</v>
      </c>
      <c r="VEK1" t="s">
        <v>15053</v>
      </c>
      <c r="VEL1" t="s">
        <v>15054</v>
      </c>
      <c r="VEM1" t="s">
        <v>15055</v>
      </c>
      <c r="VEN1" t="s">
        <v>15056</v>
      </c>
      <c r="VEO1" t="s">
        <v>15057</v>
      </c>
      <c r="VEP1" t="s">
        <v>15058</v>
      </c>
      <c r="VEQ1" t="s">
        <v>15059</v>
      </c>
      <c r="VER1" t="s">
        <v>15060</v>
      </c>
      <c r="VES1" t="s">
        <v>15061</v>
      </c>
      <c r="VET1" t="s">
        <v>15062</v>
      </c>
      <c r="VEU1" t="s">
        <v>15063</v>
      </c>
      <c r="VEV1" t="s">
        <v>15064</v>
      </c>
      <c r="VEW1" t="s">
        <v>15065</v>
      </c>
      <c r="VEX1" t="s">
        <v>15066</v>
      </c>
      <c r="VEY1" t="s">
        <v>15067</v>
      </c>
      <c r="VEZ1" t="s">
        <v>15068</v>
      </c>
      <c r="VFA1" t="s">
        <v>15069</v>
      </c>
      <c r="VFB1" t="s">
        <v>15070</v>
      </c>
      <c r="VFC1" t="s">
        <v>15071</v>
      </c>
      <c r="VFD1" t="s">
        <v>15072</v>
      </c>
      <c r="VFE1" t="s">
        <v>15073</v>
      </c>
      <c r="VFF1" t="s">
        <v>15074</v>
      </c>
      <c r="VFG1" t="s">
        <v>15075</v>
      </c>
      <c r="VFH1" t="s">
        <v>15076</v>
      </c>
      <c r="VFI1" t="s">
        <v>15077</v>
      </c>
      <c r="VFJ1" t="s">
        <v>15078</v>
      </c>
      <c r="VFK1" t="s">
        <v>15079</v>
      </c>
      <c r="VFL1" t="s">
        <v>15080</v>
      </c>
      <c r="VFM1" t="s">
        <v>15081</v>
      </c>
      <c r="VFN1" t="s">
        <v>15082</v>
      </c>
      <c r="VFO1" t="s">
        <v>15083</v>
      </c>
      <c r="VFP1" t="s">
        <v>15084</v>
      </c>
      <c r="VFQ1" t="s">
        <v>15085</v>
      </c>
      <c r="VFR1" t="s">
        <v>15086</v>
      </c>
      <c r="VFS1" t="s">
        <v>15087</v>
      </c>
      <c r="VFT1" t="s">
        <v>15088</v>
      </c>
      <c r="VFU1" t="s">
        <v>15089</v>
      </c>
      <c r="VFV1" t="s">
        <v>15090</v>
      </c>
      <c r="VFW1" t="s">
        <v>15091</v>
      </c>
      <c r="VFX1" t="s">
        <v>15092</v>
      </c>
      <c r="VFY1" t="s">
        <v>15093</v>
      </c>
      <c r="VFZ1" t="s">
        <v>15094</v>
      </c>
      <c r="VGA1" t="s">
        <v>15095</v>
      </c>
      <c r="VGB1" t="s">
        <v>15096</v>
      </c>
      <c r="VGC1" t="s">
        <v>15097</v>
      </c>
      <c r="VGD1" t="s">
        <v>15098</v>
      </c>
      <c r="VGE1" t="s">
        <v>15099</v>
      </c>
      <c r="VGF1" t="s">
        <v>15100</v>
      </c>
      <c r="VGG1" t="s">
        <v>15101</v>
      </c>
      <c r="VGH1" t="s">
        <v>15102</v>
      </c>
      <c r="VGI1" t="s">
        <v>15103</v>
      </c>
      <c r="VGJ1" t="s">
        <v>15104</v>
      </c>
      <c r="VGK1" t="s">
        <v>15105</v>
      </c>
      <c r="VGL1" t="s">
        <v>15106</v>
      </c>
      <c r="VGM1" t="s">
        <v>15107</v>
      </c>
      <c r="VGN1" t="s">
        <v>15108</v>
      </c>
      <c r="VGO1" t="s">
        <v>15109</v>
      </c>
      <c r="VGP1" t="s">
        <v>15110</v>
      </c>
      <c r="VGQ1" t="s">
        <v>15111</v>
      </c>
      <c r="VGR1" t="s">
        <v>15112</v>
      </c>
      <c r="VGS1" t="s">
        <v>15113</v>
      </c>
      <c r="VGT1" t="s">
        <v>15114</v>
      </c>
      <c r="VGU1" t="s">
        <v>15115</v>
      </c>
      <c r="VGV1" t="s">
        <v>15116</v>
      </c>
      <c r="VGW1" t="s">
        <v>15117</v>
      </c>
      <c r="VGX1" t="s">
        <v>15118</v>
      </c>
      <c r="VGY1" t="s">
        <v>15119</v>
      </c>
      <c r="VGZ1" t="s">
        <v>15120</v>
      </c>
      <c r="VHA1" t="s">
        <v>15121</v>
      </c>
      <c r="VHB1" t="s">
        <v>15122</v>
      </c>
      <c r="VHC1" t="s">
        <v>15123</v>
      </c>
      <c r="VHD1" t="s">
        <v>15124</v>
      </c>
      <c r="VHE1" t="s">
        <v>15125</v>
      </c>
      <c r="VHF1" t="s">
        <v>15126</v>
      </c>
      <c r="VHG1" t="s">
        <v>15127</v>
      </c>
      <c r="VHH1" t="s">
        <v>15128</v>
      </c>
      <c r="VHI1" t="s">
        <v>15129</v>
      </c>
      <c r="VHJ1" t="s">
        <v>15130</v>
      </c>
      <c r="VHK1" t="s">
        <v>15131</v>
      </c>
      <c r="VHL1" t="s">
        <v>15132</v>
      </c>
      <c r="VHM1" t="s">
        <v>15133</v>
      </c>
      <c r="VHN1" t="s">
        <v>15134</v>
      </c>
      <c r="VHO1" t="s">
        <v>15135</v>
      </c>
      <c r="VHP1" t="s">
        <v>15136</v>
      </c>
      <c r="VHQ1" t="s">
        <v>15137</v>
      </c>
      <c r="VHR1" t="s">
        <v>15138</v>
      </c>
      <c r="VHS1" t="s">
        <v>15139</v>
      </c>
      <c r="VHT1" t="s">
        <v>15140</v>
      </c>
      <c r="VHU1" t="s">
        <v>15141</v>
      </c>
      <c r="VHV1" t="s">
        <v>15142</v>
      </c>
      <c r="VHW1" t="s">
        <v>15143</v>
      </c>
      <c r="VHX1" t="s">
        <v>15144</v>
      </c>
      <c r="VHY1" t="s">
        <v>15145</v>
      </c>
      <c r="VHZ1" t="s">
        <v>15146</v>
      </c>
      <c r="VIA1" t="s">
        <v>15147</v>
      </c>
      <c r="VIB1" t="s">
        <v>15148</v>
      </c>
      <c r="VIC1" t="s">
        <v>15149</v>
      </c>
      <c r="VID1" t="s">
        <v>15150</v>
      </c>
      <c r="VIE1" t="s">
        <v>15151</v>
      </c>
      <c r="VIF1" t="s">
        <v>15152</v>
      </c>
      <c r="VIG1" t="s">
        <v>15153</v>
      </c>
      <c r="VIH1" t="s">
        <v>15154</v>
      </c>
      <c r="VII1" t="s">
        <v>15155</v>
      </c>
      <c r="VIJ1" t="s">
        <v>15156</v>
      </c>
      <c r="VIK1" t="s">
        <v>15157</v>
      </c>
      <c r="VIL1" t="s">
        <v>15158</v>
      </c>
      <c r="VIM1" t="s">
        <v>15159</v>
      </c>
      <c r="VIN1" t="s">
        <v>15160</v>
      </c>
      <c r="VIO1" t="s">
        <v>15161</v>
      </c>
      <c r="VIP1" t="s">
        <v>15162</v>
      </c>
      <c r="VIQ1" t="s">
        <v>15163</v>
      </c>
      <c r="VIR1" t="s">
        <v>15164</v>
      </c>
      <c r="VIS1" t="s">
        <v>15165</v>
      </c>
      <c r="VIT1" t="s">
        <v>15166</v>
      </c>
      <c r="VIU1" t="s">
        <v>15167</v>
      </c>
      <c r="VIV1" t="s">
        <v>15168</v>
      </c>
      <c r="VIW1" t="s">
        <v>15169</v>
      </c>
      <c r="VIX1" t="s">
        <v>15170</v>
      </c>
      <c r="VIY1" t="s">
        <v>15171</v>
      </c>
      <c r="VIZ1" t="s">
        <v>15172</v>
      </c>
      <c r="VJA1" t="s">
        <v>15173</v>
      </c>
      <c r="VJB1" t="s">
        <v>15174</v>
      </c>
      <c r="VJC1" t="s">
        <v>15175</v>
      </c>
      <c r="VJD1" t="s">
        <v>15176</v>
      </c>
      <c r="VJE1" t="s">
        <v>15177</v>
      </c>
      <c r="VJF1" t="s">
        <v>15178</v>
      </c>
      <c r="VJG1" t="s">
        <v>15179</v>
      </c>
      <c r="VJH1" t="s">
        <v>15180</v>
      </c>
      <c r="VJI1" t="s">
        <v>15181</v>
      </c>
      <c r="VJJ1" t="s">
        <v>15182</v>
      </c>
      <c r="VJK1" t="s">
        <v>15183</v>
      </c>
      <c r="VJL1" t="s">
        <v>15184</v>
      </c>
      <c r="VJM1" t="s">
        <v>15185</v>
      </c>
      <c r="VJN1" t="s">
        <v>15186</v>
      </c>
      <c r="VJO1" t="s">
        <v>15187</v>
      </c>
      <c r="VJP1" t="s">
        <v>15188</v>
      </c>
      <c r="VJQ1" t="s">
        <v>15189</v>
      </c>
      <c r="VJR1" t="s">
        <v>15190</v>
      </c>
      <c r="VJS1" t="s">
        <v>15191</v>
      </c>
      <c r="VJT1" t="s">
        <v>15192</v>
      </c>
      <c r="VJU1" t="s">
        <v>15193</v>
      </c>
      <c r="VJV1" t="s">
        <v>15194</v>
      </c>
      <c r="VJW1" t="s">
        <v>15195</v>
      </c>
      <c r="VJX1" t="s">
        <v>15196</v>
      </c>
      <c r="VJY1" t="s">
        <v>15197</v>
      </c>
      <c r="VJZ1" t="s">
        <v>15198</v>
      </c>
      <c r="VKA1" t="s">
        <v>15199</v>
      </c>
      <c r="VKB1" t="s">
        <v>15200</v>
      </c>
      <c r="VKC1" t="s">
        <v>15201</v>
      </c>
      <c r="VKD1" t="s">
        <v>15202</v>
      </c>
      <c r="VKE1" t="s">
        <v>15203</v>
      </c>
      <c r="VKF1" t="s">
        <v>15204</v>
      </c>
      <c r="VKG1" t="s">
        <v>15205</v>
      </c>
      <c r="VKH1" t="s">
        <v>15206</v>
      </c>
      <c r="VKI1" t="s">
        <v>15207</v>
      </c>
      <c r="VKJ1" t="s">
        <v>15208</v>
      </c>
      <c r="VKK1" t="s">
        <v>15209</v>
      </c>
      <c r="VKL1" t="s">
        <v>15210</v>
      </c>
      <c r="VKM1" t="s">
        <v>15211</v>
      </c>
      <c r="VKN1" t="s">
        <v>15212</v>
      </c>
      <c r="VKO1" t="s">
        <v>15213</v>
      </c>
      <c r="VKP1" t="s">
        <v>15214</v>
      </c>
      <c r="VKQ1" t="s">
        <v>15215</v>
      </c>
      <c r="VKR1" t="s">
        <v>15216</v>
      </c>
      <c r="VKS1" t="s">
        <v>15217</v>
      </c>
      <c r="VKT1" t="s">
        <v>15218</v>
      </c>
      <c r="VKU1" t="s">
        <v>15219</v>
      </c>
      <c r="VKV1" t="s">
        <v>15220</v>
      </c>
      <c r="VKW1" t="s">
        <v>15221</v>
      </c>
      <c r="VKX1" t="s">
        <v>15222</v>
      </c>
      <c r="VKY1" t="s">
        <v>15223</v>
      </c>
      <c r="VKZ1" t="s">
        <v>15224</v>
      </c>
      <c r="VLA1" t="s">
        <v>15225</v>
      </c>
      <c r="VLB1" t="s">
        <v>15226</v>
      </c>
      <c r="VLC1" t="s">
        <v>15227</v>
      </c>
      <c r="VLD1" t="s">
        <v>15228</v>
      </c>
      <c r="VLE1" t="s">
        <v>15229</v>
      </c>
      <c r="VLF1" t="s">
        <v>15230</v>
      </c>
      <c r="VLG1" t="s">
        <v>15231</v>
      </c>
      <c r="VLH1" t="s">
        <v>15232</v>
      </c>
      <c r="VLI1" t="s">
        <v>15233</v>
      </c>
      <c r="VLJ1" t="s">
        <v>15234</v>
      </c>
      <c r="VLK1" t="s">
        <v>15235</v>
      </c>
      <c r="VLL1" t="s">
        <v>15236</v>
      </c>
      <c r="VLM1" t="s">
        <v>15237</v>
      </c>
      <c r="VLN1" t="s">
        <v>15238</v>
      </c>
      <c r="VLO1" t="s">
        <v>15239</v>
      </c>
      <c r="VLP1" t="s">
        <v>15240</v>
      </c>
      <c r="VLQ1" t="s">
        <v>15241</v>
      </c>
      <c r="VLR1" t="s">
        <v>15242</v>
      </c>
      <c r="VLS1" t="s">
        <v>15243</v>
      </c>
      <c r="VLT1" t="s">
        <v>15244</v>
      </c>
      <c r="VLU1" t="s">
        <v>15245</v>
      </c>
      <c r="VLV1" t="s">
        <v>15246</v>
      </c>
      <c r="VLW1" t="s">
        <v>15247</v>
      </c>
      <c r="VLX1" t="s">
        <v>15248</v>
      </c>
      <c r="VLY1" t="s">
        <v>15249</v>
      </c>
      <c r="VLZ1" t="s">
        <v>15250</v>
      </c>
      <c r="VMA1" t="s">
        <v>15251</v>
      </c>
      <c r="VMB1" t="s">
        <v>15252</v>
      </c>
      <c r="VMC1" t="s">
        <v>15253</v>
      </c>
      <c r="VMD1" t="s">
        <v>15254</v>
      </c>
      <c r="VME1" t="s">
        <v>15255</v>
      </c>
      <c r="VMF1" t="s">
        <v>15256</v>
      </c>
      <c r="VMG1" t="s">
        <v>15257</v>
      </c>
      <c r="VMH1" t="s">
        <v>15258</v>
      </c>
      <c r="VMI1" t="s">
        <v>15259</v>
      </c>
      <c r="VMJ1" t="s">
        <v>15260</v>
      </c>
      <c r="VMK1" t="s">
        <v>15261</v>
      </c>
      <c r="VML1" t="s">
        <v>15262</v>
      </c>
      <c r="VMM1" t="s">
        <v>15263</v>
      </c>
      <c r="VMN1" t="s">
        <v>15264</v>
      </c>
      <c r="VMO1" t="s">
        <v>15265</v>
      </c>
      <c r="VMP1" t="s">
        <v>15266</v>
      </c>
      <c r="VMQ1" t="s">
        <v>15267</v>
      </c>
      <c r="VMR1" t="s">
        <v>15268</v>
      </c>
      <c r="VMS1" t="s">
        <v>15269</v>
      </c>
      <c r="VMT1" t="s">
        <v>15270</v>
      </c>
      <c r="VMU1" t="s">
        <v>15271</v>
      </c>
      <c r="VMV1" t="s">
        <v>15272</v>
      </c>
      <c r="VMW1" t="s">
        <v>15273</v>
      </c>
      <c r="VMX1" t="s">
        <v>15274</v>
      </c>
      <c r="VMY1" t="s">
        <v>15275</v>
      </c>
      <c r="VMZ1" t="s">
        <v>15276</v>
      </c>
      <c r="VNA1" t="s">
        <v>15277</v>
      </c>
      <c r="VNB1" t="s">
        <v>15278</v>
      </c>
      <c r="VNC1" t="s">
        <v>15279</v>
      </c>
      <c r="VND1" t="s">
        <v>15280</v>
      </c>
      <c r="VNE1" t="s">
        <v>15281</v>
      </c>
      <c r="VNF1" t="s">
        <v>15282</v>
      </c>
      <c r="VNG1" t="s">
        <v>15283</v>
      </c>
      <c r="VNH1" t="s">
        <v>15284</v>
      </c>
      <c r="VNI1" t="s">
        <v>15285</v>
      </c>
      <c r="VNJ1" t="s">
        <v>15286</v>
      </c>
      <c r="VNK1" t="s">
        <v>15287</v>
      </c>
      <c r="VNL1" t="s">
        <v>15288</v>
      </c>
      <c r="VNM1" t="s">
        <v>15289</v>
      </c>
      <c r="VNN1" t="s">
        <v>15290</v>
      </c>
      <c r="VNO1" t="s">
        <v>15291</v>
      </c>
      <c r="VNP1" t="s">
        <v>15292</v>
      </c>
      <c r="VNQ1" t="s">
        <v>15293</v>
      </c>
      <c r="VNR1" t="s">
        <v>15294</v>
      </c>
      <c r="VNS1" t="s">
        <v>15295</v>
      </c>
      <c r="VNT1" t="s">
        <v>15296</v>
      </c>
      <c r="VNU1" t="s">
        <v>15297</v>
      </c>
      <c r="VNV1" t="s">
        <v>15298</v>
      </c>
      <c r="VNW1" t="s">
        <v>15299</v>
      </c>
      <c r="VNX1" t="s">
        <v>15300</v>
      </c>
      <c r="VNY1" t="s">
        <v>15301</v>
      </c>
      <c r="VNZ1" t="s">
        <v>15302</v>
      </c>
      <c r="VOA1" t="s">
        <v>15303</v>
      </c>
      <c r="VOB1" t="s">
        <v>15304</v>
      </c>
      <c r="VOC1" t="s">
        <v>15305</v>
      </c>
      <c r="VOD1" t="s">
        <v>15306</v>
      </c>
      <c r="VOE1" t="s">
        <v>15307</v>
      </c>
      <c r="VOF1" t="s">
        <v>15308</v>
      </c>
      <c r="VOG1" t="s">
        <v>15309</v>
      </c>
      <c r="VOH1" t="s">
        <v>15310</v>
      </c>
      <c r="VOI1" t="s">
        <v>15311</v>
      </c>
      <c r="VOJ1" t="s">
        <v>15312</v>
      </c>
      <c r="VOK1" t="s">
        <v>15313</v>
      </c>
      <c r="VOL1" t="s">
        <v>15314</v>
      </c>
      <c r="VOM1" t="s">
        <v>15315</v>
      </c>
      <c r="VON1" t="s">
        <v>15316</v>
      </c>
      <c r="VOO1" t="s">
        <v>15317</v>
      </c>
      <c r="VOP1" t="s">
        <v>15318</v>
      </c>
      <c r="VOQ1" t="s">
        <v>15319</v>
      </c>
      <c r="VOR1" t="s">
        <v>15320</v>
      </c>
      <c r="VOS1" t="s">
        <v>15321</v>
      </c>
      <c r="VOT1" t="s">
        <v>15322</v>
      </c>
      <c r="VOU1" t="s">
        <v>15323</v>
      </c>
      <c r="VOV1" t="s">
        <v>15324</v>
      </c>
      <c r="VOW1" t="s">
        <v>15325</v>
      </c>
      <c r="VOX1" t="s">
        <v>15326</v>
      </c>
      <c r="VOY1" t="s">
        <v>15327</v>
      </c>
      <c r="VOZ1" t="s">
        <v>15328</v>
      </c>
      <c r="VPA1" t="s">
        <v>15329</v>
      </c>
      <c r="VPB1" t="s">
        <v>15330</v>
      </c>
      <c r="VPC1" t="s">
        <v>15331</v>
      </c>
      <c r="VPD1" t="s">
        <v>15332</v>
      </c>
      <c r="VPE1" t="s">
        <v>15333</v>
      </c>
      <c r="VPF1" t="s">
        <v>15334</v>
      </c>
      <c r="VPG1" t="s">
        <v>15335</v>
      </c>
      <c r="VPH1" t="s">
        <v>15336</v>
      </c>
      <c r="VPI1" t="s">
        <v>15337</v>
      </c>
      <c r="VPJ1" t="s">
        <v>15338</v>
      </c>
      <c r="VPK1" t="s">
        <v>15339</v>
      </c>
      <c r="VPL1" t="s">
        <v>15340</v>
      </c>
      <c r="VPM1" t="s">
        <v>15341</v>
      </c>
      <c r="VPN1" t="s">
        <v>15342</v>
      </c>
      <c r="VPO1" t="s">
        <v>15343</v>
      </c>
      <c r="VPP1" t="s">
        <v>15344</v>
      </c>
      <c r="VPQ1" t="s">
        <v>15345</v>
      </c>
      <c r="VPR1" t="s">
        <v>15346</v>
      </c>
      <c r="VPS1" t="s">
        <v>15347</v>
      </c>
      <c r="VPT1" t="s">
        <v>15348</v>
      </c>
      <c r="VPU1" t="s">
        <v>15349</v>
      </c>
      <c r="VPV1" t="s">
        <v>15350</v>
      </c>
      <c r="VPW1" t="s">
        <v>15351</v>
      </c>
      <c r="VPX1" t="s">
        <v>15352</v>
      </c>
      <c r="VPY1" t="s">
        <v>15353</v>
      </c>
      <c r="VPZ1" t="s">
        <v>15354</v>
      </c>
      <c r="VQA1" t="s">
        <v>15355</v>
      </c>
      <c r="VQB1" t="s">
        <v>15356</v>
      </c>
      <c r="VQC1" t="s">
        <v>15357</v>
      </c>
      <c r="VQD1" t="s">
        <v>15358</v>
      </c>
      <c r="VQE1" t="s">
        <v>15359</v>
      </c>
      <c r="VQF1" t="s">
        <v>15360</v>
      </c>
      <c r="VQG1" t="s">
        <v>15361</v>
      </c>
      <c r="VQH1" t="s">
        <v>15362</v>
      </c>
      <c r="VQI1" t="s">
        <v>15363</v>
      </c>
      <c r="VQJ1" t="s">
        <v>15364</v>
      </c>
      <c r="VQK1" t="s">
        <v>15365</v>
      </c>
      <c r="VQL1" t="s">
        <v>15366</v>
      </c>
      <c r="VQM1" t="s">
        <v>15367</v>
      </c>
      <c r="VQN1" t="s">
        <v>15368</v>
      </c>
      <c r="VQO1" t="s">
        <v>15369</v>
      </c>
      <c r="VQP1" t="s">
        <v>15370</v>
      </c>
      <c r="VQQ1" t="s">
        <v>15371</v>
      </c>
      <c r="VQR1" t="s">
        <v>15372</v>
      </c>
      <c r="VQS1" t="s">
        <v>15373</v>
      </c>
      <c r="VQT1" t="s">
        <v>15374</v>
      </c>
      <c r="VQU1" t="s">
        <v>15375</v>
      </c>
      <c r="VQV1" t="s">
        <v>15376</v>
      </c>
      <c r="VQW1" t="s">
        <v>15377</v>
      </c>
      <c r="VQX1" t="s">
        <v>15378</v>
      </c>
      <c r="VQY1" t="s">
        <v>15379</v>
      </c>
      <c r="VQZ1" t="s">
        <v>15380</v>
      </c>
      <c r="VRA1" t="s">
        <v>15381</v>
      </c>
      <c r="VRB1" t="s">
        <v>15382</v>
      </c>
      <c r="VRC1" t="s">
        <v>15383</v>
      </c>
      <c r="VRD1" t="s">
        <v>15384</v>
      </c>
      <c r="VRE1" t="s">
        <v>15385</v>
      </c>
      <c r="VRF1" t="s">
        <v>15386</v>
      </c>
      <c r="VRG1" t="s">
        <v>15387</v>
      </c>
      <c r="VRH1" t="s">
        <v>15388</v>
      </c>
      <c r="VRI1" t="s">
        <v>15389</v>
      </c>
      <c r="VRJ1" t="s">
        <v>15390</v>
      </c>
      <c r="VRK1" t="s">
        <v>15391</v>
      </c>
      <c r="VRL1" t="s">
        <v>15392</v>
      </c>
      <c r="VRM1" t="s">
        <v>15393</v>
      </c>
      <c r="VRN1" t="s">
        <v>15394</v>
      </c>
      <c r="VRO1" t="s">
        <v>15395</v>
      </c>
      <c r="VRP1" t="s">
        <v>15396</v>
      </c>
      <c r="VRQ1" t="s">
        <v>15397</v>
      </c>
      <c r="VRR1" t="s">
        <v>15398</v>
      </c>
      <c r="VRS1" t="s">
        <v>15399</v>
      </c>
      <c r="VRT1" t="s">
        <v>15400</v>
      </c>
      <c r="VRU1" t="s">
        <v>15401</v>
      </c>
      <c r="VRV1" t="s">
        <v>15402</v>
      </c>
      <c r="VRW1" t="s">
        <v>15403</v>
      </c>
      <c r="VRX1" t="s">
        <v>15404</v>
      </c>
      <c r="VRY1" t="s">
        <v>15405</v>
      </c>
      <c r="VRZ1" t="s">
        <v>15406</v>
      </c>
      <c r="VSA1" t="s">
        <v>15407</v>
      </c>
      <c r="VSB1" t="s">
        <v>15408</v>
      </c>
      <c r="VSC1" t="s">
        <v>15409</v>
      </c>
      <c r="VSD1" t="s">
        <v>15410</v>
      </c>
      <c r="VSE1" t="s">
        <v>15411</v>
      </c>
      <c r="VSF1" t="s">
        <v>15412</v>
      </c>
      <c r="VSG1" t="s">
        <v>15413</v>
      </c>
      <c r="VSH1" t="s">
        <v>15414</v>
      </c>
      <c r="VSI1" t="s">
        <v>15415</v>
      </c>
      <c r="VSJ1" t="s">
        <v>15416</v>
      </c>
      <c r="VSK1" t="s">
        <v>15417</v>
      </c>
      <c r="VSL1" t="s">
        <v>15418</v>
      </c>
      <c r="VSM1" t="s">
        <v>15419</v>
      </c>
      <c r="VSN1" t="s">
        <v>15420</v>
      </c>
      <c r="VSO1" t="s">
        <v>15421</v>
      </c>
      <c r="VSP1" t="s">
        <v>15422</v>
      </c>
      <c r="VSQ1" t="s">
        <v>15423</v>
      </c>
      <c r="VSR1" t="s">
        <v>15424</v>
      </c>
      <c r="VSS1" t="s">
        <v>15425</v>
      </c>
      <c r="VST1" t="s">
        <v>15426</v>
      </c>
      <c r="VSU1" t="s">
        <v>15427</v>
      </c>
      <c r="VSV1" t="s">
        <v>15428</v>
      </c>
      <c r="VSW1" t="s">
        <v>15429</v>
      </c>
      <c r="VSX1" t="s">
        <v>15430</v>
      </c>
      <c r="VSY1" t="s">
        <v>15431</v>
      </c>
      <c r="VSZ1" t="s">
        <v>15432</v>
      </c>
      <c r="VTA1" t="s">
        <v>15433</v>
      </c>
      <c r="VTB1" t="s">
        <v>15434</v>
      </c>
      <c r="VTC1" t="s">
        <v>15435</v>
      </c>
      <c r="VTD1" t="s">
        <v>15436</v>
      </c>
      <c r="VTE1" t="s">
        <v>15437</v>
      </c>
      <c r="VTF1" t="s">
        <v>15438</v>
      </c>
      <c r="VTG1" t="s">
        <v>15439</v>
      </c>
      <c r="VTH1" t="s">
        <v>15440</v>
      </c>
      <c r="VTI1" t="s">
        <v>15441</v>
      </c>
      <c r="VTJ1" t="s">
        <v>15442</v>
      </c>
      <c r="VTK1" t="s">
        <v>15443</v>
      </c>
      <c r="VTL1" t="s">
        <v>15444</v>
      </c>
      <c r="VTM1" t="s">
        <v>15445</v>
      </c>
      <c r="VTN1" t="s">
        <v>15446</v>
      </c>
      <c r="VTO1" t="s">
        <v>15447</v>
      </c>
      <c r="VTP1" t="s">
        <v>15448</v>
      </c>
      <c r="VTQ1" t="s">
        <v>15449</v>
      </c>
      <c r="VTR1" t="s">
        <v>15450</v>
      </c>
      <c r="VTS1" t="s">
        <v>15451</v>
      </c>
      <c r="VTT1" t="s">
        <v>15452</v>
      </c>
      <c r="VTU1" t="s">
        <v>15453</v>
      </c>
      <c r="VTV1" t="s">
        <v>15454</v>
      </c>
      <c r="VTW1" t="s">
        <v>15455</v>
      </c>
      <c r="VTX1" t="s">
        <v>15456</v>
      </c>
      <c r="VTY1" t="s">
        <v>15457</v>
      </c>
      <c r="VTZ1" t="s">
        <v>15458</v>
      </c>
      <c r="VUA1" t="s">
        <v>15459</v>
      </c>
      <c r="VUB1" t="s">
        <v>15460</v>
      </c>
      <c r="VUC1" t="s">
        <v>15461</v>
      </c>
      <c r="VUD1" t="s">
        <v>15462</v>
      </c>
      <c r="VUE1" t="s">
        <v>15463</v>
      </c>
      <c r="VUF1" t="s">
        <v>15464</v>
      </c>
      <c r="VUG1" t="s">
        <v>15465</v>
      </c>
      <c r="VUH1" t="s">
        <v>15466</v>
      </c>
      <c r="VUI1" t="s">
        <v>15467</v>
      </c>
      <c r="VUJ1" t="s">
        <v>15468</v>
      </c>
      <c r="VUK1" t="s">
        <v>15469</v>
      </c>
      <c r="VUL1" t="s">
        <v>15470</v>
      </c>
      <c r="VUM1" t="s">
        <v>15471</v>
      </c>
      <c r="VUN1" t="s">
        <v>15472</v>
      </c>
      <c r="VUO1" t="s">
        <v>15473</v>
      </c>
      <c r="VUP1" t="s">
        <v>15474</v>
      </c>
      <c r="VUQ1" t="s">
        <v>15475</v>
      </c>
      <c r="VUR1" t="s">
        <v>15476</v>
      </c>
      <c r="VUS1" t="s">
        <v>15477</v>
      </c>
      <c r="VUT1" t="s">
        <v>15478</v>
      </c>
      <c r="VUU1" t="s">
        <v>15479</v>
      </c>
      <c r="VUV1" t="s">
        <v>15480</v>
      </c>
      <c r="VUW1" t="s">
        <v>15481</v>
      </c>
      <c r="VUX1" t="s">
        <v>15482</v>
      </c>
      <c r="VUY1" t="s">
        <v>15483</v>
      </c>
      <c r="VUZ1" t="s">
        <v>15484</v>
      </c>
      <c r="VVA1" t="s">
        <v>15485</v>
      </c>
      <c r="VVB1" t="s">
        <v>15486</v>
      </c>
      <c r="VVC1" t="s">
        <v>15487</v>
      </c>
      <c r="VVD1" t="s">
        <v>15488</v>
      </c>
      <c r="VVE1" t="s">
        <v>15489</v>
      </c>
      <c r="VVF1" t="s">
        <v>15490</v>
      </c>
      <c r="VVG1" t="s">
        <v>15491</v>
      </c>
      <c r="VVH1" t="s">
        <v>15492</v>
      </c>
      <c r="VVI1" t="s">
        <v>15493</v>
      </c>
      <c r="VVJ1" t="s">
        <v>15494</v>
      </c>
      <c r="VVK1" t="s">
        <v>15495</v>
      </c>
      <c r="VVL1" t="s">
        <v>15496</v>
      </c>
      <c r="VVM1" t="s">
        <v>15497</v>
      </c>
      <c r="VVN1" t="s">
        <v>15498</v>
      </c>
      <c r="VVO1" t="s">
        <v>15499</v>
      </c>
      <c r="VVP1" t="s">
        <v>15500</v>
      </c>
      <c r="VVQ1" t="s">
        <v>15501</v>
      </c>
      <c r="VVR1" t="s">
        <v>15502</v>
      </c>
      <c r="VVS1" t="s">
        <v>15503</v>
      </c>
      <c r="VVT1" t="s">
        <v>15504</v>
      </c>
      <c r="VVU1" t="s">
        <v>15505</v>
      </c>
      <c r="VVV1" t="s">
        <v>15506</v>
      </c>
      <c r="VVW1" t="s">
        <v>15507</v>
      </c>
      <c r="VVX1" t="s">
        <v>15508</v>
      </c>
      <c r="VVY1" t="s">
        <v>15509</v>
      </c>
      <c r="VVZ1" t="s">
        <v>15510</v>
      </c>
      <c r="VWA1" t="s">
        <v>15511</v>
      </c>
      <c r="VWB1" t="s">
        <v>15512</v>
      </c>
      <c r="VWC1" t="s">
        <v>15513</v>
      </c>
      <c r="VWD1" t="s">
        <v>15514</v>
      </c>
      <c r="VWE1" t="s">
        <v>15515</v>
      </c>
      <c r="VWF1" t="s">
        <v>15516</v>
      </c>
      <c r="VWG1" t="s">
        <v>15517</v>
      </c>
      <c r="VWH1" t="s">
        <v>15518</v>
      </c>
      <c r="VWI1" t="s">
        <v>15519</v>
      </c>
      <c r="VWJ1" t="s">
        <v>15520</v>
      </c>
      <c r="VWK1" t="s">
        <v>15521</v>
      </c>
      <c r="VWL1" t="s">
        <v>15522</v>
      </c>
      <c r="VWM1" t="s">
        <v>15523</v>
      </c>
      <c r="VWN1" t="s">
        <v>15524</v>
      </c>
      <c r="VWO1" t="s">
        <v>15525</v>
      </c>
      <c r="VWP1" t="s">
        <v>15526</v>
      </c>
      <c r="VWQ1" t="s">
        <v>15527</v>
      </c>
      <c r="VWR1" t="s">
        <v>15528</v>
      </c>
      <c r="VWS1" t="s">
        <v>15529</v>
      </c>
      <c r="VWT1" t="s">
        <v>15530</v>
      </c>
      <c r="VWU1" t="s">
        <v>15531</v>
      </c>
      <c r="VWV1" t="s">
        <v>15532</v>
      </c>
      <c r="VWW1" t="s">
        <v>15533</v>
      </c>
      <c r="VWX1" t="s">
        <v>15534</v>
      </c>
      <c r="VWY1" t="s">
        <v>15535</v>
      </c>
      <c r="VWZ1" t="s">
        <v>15536</v>
      </c>
      <c r="VXA1" t="s">
        <v>15537</v>
      </c>
      <c r="VXB1" t="s">
        <v>15538</v>
      </c>
      <c r="VXC1" t="s">
        <v>15539</v>
      </c>
      <c r="VXD1" t="s">
        <v>15540</v>
      </c>
      <c r="VXE1" t="s">
        <v>15541</v>
      </c>
      <c r="VXF1" t="s">
        <v>15542</v>
      </c>
      <c r="VXG1" t="s">
        <v>15543</v>
      </c>
      <c r="VXH1" t="s">
        <v>15544</v>
      </c>
      <c r="VXI1" t="s">
        <v>15545</v>
      </c>
      <c r="VXJ1" t="s">
        <v>15546</v>
      </c>
      <c r="VXK1" t="s">
        <v>15547</v>
      </c>
      <c r="VXL1" t="s">
        <v>15548</v>
      </c>
      <c r="VXM1" t="s">
        <v>15549</v>
      </c>
      <c r="VXN1" t="s">
        <v>15550</v>
      </c>
      <c r="VXO1" t="s">
        <v>15551</v>
      </c>
      <c r="VXP1" t="s">
        <v>15552</v>
      </c>
      <c r="VXQ1" t="s">
        <v>15553</v>
      </c>
      <c r="VXR1" t="s">
        <v>15554</v>
      </c>
      <c r="VXS1" t="s">
        <v>15555</v>
      </c>
      <c r="VXT1" t="s">
        <v>15556</v>
      </c>
      <c r="VXU1" t="s">
        <v>15557</v>
      </c>
      <c r="VXV1" t="s">
        <v>15558</v>
      </c>
      <c r="VXW1" t="s">
        <v>15559</v>
      </c>
      <c r="VXX1" t="s">
        <v>15560</v>
      </c>
      <c r="VXY1" t="s">
        <v>15561</v>
      </c>
      <c r="VXZ1" t="s">
        <v>15562</v>
      </c>
      <c r="VYA1" t="s">
        <v>15563</v>
      </c>
      <c r="VYB1" t="s">
        <v>15564</v>
      </c>
      <c r="VYC1" t="s">
        <v>15565</v>
      </c>
      <c r="VYD1" t="s">
        <v>15566</v>
      </c>
      <c r="VYE1" t="s">
        <v>15567</v>
      </c>
      <c r="VYF1" t="s">
        <v>15568</v>
      </c>
      <c r="VYG1" t="s">
        <v>15569</v>
      </c>
      <c r="VYH1" t="s">
        <v>15570</v>
      </c>
      <c r="VYI1" t="s">
        <v>15571</v>
      </c>
      <c r="VYJ1" t="s">
        <v>15572</v>
      </c>
      <c r="VYK1" t="s">
        <v>15573</v>
      </c>
      <c r="VYL1" t="s">
        <v>15574</v>
      </c>
      <c r="VYM1" t="s">
        <v>15575</v>
      </c>
      <c r="VYN1" t="s">
        <v>15576</v>
      </c>
      <c r="VYO1" t="s">
        <v>15577</v>
      </c>
      <c r="VYP1" t="s">
        <v>15578</v>
      </c>
      <c r="VYQ1" t="s">
        <v>15579</v>
      </c>
      <c r="VYR1" t="s">
        <v>15580</v>
      </c>
      <c r="VYS1" t="s">
        <v>15581</v>
      </c>
      <c r="VYT1" t="s">
        <v>15582</v>
      </c>
      <c r="VYU1" t="s">
        <v>15583</v>
      </c>
      <c r="VYV1" t="s">
        <v>15584</v>
      </c>
      <c r="VYW1" t="s">
        <v>15585</v>
      </c>
      <c r="VYX1" t="s">
        <v>15586</v>
      </c>
      <c r="VYY1" t="s">
        <v>15587</v>
      </c>
      <c r="VYZ1" t="s">
        <v>15588</v>
      </c>
      <c r="VZA1" t="s">
        <v>15589</v>
      </c>
      <c r="VZB1" t="s">
        <v>15590</v>
      </c>
      <c r="VZC1" t="s">
        <v>15591</v>
      </c>
      <c r="VZD1" t="s">
        <v>15592</v>
      </c>
      <c r="VZE1" t="s">
        <v>15593</v>
      </c>
      <c r="VZF1" t="s">
        <v>15594</v>
      </c>
      <c r="VZG1" t="s">
        <v>15595</v>
      </c>
      <c r="VZH1" t="s">
        <v>15596</v>
      </c>
      <c r="VZI1" t="s">
        <v>15597</v>
      </c>
      <c r="VZJ1" t="s">
        <v>15598</v>
      </c>
      <c r="VZK1" t="s">
        <v>15599</v>
      </c>
      <c r="VZL1" t="s">
        <v>15600</v>
      </c>
      <c r="VZM1" t="s">
        <v>15601</v>
      </c>
      <c r="VZN1" t="s">
        <v>15602</v>
      </c>
      <c r="VZO1" t="s">
        <v>15603</v>
      </c>
      <c r="VZP1" t="s">
        <v>15604</v>
      </c>
      <c r="VZQ1" t="s">
        <v>15605</v>
      </c>
      <c r="VZR1" t="s">
        <v>15606</v>
      </c>
      <c r="VZS1" t="s">
        <v>15607</v>
      </c>
      <c r="VZT1" t="s">
        <v>15608</v>
      </c>
      <c r="VZU1" t="s">
        <v>15609</v>
      </c>
      <c r="VZV1" t="s">
        <v>15610</v>
      </c>
      <c r="VZW1" t="s">
        <v>15611</v>
      </c>
      <c r="VZX1" t="s">
        <v>15612</v>
      </c>
      <c r="VZY1" t="s">
        <v>15613</v>
      </c>
      <c r="VZZ1" t="s">
        <v>15614</v>
      </c>
      <c r="WAA1" t="s">
        <v>15615</v>
      </c>
      <c r="WAB1" t="s">
        <v>15616</v>
      </c>
      <c r="WAC1" t="s">
        <v>15617</v>
      </c>
      <c r="WAD1" t="s">
        <v>15618</v>
      </c>
      <c r="WAE1" t="s">
        <v>15619</v>
      </c>
      <c r="WAF1" t="s">
        <v>15620</v>
      </c>
      <c r="WAG1" t="s">
        <v>15621</v>
      </c>
      <c r="WAH1" t="s">
        <v>15622</v>
      </c>
      <c r="WAI1" t="s">
        <v>15623</v>
      </c>
      <c r="WAJ1" t="s">
        <v>15624</v>
      </c>
      <c r="WAK1" t="s">
        <v>15625</v>
      </c>
      <c r="WAL1" t="s">
        <v>15626</v>
      </c>
      <c r="WAM1" t="s">
        <v>15627</v>
      </c>
      <c r="WAN1" t="s">
        <v>15628</v>
      </c>
      <c r="WAO1" t="s">
        <v>15629</v>
      </c>
      <c r="WAP1" t="s">
        <v>15630</v>
      </c>
      <c r="WAQ1" t="s">
        <v>15631</v>
      </c>
      <c r="WAR1" t="s">
        <v>15632</v>
      </c>
      <c r="WAS1" t="s">
        <v>15633</v>
      </c>
      <c r="WAT1" t="s">
        <v>15634</v>
      </c>
      <c r="WAU1" t="s">
        <v>15635</v>
      </c>
      <c r="WAV1" t="s">
        <v>15636</v>
      </c>
      <c r="WAW1" t="s">
        <v>15637</v>
      </c>
      <c r="WAX1" t="s">
        <v>15638</v>
      </c>
      <c r="WAY1" t="s">
        <v>15639</v>
      </c>
      <c r="WAZ1" t="s">
        <v>15640</v>
      </c>
      <c r="WBA1" t="s">
        <v>15641</v>
      </c>
      <c r="WBB1" t="s">
        <v>15642</v>
      </c>
      <c r="WBC1" t="s">
        <v>15643</v>
      </c>
      <c r="WBD1" t="s">
        <v>15644</v>
      </c>
      <c r="WBE1" t="s">
        <v>15645</v>
      </c>
      <c r="WBF1" t="s">
        <v>15646</v>
      </c>
      <c r="WBG1" t="s">
        <v>15647</v>
      </c>
      <c r="WBH1" t="s">
        <v>15648</v>
      </c>
      <c r="WBI1" t="s">
        <v>15649</v>
      </c>
      <c r="WBJ1" t="s">
        <v>15650</v>
      </c>
      <c r="WBK1" t="s">
        <v>15651</v>
      </c>
      <c r="WBL1" t="s">
        <v>15652</v>
      </c>
      <c r="WBM1" t="s">
        <v>15653</v>
      </c>
      <c r="WBN1" t="s">
        <v>15654</v>
      </c>
      <c r="WBO1" t="s">
        <v>15655</v>
      </c>
      <c r="WBP1" t="s">
        <v>15656</v>
      </c>
      <c r="WBQ1" t="s">
        <v>15657</v>
      </c>
      <c r="WBR1" t="s">
        <v>15658</v>
      </c>
      <c r="WBS1" t="s">
        <v>15659</v>
      </c>
      <c r="WBT1" t="s">
        <v>15660</v>
      </c>
      <c r="WBU1" t="s">
        <v>15661</v>
      </c>
      <c r="WBV1" t="s">
        <v>15662</v>
      </c>
      <c r="WBW1" t="s">
        <v>15663</v>
      </c>
      <c r="WBX1" t="s">
        <v>15664</v>
      </c>
      <c r="WBY1" t="s">
        <v>15665</v>
      </c>
      <c r="WBZ1" t="s">
        <v>15666</v>
      </c>
      <c r="WCA1" t="s">
        <v>15667</v>
      </c>
      <c r="WCB1" t="s">
        <v>15668</v>
      </c>
      <c r="WCC1" t="s">
        <v>15669</v>
      </c>
      <c r="WCD1" t="s">
        <v>15670</v>
      </c>
      <c r="WCE1" t="s">
        <v>15671</v>
      </c>
      <c r="WCF1" t="s">
        <v>15672</v>
      </c>
      <c r="WCG1" t="s">
        <v>15673</v>
      </c>
      <c r="WCH1" t="s">
        <v>15674</v>
      </c>
      <c r="WCI1" t="s">
        <v>15675</v>
      </c>
      <c r="WCJ1" t="s">
        <v>15676</v>
      </c>
      <c r="WCK1" t="s">
        <v>15677</v>
      </c>
      <c r="WCL1" t="s">
        <v>15678</v>
      </c>
      <c r="WCM1" t="s">
        <v>15679</v>
      </c>
      <c r="WCN1" t="s">
        <v>15680</v>
      </c>
      <c r="WCO1" t="s">
        <v>15681</v>
      </c>
      <c r="WCP1" t="s">
        <v>15682</v>
      </c>
      <c r="WCQ1" t="s">
        <v>15683</v>
      </c>
      <c r="WCR1" t="s">
        <v>15684</v>
      </c>
      <c r="WCS1" t="s">
        <v>15685</v>
      </c>
      <c r="WCT1" t="s">
        <v>15686</v>
      </c>
      <c r="WCU1" t="s">
        <v>15687</v>
      </c>
      <c r="WCV1" t="s">
        <v>15688</v>
      </c>
      <c r="WCW1" t="s">
        <v>15689</v>
      </c>
      <c r="WCX1" t="s">
        <v>15690</v>
      </c>
      <c r="WCY1" t="s">
        <v>15691</v>
      </c>
      <c r="WCZ1" t="s">
        <v>15692</v>
      </c>
      <c r="WDA1" t="s">
        <v>15693</v>
      </c>
      <c r="WDB1" t="s">
        <v>15694</v>
      </c>
      <c r="WDC1" t="s">
        <v>15695</v>
      </c>
      <c r="WDD1" t="s">
        <v>15696</v>
      </c>
      <c r="WDE1" t="s">
        <v>15697</v>
      </c>
      <c r="WDF1" t="s">
        <v>15698</v>
      </c>
      <c r="WDG1" t="s">
        <v>15699</v>
      </c>
      <c r="WDH1" t="s">
        <v>15700</v>
      </c>
      <c r="WDI1" t="s">
        <v>15701</v>
      </c>
      <c r="WDJ1" t="s">
        <v>15702</v>
      </c>
      <c r="WDK1" t="s">
        <v>15703</v>
      </c>
      <c r="WDL1" t="s">
        <v>15704</v>
      </c>
      <c r="WDM1" t="s">
        <v>15705</v>
      </c>
      <c r="WDN1" t="s">
        <v>15706</v>
      </c>
      <c r="WDO1" t="s">
        <v>15707</v>
      </c>
      <c r="WDP1" t="s">
        <v>15708</v>
      </c>
      <c r="WDQ1" t="s">
        <v>15709</v>
      </c>
      <c r="WDR1" t="s">
        <v>15710</v>
      </c>
      <c r="WDS1" t="s">
        <v>15711</v>
      </c>
      <c r="WDT1" t="s">
        <v>15712</v>
      </c>
      <c r="WDU1" t="s">
        <v>15713</v>
      </c>
      <c r="WDV1" t="s">
        <v>15714</v>
      </c>
      <c r="WDW1" t="s">
        <v>15715</v>
      </c>
      <c r="WDX1" t="s">
        <v>15716</v>
      </c>
      <c r="WDY1" t="s">
        <v>15717</v>
      </c>
      <c r="WDZ1" t="s">
        <v>15718</v>
      </c>
      <c r="WEA1" t="s">
        <v>15719</v>
      </c>
      <c r="WEB1" t="s">
        <v>15720</v>
      </c>
      <c r="WEC1" t="s">
        <v>15721</v>
      </c>
      <c r="WED1" t="s">
        <v>15722</v>
      </c>
      <c r="WEE1" t="s">
        <v>15723</v>
      </c>
      <c r="WEF1" t="s">
        <v>15724</v>
      </c>
      <c r="WEG1" t="s">
        <v>15725</v>
      </c>
      <c r="WEH1" t="s">
        <v>15726</v>
      </c>
      <c r="WEI1" t="s">
        <v>15727</v>
      </c>
      <c r="WEJ1" t="s">
        <v>15728</v>
      </c>
      <c r="WEK1" t="s">
        <v>15729</v>
      </c>
      <c r="WEL1" t="s">
        <v>15730</v>
      </c>
      <c r="WEM1" t="s">
        <v>15731</v>
      </c>
      <c r="WEN1" t="s">
        <v>15732</v>
      </c>
      <c r="WEO1" t="s">
        <v>15733</v>
      </c>
      <c r="WEP1" t="s">
        <v>15734</v>
      </c>
      <c r="WEQ1" t="s">
        <v>15735</v>
      </c>
      <c r="WER1" t="s">
        <v>15736</v>
      </c>
      <c r="WES1" t="s">
        <v>15737</v>
      </c>
      <c r="WET1" t="s">
        <v>15738</v>
      </c>
      <c r="WEU1" t="s">
        <v>15739</v>
      </c>
      <c r="WEV1" t="s">
        <v>15740</v>
      </c>
      <c r="WEW1" t="s">
        <v>15741</v>
      </c>
      <c r="WEX1" t="s">
        <v>15742</v>
      </c>
      <c r="WEY1" t="s">
        <v>15743</v>
      </c>
      <c r="WEZ1" t="s">
        <v>15744</v>
      </c>
      <c r="WFA1" t="s">
        <v>15745</v>
      </c>
      <c r="WFB1" t="s">
        <v>15746</v>
      </c>
      <c r="WFC1" t="s">
        <v>15747</v>
      </c>
      <c r="WFD1" t="s">
        <v>15748</v>
      </c>
      <c r="WFE1" t="s">
        <v>15749</v>
      </c>
      <c r="WFF1" t="s">
        <v>15750</v>
      </c>
      <c r="WFG1" t="s">
        <v>15751</v>
      </c>
      <c r="WFH1" t="s">
        <v>15752</v>
      </c>
      <c r="WFI1" t="s">
        <v>15753</v>
      </c>
      <c r="WFJ1" t="s">
        <v>15754</v>
      </c>
      <c r="WFK1" t="s">
        <v>15755</v>
      </c>
      <c r="WFL1" t="s">
        <v>15756</v>
      </c>
      <c r="WFM1" t="s">
        <v>15757</v>
      </c>
      <c r="WFN1" t="s">
        <v>15758</v>
      </c>
      <c r="WFO1" t="s">
        <v>15759</v>
      </c>
      <c r="WFP1" t="s">
        <v>15760</v>
      </c>
      <c r="WFQ1" t="s">
        <v>15761</v>
      </c>
      <c r="WFR1" t="s">
        <v>15762</v>
      </c>
      <c r="WFS1" t="s">
        <v>15763</v>
      </c>
      <c r="WFT1" t="s">
        <v>15764</v>
      </c>
      <c r="WFU1" t="s">
        <v>15765</v>
      </c>
      <c r="WFV1" t="s">
        <v>15766</v>
      </c>
      <c r="WFW1" t="s">
        <v>15767</v>
      </c>
      <c r="WFX1" t="s">
        <v>15768</v>
      </c>
      <c r="WFY1" t="s">
        <v>15769</v>
      </c>
      <c r="WFZ1" t="s">
        <v>15770</v>
      </c>
      <c r="WGA1" t="s">
        <v>15771</v>
      </c>
      <c r="WGB1" t="s">
        <v>15772</v>
      </c>
      <c r="WGC1" t="s">
        <v>15773</v>
      </c>
      <c r="WGD1" t="s">
        <v>15774</v>
      </c>
      <c r="WGE1" t="s">
        <v>15775</v>
      </c>
      <c r="WGF1" t="s">
        <v>15776</v>
      </c>
      <c r="WGG1" t="s">
        <v>15777</v>
      </c>
      <c r="WGH1" t="s">
        <v>15778</v>
      </c>
      <c r="WGI1" t="s">
        <v>15779</v>
      </c>
      <c r="WGJ1" t="s">
        <v>15780</v>
      </c>
      <c r="WGK1" t="s">
        <v>15781</v>
      </c>
      <c r="WGL1" t="s">
        <v>15782</v>
      </c>
      <c r="WGM1" t="s">
        <v>15783</v>
      </c>
      <c r="WGN1" t="s">
        <v>15784</v>
      </c>
      <c r="WGO1" t="s">
        <v>15785</v>
      </c>
      <c r="WGP1" t="s">
        <v>15786</v>
      </c>
      <c r="WGQ1" t="s">
        <v>15787</v>
      </c>
      <c r="WGR1" t="s">
        <v>15788</v>
      </c>
      <c r="WGS1" t="s">
        <v>15789</v>
      </c>
      <c r="WGT1" t="s">
        <v>15790</v>
      </c>
      <c r="WGU1" t="s">
        <v>15791</v>
      </c>
      <c r="WGV1" t="s">
        <v>15792</v>
      </c>
      <c r="WGW1" t="s">
        <v>15793</v>
      </c>
      <c r="WGX1" t="s">
        <v>15794</v>
      </c>
      <c r="WGY1" t="s">
        <v>15795</v>
      </c>
      <c r="WGZ1" t="s">
        <v>15796</v>
      </c>
      <c r="WHA1" t="s">
        <v>15797</v>
      </c>
      <c r="WHB1" t="s">
        <v>15798</v>
      </c>
      <c r="WHC1" t="s">
        <v>15799</v>
      </c>
      <c r="WHD1" t="s">
        <v>15800</v>
      </c>
      <c r="WHE1" t="s">
        <v>15801</v>
      </c>
      <c r="WHF1" t="s">
        <v>15802</v>
      </c>
      <c r="WHG1" t="s">
        <v>15803</v>
      </c>
      <c r="WHH1" t="s">
        <v>15804</v>
      </c>
      <c r="WHI1" t="s">
        <v>15805</v>
      </c>
      <c r="WHJ1" t="s">
        <v>15806</v>
      </c>
      <c r="WHK1" t="s">
        <v>15807</v>
      </c>
      <c r="WHL1" t="s">
        <v>15808</v>
      </c>
      <c r="WHM1" t="s">
        <v>15809</v>
      </c>
      <c r="WHN1" t="s">
        <v>15810</v>
      </c>
      <c r="WHO1" t="s">
        <v>15811</v>
      </c>
      <c r="WHP1" t="s">
        <v>15812</v>
      </c>
      <c r="WHQ1" t="s">
        <v>15813</v>
      </c>
      <c r="WHR1" t="s">
        <v>15814</v>
      </c>
      <c r="WHS1" t="s">
        <v>15815</v>
      </c>
      <c r="WHT1" t="s">
        <v>15816</v>
      </c>
      <c r="WHU1" t="s">
        <v>15817</v>
      </c>
      <c r="WHV1" t="s">
        <v>15818</v>
      </c>
      <c r="WHW1" t="s">
        <v>15819</v>
      </c>
      <c r="WHX1" t="s">
        <v>15820</v>
      </c>
      <c r="WHY1" t="s">
        <v>15821</v>
      </c>
      <c r="WHZ1" t="s">
        <v>15822</v>
      </c>
      <c r="WIA1" t="s">
        <v>15823</v>
      </c>
      <c r="WIB1" t="s">
        <v>15824</v>
      </c>
      <c r="WIC1" t="s">
        <v>15825</v>
      </c>
      <c r="WID1" t="s">
        <v>15826</v>
      </c>
      <c r="WIE1" t="s">
        <v>15827</v>
      </c>
      <c r="WIF1" t="s">
        <v>15828</v>
      </c>
      <c r="WIG1" t="s">
        <v>15829</v>
      </c>
      <c r="WIH1" t="s">
        <v>15830</v>
      </c>
      <c r="WII1" t="s">
        <v>15831</v>
      </c>
      <c r="WIJ1" t="s">
        <v>15832</v>
      </c>
      <c r="WIK1" t="s">
        <v>15833</v>
      </c>
      <c r="WIL1" t="s">
        <v>15834</v>
      </c>
      <c r="WIM1" t="s">
        <v>15835</v>
      </c>
      <c r="WIN1" t="s">
        <v>15836</v>
      </c>
      <c r="WIO1" t="s">
        <v>15837</v>
      </c>
      <c r="WIP1" t="s">
        <v>15838</v>
      </c>
      <c r="WIQ1" t="s">
        <v>15839</v>
      </c>
      <c r="WIR1" t="s">
        <v>15840</v>
      </c>
      <c r="WIS1" t="s">
        <v>15841</v>
      </c>
      <c r="WIT1" t="s">
        <v>15842</v>
      </c>
      <c r="WIU1" t="s">
        <v>15843</v>
      </c>
      <c r="WIV1" t="s">
        <v>15844</v>
      </c>
      <c r="WIW1" t="s">
        <v>15845</v>
      </c>
      <c r="WIX1" t="s">
        <v>15846</v>
      </c>
      <c r="WIY1" t="s">
        <v>15847</v>
      </c>
      <c r="WIZ1" t="s">
        <v>15848</v>
      </c>
      <c r="WJA1" t="s">
        <v>15849</v>
      </c>
      <c r="WJB1" t="s">
        <v>15850</v>
      </c>
      <c r="WJC1" t="s">
        <v>15851</v>
      </c>
      <c r="WJD1" t="s">
        <v>15852</v>
      </c>
      <c r="WJE1" t="s">
        <v>15853</v>
      </c>
      <c r="WJF1" t="s">
        <v>15854</v>
      </c>
      <c r="WJG1" t="s">
        <v>15855</v>
      </c>
      <c r="WJH1" t="s">
        <v>15856</v>
      </c>
      <c r="WJI1" t="s">
        <v>15857</v>
      </c>
      <c r="WJJ1" t="s">
        <v>15858</v>
      </c>
      <c r="WJK1" t="s">
        <v>15859</v>
      </c>
      <c r="WJL1" t="s">
        <v>15860</v>
      </c>
      <c r="WJM1" t="s">
        <v>15861</v>
      </c>
      <c r="WJN1" t="s">
        <v>15862</v>
      </c>
      <c r="WJO1" t="s">
        <v>15863</v>
      </c>
      <c r="WJP1" t="s">
        <v>15864</v>
      </c>
      <c r="WJQ1" t="s">
        <v>15865</v>
      </c>
      <c r="WJR1" t="s">
        <v>15866</v>
      </c>
      <c r="WJS1" t="s">
        <v>15867</v>
      </c>
      <c r="WJT1" t="s">
        <v>15868</v>
      </c>
      <c r="WJU1" t="s">
        <v>15869</v>
      </c>
      <c r="WJV1" t="s">
        <v>15870</v>
      </c>
      <c r="WJW1" t="s">
        <v>15871</v>
      </c>
      <c r="WJX1" t="s">
        <v>15872</v>
      </c>
      <c r="WJY1" t="s">
        <v>15873</v>
      </c>
      <c r="WJZ1" t="s">
        <v>15874</v>
      </c>
      <c r="WKA1" t="s">
        <v>15875</v>
      </c>
      <c r="WKB1" t="s">
        <v>15876</v>
      </c>
      <c r="WKC1" t="s">
        <v>15877</v>
      </c>
      <c r="WKD1" t="s">
        <v>15878</v>
      </c>
      <c r="WKE1" t="s">
        <v>15879</v>
      </c>
      <c r="WKF1" t="s">
        <v>15880</v>
      </c>
      <c r="WKG1" t="s">
        <v>15881</v>
      </c>
      <c r="WKH1" t="s">
        <v>15882</v>
      </c>
      <c r="WKI1" t="s">
        <v>15883</v>
      </c>
      <c r="WKJ1" t="s">
        <v>15884</v>
      </c>
      <c r="WKK1" t="s">
        <v>15885</v>
      </c>
      <c r="WKL1" t="s">
        <v>15886</v>
      </c>
      <c r="WKM1" t="s">
        <v>15887</v>
      </c>
      <c r="WKN1" t="s">
        <v>15888</v>
      </c>
      <c r="WKO1" t="s">
        <v>15889</v>
      </c>
      <c r="WKP1" t="s">
        <v>15890</v>
      </c>
      <c r="WKQ1" t="s">
        <v>15891</v>
      </c>
      <c r="WKR1" t="s">
        <v>15892</v>
      </c>
      <c r="WKS1" t="s">
        <v>15893</v>
      </c>
      <c r="WKT1" t="s">
        <v>15894</v>
      </c>
      <c r="WKU1" t="s">
        <v>15895</v>
      </c>
      <c r="WKV1" t="s">
        <v>15896</v>
      </c>
      <c r="WKW1" t="s">
        <v>15897</v>
      </c>
      <c r="WKX1" t="s">
        <v>15898</v>
      </c>
      <c r="WKY1" t="s">
        <v>15899</v>
      </c>
      <c r="WKZ1" t="s">
        <v>15900</v>
      </c>
      <c r="WLA1" t="s">
        <v>15901</v>
      </c>
      <c r="WLB1" t="s">
        <v>15902</v>
      </c>
      <c r="WLC1" t="s">
        <v>15903</v>
      </c>
      <c r="WLD1" t="s">
        <v>15904</v>
      </c>
      <c r="WLE1" t="s">
        <v>15905</v>
      </c>
      <c r="WLF1" t="s">
        <v>15906</v>
      </c>
      <c r="WLG1" t="s">
        <v>15907</v>
      </c>
      <c r="WLH1" t="s">
        <v>15908</v>
      </c>
      <c r="WLI1" t="s">
        <v>15909</v>
      </c>
      <c r="WLJ1" t="s">
        <v>15910</v>
      </c>
      <c r="WLK1" t="s">
        <v>15911</v>
      </c>
      <c r="WLL1" t="s">
        <v>15912</v>
      </c>
      <c r="WLM1" t="s">
        <v>15913</v>
      </c>
      <c r="WLN1" t="s">
        <v>15914</v>
      </c>
      <c r="WLO1" t="s">
        <v>15915</v>
      </c>
      <c r="WLP1" t="s">
        <v>15916</v>
      </c>
      <c r="WLQ1" t="s">
        <v>15917</v>
      </c>
      <c r="WLR1" t="s">
        <v>15918</v>
      </c>
      <c r="WLS1" t="s">
        <v>15919</v>
      </c>
      <c r="WLT1" t="s">
        <v>15920</v>
      </c>
      <c r="WLU1" t="s">
        <v>15921</v>
      </c>
      <c r="WLV1" t="s">
        <v>15922</v>
      </c>
      <c r="WLW1" t="s">
        <v>15923</v>
      </c>
      <c r="WLX1" t="s">
        <v>15924</v>
      </c>
      <c r="WLY1" t="s">
        <v>15925</v>
      </c>
      <c r="WLZ1" t="s">
        <v>15926</v>
      </c>
      <c r="WMA1" t="s">
        <v>15927</v>
      </c>
      <c r="WMB1" t="s">
        <v>15928</v>
      </c>
      <c r="WMC1" t="s">
        <v>15929</v>
      </c>
      <c r="WMD1" t="s">
        <v>15930</v>
      </c>
      <c r="WME1" t="s">
        <v>15931</v>
      </c>
      <c r="WMF1" t="s">
        <v>15932</v>
      </c>
      <c r="WMG1" t="s">
        <v>15933</v>
      </c>
      <c r="WMH1" t="s">
        <v>15934</v>
      </c>
      <c r="WMI1" t="s">
        <v>15935</v>
      </c>
      <c r="WMJ1" t="s">
        <v>15936</v>
      </c>
      <c r="WMK1" t="s">
        <v>15937</v>
      </c>
      <c r="WML1" t="s">
        <v>15938</v>
      </c>
      <c r="WMM1" t="s">
        <v>15939</v>
      </c>
      <c r="WMN1" t="s">
        <v>15940</v>
      </c>
      <c r="WMO1" t="s">
        <v>15941</v>
      </c>
      <c r="WMP1" t="s">
        <v>15942</v>
      </c>
      <c r="WMQ1" t="s">
        <v>15943</v>
      </c>
      <c r="WMR1" t="s">
        <v>15944</v>
      </c>
      <c r="WMS1" t="s">
        <v>15945</v>
      </c>
      <c r="WMT1" t="s">
        <v>15946</v>
      </c>
      <c r="WMU1" t="s">
        <v>15947</v>
      </c>
      <c r="WMV1" t="s">
        <v>15948</v>
      </c>
      <c r="WMW1" t="s">
        <v>15949</v>
      </c>
      <c r="WMX1" t="s">
        <v>15950</v>
      </c>
      <c r="WMY1" t="s">
        <v>15951</v>
      </c>
      <c r="WMZ1" t="s">
        <v>15952</v>
      </c>
      <c r="WNA1" t="s">
        <v>15953</v>
      </c>
      <c r="WNB1" t="s">
        <v>15954</v>
      </c>
      <c r="WNC1" t="s">
        <v>15955</v>
      </c>
      <c r="WND1" t="s">
        <v>15956</v>
      </c>
      <c r="WNE1" t="s">
        <v>15957</v>
      </c>
      <c r="WNF1" t="s">
        <v>15958</v>
      </c>
      <c r="WNG1" t="s">
        <v>15959</v>
      </c>
      <c r="WNH1" t="s">
        <v>15960</v>
      </c>
      <c r="WNI1" t="s">
        <v>15961</v>
      </c>
      <c r="WNJ1" t="s">
        <v>15962</v>
      </c>
      <c r="WNK1" t="s">
        <v>15963</v>
      </c>
      <c r="WNL1" t="s">
        <v>15964</v>
      </c>
      <c r="WNM1" t="s">
        <v>15965</v>
      </c>
      <c r="WNN1" t="s">
        <v>15966</v>
      </c>
      <c r="WNO1" t="s">
        <v>15967</v>
      </c>
      <c r="WNP1" t="s">
        <v>15968</v>
      </c>
      <c r="WNQ1" t="s">
        <v>15969</v>
      </c>
      <c r="WNR1" t="s">
        <v>15970</v>
      </c>
      <c r="WNS1" t="s">
        <v>15971</v>
      </c>
      <c r="WNT1" t="s">
        <v>15972</v>
      </c>
      <c r="WNU1" t="s">
        <v>15973</v>
      </c>
      <c r="WNV1" t="s">
        <v>15974</v>
      </c>
      <c r="WNW1" t="s">
        <v>15975</v>
      </c>
      <c r="WNX1" t="s">
        <v>15976</v>
      </c>
      <c r="WNY1" t="s">
        <v>15977</v>
      </c>
      <c r="WNZ1" t="s">
        <v>15978</v>
      </c>
      <c r="WOA1" t="s">
        <v>15979</v>
      </c>
      <c r="WOB1" t="s">
        <v>15980</v>
      </c>
      <c r="WOC1" t="s">
        <v>15981</v>
      </c>
      <c r="WOD1" t="s">
        <v>15982</v>
      </c>
      <c r="WOE1" t="s">
        <v>15983</v>
      </c>
      <c r="WOF1" t="s">
        <v>15984</v>
      </c>
      <c r="WOG1" t="s">
        <v>15985</v>
      </c>
      <c r="WOH1" t="s">
        <v>15986</v>
      </c>
      <c r="WOI1" t="s">
        <v>15987</v>
      </c>
      <c r="WOJ1" t="s">
        <v>15988</v>
      </c>
      <c r="WOK1" t="s">
        <v>15989</v>
      </c>
      <c r="WOL1" t="s">
        <v>15990</v>
      </c>
      <c r="WOM1" t="s">
        <v>15991</v>
      </c>
      <c r="WON1" t="s">
        <v>15992</v>
      </c>
      <c r="WOO1" t="s">
        <v>15993</v>
      </c>
      <c r="WOP1" t="s">
        <v>15994</v>
      </c>
      <c r="WOQ1" t="s">
        <v>15995</v>
      </c>
      <c r="WOR1" t="s">
        <v>15996</v>
      </c>
      <c r="WOS1" t="s">
        <v>15997</v>
      </c>
      <c r="WOT1" t="s">
        <v>15998</v>
      </c>
      <c r="WOU1" t="s">
        <v>15999</v>
      </c>
      <c r="WOV1" t="s">
        <v>16000</v>
      </c>
      <c r="WOW1" t="s">
        <v>16001</v>
      </c>
      <c r="WOX1" t="s">
        <v>16002</v>
      </c>
      <c r="WOY1" t="s">
        <v>16003</v>
      </c>
      <c r="WOZ1" t="s">
        <v>16004</v>
      </c>
      <c r="WPA1" t="s">
        <v>16005</v>
      </c>
      <c r="WPB1" t="s">
        <v>16006</v>
      </c>
      <c r="WPC1" t="s">
        <v>16007</v>
      </c>
      <c r="WPD1" t="s">
        <v>16008</v>
      </c>
      <c r="WPE1" t="s">
        <v>16009</v>
      </c>
      <c r="WPF1" t="s">
        <v>16010</v>
      </c>
      <c r="WPG1" t="s">
        <v>16011</v>
      </c>
      <c r="WPH1" t="s">
        <v>16012</v>
      </c>
      <c r="WPI1" t="s">
        <v>16013</v>
      </c>
      <c r="WPJ1" t="s">
        <v>16014</v>
      </c>
      <c r="WPK1" t="s">
        <v>16015</v>
      </c>
      <c r="WPL1" t="s">
        <v>16016</v>
      </c>
      <c r="WPM1" t="s">
        <v>16017</v>
      </c>
      <c r="WPN1" t="s">
        <v>16018</v>
      </c>
      <c r="WPO1" t="s">
        <v>16019</v>
      </c>
      <c r="WPP1" t="s">
        <v>16020</v>
      </c>
      <c r="WPQ1" t="s">
        <v>16021</v>
      </c>
      <c r="WPR1" t="s">
        <v>16022</v>
      </c>
      <c r="WPS1" t="s">
        <v>16023</v>
      </c>
      <c r="WPT1" t="s">
        <v>16024</v>
      </c>
      <c r="WPU1" t="s">
        <v>16025</v>
      </c>
      <c r="WPV1" t="s">
        <v>16026</v>
      </c>
      <c r="WPW1" t="s">
        <v>16027</v>
      </c>
      <c r="WPX1" t="s">
        <v>16028</v>
      </c>
      <c r="WPY1" t="s">
        <v>16029</v>
      </c>
      <c r="WPZ1" t="s">
        <v>16030</v>
      </c>
      <c r="WQA1" t="s">
        <v>16031</v>
      </c>
      <c r="WQB1" t="s">
        <v>16032</v>
      </c>
      <c r="WQC1" t="s">
        <v>16033</v>
      </c>
      <c r="WQD1" t="s">
        <v>16034</v>
      </c>
      <c r="WQE1" t="s">
        <v>16035</v>
      </c>
      <c r="WQF1" t="s">
        <v>16036</v>
      </c>
      <c r="WQG1" t="s">
        <v>16037</v>
      </c>
      <c r="WQH1" t="s">
        <v>16038</v>
      </c>
      <c r="WQI1" t="s">
        <v>16039</v>
      </c>
      <c r="WQJ1" t="s">
        <v>16040</v>
      </c>
      <c r="WQK1" t="s">
        <v>16041</v>
      </c>
      <c r="WQL1" t="s">
        <v>16042</v>
      </c>
      <c r="WQM1" t="s">
        <v>16043</v>
      </c>
      <c r="WQN1" t="s">
        <v>16044</v>
      </c>
      <c r="WQO1" t="s">
        <v>16045</v>
      </c>
      <c r="WQP1" t="s">
        <v>16046</v>
      </c>
      <c r="WQQ1" t="s">
        <v>16047</v>
      </c>
      <c r="WQR1" t="s">
        <v>16048</v>
      </c>
      <c r="WQS1" t="s">
        <v>16049</v>
      </c>
      <c r="WQT1" t="s">
        <v>16050</v>
      </c>
      <c r="WQU1" t="s">
        <v>16051</v>
      </c>
      <c r="WQV1" t="s">
        <v>16052</v>
      </c>
      <c r="WQW1" t="s">
        <v>16053</v>
      </c>
      <c r="WQX1" t="s">
        <v>16054</v>
      </c>
      <c r="WQY1" t="s">
        <v>16055</v>
      </c>
      <c r="WQZ1" t="s">
        <v>16056</v>
      </c>
      <c r="WRA1" t="s">
        <v>16057</v>
      </c>
      <c r="WRB1" t="s">
        <v>16058</v>
      </c>
      <c r="WRC1" t="s">
        <v>16059</v>
      </c>
      <c r="WRD1" t="s">
        <v>16060</v>
      </c>
      <c r="WRE1" t="s">
        <v>16061</v>
      </c>
      <c r="WRF1" t="s">
        <v>16062</v>
      </c>
      <c r="WRG1" t="s">
        <v>16063</v>
      </c>
      <c r="WRH1" t="s">
        <v>16064</v>
      </c>
      <c r="WRI1" t="s">
        <v>16065</v>
      </c>
      <c r="WRJ1" t="s">
        <v>16066</v>
      </c>
      <c r="WRK1" t="s">
        <v>16067</v>
      </c>
      <c r="WRL1" t="s">
        <v>16068</v>
      </c>
      <c r="WRM1" t="s">
        <v>16069</v>
      </c>
      <c r="WRN1" t="s">
        <v>16070</v>
      </c>
      <c r="WRO1" t="s">
        <v>16071</v>
      </c>
      <c r="WRP1" t="s">
        <v>16072</v>
      </c>
      <c r="WRQ1" t="s">
        <v>16073</v>
      </c>
      <c r="WRR1" t="s">
        <v>16074</v>
      </c>
      <c r="WRS1" t="s">
        <v>16075</v>
      </c>
      <c r="WRT1" t="s">
        <v>16076</v>
      </c>
      <c r="WRU1" t="s">
        <v>16077</v>
      </c>
      <c r="WRV1" t="s">
        <v>16078</v>
      </c>
      <c r="WRW1" t="s">
        <v>16079</v>
      </c>
      <c r="WRX1" t="s">
        <v>16080</v>
      </c>
      <c r="WRY1" t="s">
        <v>16081</v>
      </c>
      <c r="WRZ1" t="s">
        <v>16082</v>
      </c>
      <c r="WSA1" t="s">
        <v>16083</v>
      </c>
      <c r="WSB1" t="s">
        <v>16084</v>
      </c>
      <c r="WSC1" t="s">
        <v>16085</v>
      </c>
      <c r="WSD1" t="s">
        <v>16086</v>
      </c>
      <c r="WSE1" t="s">
        <v>16087</v>
      </c>
      <c r="WSF1" t="s">
        <v>16088</v>
      </c>
      <c r="WSG1" t="s">
        <v>16089</v>
      </c>
      <c r="WSH1" t="s">
        <v>16090</v>
      </c>
      <c r="WSI1" t="s">
        <v>16091</v>
      </c>
      <c r="WSJ1" t="s">
        <v>16092</v>
      </c>
      <c r="WSK1" t="s">
        <v>16093</v>
      </c>
      <c r="WSL1" t="s">
        <v>16094</v>
      </c>
      <c r="WSM1" t="s">
        <v>16095</v>
      </c>
      <c r="WSN1" t="s">
        <v>16096</v>
      </c>
      <c r="WSO1" t="s">
        <v>16097</v>
      </c>
      <c r="WSP1" t="s">
        <v>16098</v>
      </c>
      <c r="WSQ1" t="s">
        <v>16099</v>
      </c>
      <c r="WSR1" t="s">
        <v>16100</v>
      </c>
      <c r="WSS1" t="s">
        <v>16101</v>
      </c>
      <c r="WST1" t="s">
        <v>16102</v>
      </c>
      <c r="WSU1" t="s">
        <v>16103</v>
      </c>
      <c r="WSV1" t="s">
        <v>16104</v>
      </c>
      <c r="WSW1" t="s">
        <v>16105</v>
      </c>
      <c r="WSX1" t="s">
        <v>16106</v>
      </c>
      <c r="WSY1" t="s">
        <v>16107</v>
      </c>
      <c r="WSZ1" t="s">
        <v>16108</v>
      </c>
      <c r="WTA1" t="s">
        <v>16109</v>
      </c>
      <c r="WTB1" t="s">
        <v>16110</v>
      </c>
      <c r="WTC1" t="s">
        <v>16111</v>
      </c>
      <c r="WTD1" t="s">
        <v>16112</v>
      </c>
      <c r="WTE1" t="s">
        <v>16113</v>
      </c>
      <c r="WTF1" t="s">
        <v>16114</v>
      </c>
      <c r="WTG1" t="s">
        <v>16115</v>
      </c>
      <c r="WTH1" t="s">
        <v>16116</v>
      </c>
      <c r="WTI1" t="s">
        <v>16117</v>
      </c>
      <c r="WTJ1" t="s">
        <v>16118</v>
      </c>
      <c r="WTK1" t="s">
        <v>16119</v>
      </c>
      <c r="WTL1" t="s">
        <v>16120</v>
      </c>
      <c r="WTM1" t="s">
        <v>16121</v>
      </c>
      <c r="WTN1" t="s">
        <v>16122</v>
      </c>
      <c r="WTO1" t="s">
        <v>16123</v>
      </c>
      <c r="WTP1" t="s">
        <v>16124</v>
      </c>
      <c r="WTQ1" t="s">
        <v>16125</v>
      </c>
      <c r="WTR1" t="s">
        <v>16126</v>
      </c>
      <c r="WTS1" t="s">
        <v>16127</v>
      </c>
      <c r="WTT1" t="s">
        <v>16128</v>
      </c>
      <c r="WTU1" t="s">
        <v>16129</v>
      </c>
      <c r="WTV1" t="s">
        <v>16130</v>
      </c>
      <c r="WTW1" t="s">
        <v>16131</v>
      </c>
      <c r="WTX1" t="s">
        <v>16132</v>
      </c>
      <c r="WTY1" t="s">
        <v>16133</v>
      </c>
      <c r="WTZ1" t="s">
        <v>16134</v>
      </c>
      <c r="WUA1" t="s">
        <v>16135</v>
      </c>
      <c r="WUB1" t="s">
        <v>16136</v>
      </c>
      <c r="WUC1" t="s">
        <v>16137</v>
      </c>
      <c r="WUD1" t="s">
        <v>16138</v>
      </c>
      <c r="WUE1" t="s">
        <v>16139</v>
      </c>
      <c r="WUF1" t="s">
        <v>16140</v>
      </c>
      <c r="WUG1" t="s">
        <v>16141</v>
      </c>
      <c r="WUH1" t="s">
        <v>16142</v>
      </c>
      <c r="WUI1" t="s">
        <v>16143</v>
      </c>
      <c r="WUJ1" t="s">
        <v>16144</v>
      </c>
      <c r="WUK1" t="s">
        <v>16145</v>
      </c>
      <c r="WUL1" t="s">
        <v>16146</v>
      </c>
      <c r="WUM1" t="s">
        <v>16147</v>
      </c>
      <c r="WUN1" t="s">
        <v>16148</v>
      </c>
      <c r="WUO1" t="s">
        <v>16149</v>
      </c>
      <c r="WUP1" t="s">
        <v>16150</v>
      </c>
      <c r="WUQ1" t="s">
        <v>16151</v>
      </c>
      <c r="WUR1" t="s">
        <v>16152</v>
      </c>
      <c r="WUS1" t="s">
        <v>16153</v>
      </c>
      <c r="WUT1" t="s">
        <v>16154</v>
      </c>
      <c r="WUU1" t="s">
        <v>16155</v>
      </c>
      <c r="WUV1" t="s">
        <v>16156</v>
      </c>
      <c r="WUW1" t="s">
        <v>16157</v>
      </c>
      <c r="WUX1" t="s">
        <v>16158</v>
      </c>
      <c r="WUY1" t="s">
        <v>16159</v>
      </c>
      <c r="WUZ1" t="s">
        <v>16160</v>
      </c>
      <c r="WVA1" t="s">
        <v>16161</v>
      </c>
      <c r="WVB1" t="s">
        <v>16162</v>
      </c>
      <c r="WVC1" t="s">
        <v>16163</v>
      </c>
      <c r="WVD1" t="s">
        <v>16164</v>
      </c>
      <c r="WVE1" t="s">
        <v>16165</v>
      </c>
      <c r="WVF1" t="s">
        <v>16166</v>
      </c>
      <c r="WVG1" t="s">
        <v>16167</v>
      </c>
      <c r="WVH1" t="s">
        <v>16168</v>
      </c>
      <c r="WVI1" t="s">
        <v>16169</v>
      </c>
      <c r="WVJ1" t="s">
        <v>16170</v>
      </c>
      <c r="WVK1" t="s">
        <v>16171</v>
      </c>
      <c r="WVL1" t="s">
        <v>16172</v>
      </c>
      <c r="WVM1" t="s">
        <v>16173</v>
      </c>
      <c r="WVN1" t="s">
        <v>16174</v>
      </c>
      <c r="WVO1" t="s">
        <v>16175</v>
      </c>
      <c r="WVP1" t="s">
        <v>16176</v>
      </c>
      <c r="WVQ1" t="s">
        <v>16177</v>
      </c>
      <c r="WVR1" t="s">
        <v>16178</v>
      </c>
      <c r="WVS1" t="s">
        <v>16179</v>
      </c>
      <c r="WVT1" t="s">
        <v>16180</v>
      </c>
      <c r="WVU1" t="s">
        <v>16181</v>
      </c>
      <c r="WVV1" t="s">
        <v>16182</v>
      </c>
      <c r="WVW1" t="s">
        <v>16183</v>
      </c>
      <c r="WVX1" t="s">
        <v>16184</v>
      </c>
      <c r="WVY1" t="s">
        <v>16185</v>
      </c>
      <c r="WVZ1" t="s">
        <v>16186</v>
      </c>
      <c r="WWA1" t="s">
        <v>16187</v>
      </c>
      <c r="WWB1" t="s">
        <v>16188</v>
      </c>
      <c r="WWC1" t="s">
        <v>16189</v>
      </c>
      <c r="WWD1" t="s">
        <v>16190</v>
      </c>
      <c r="WWE1" t="s">
        <v>16191</v>
      </c>
      <c r="WWF1" t="s">
        <v>16192</v>
      </c>
      <c r="WWG1" t="s">
        <v>16193</v>
      </c>
      <c r="WWH1" t="s">
        <v>16194</v>
      </c>
      <c r="WWI1" t="s">
        <v>16195</v>
      </c>
      <c r="WWJ1" t="s">
        <v>16196</v>
      </c>
      <c r="WWK1" t="s">
        <v>16197</v>
      </c>
      <c r="WWL1" t="s">
        <v>16198</v>
      </c>
      <c r="WWM1" t="s">
        <v>16199</v>
      </c>
      <c r="WWN1" t="s">
        <v>16200</v>
      </c>
      <c r="WWO1" t="s">
        <v>16201</v>
      </c>
      <c r="WWP1" t="s">
        <v>16202</v>
      </c>
      <c r="WWQ1" t="s">
        <v>16203</v>
      </c>
      <c r="WWR1" t="s">
        <v>16204</v>
      </c>
      <c r="WWS1" t="s">
        <v>16205</v>
      </c>
      <c r="WWT1" t="s">
        <v>16206</v>
      </c>
      <c r="WWU1" t="s">
        <v>16207</v>
      </c>
      <c r="WWV1" t="s">
        <v>16208</v>
      </c>
      <c r="WWW1" t="s">
        <v>16209</v>
      </c>
      <c r="WWX1" t="s">
        <v>16210</v>
      </c>
      <c r="WWY1" t="s">
        <v>16211</v>
      </c>
      <c r="WWZ1" t="s">
        <v>16212</v>
      </c>
      <c r="WXA1" t="s">
        <v>16213</v>
      </c>
      <c r="WXB1" t="s">
        <v>16214</v>
      </c>
      <c r="WXC1" t="s">
        <v>16215</v>
      </c>
      <c r="WXD1" t="s">
        <v>16216</v>
      </c>
      <c r="WXE1" t="s">
        <v>16217</v>
      </c>
      <c r="WXF1" t="s">
        <v>16218</v>
      </c>
      <c r="WXG1" t="s">
        <v>16219</v>
      </c>
      <c r="WXH1" t="s">
        <v>16220</v>
      </c>
      <c r="WXI1" t="s">
        <v>16221</v>
      </c>
      <c r="WXJ1" t="s">
        <v>16222</v>
      </c>
      <c r="WXK1" t="s">
        <v>16223</v>
      </c>
      <c r="WXL1" t="s">
        <v>16224</v>
      </c>
      <c r="WXM1" t="s">
        <v>16225</v>
      </c>
      <c r="WXN1" t="s">
        <v>16226</v>
      </c>
      <c r="WXO1" t="s">
        <v>16227</v>
      </c>
      <c r="WXP1" t="s">
        <v>16228</v>
      </c>
      <c r="WXQ1" t="s">
        <v>16229</v>
      </c>
      <c r="WXR1" t="s">
        <v>16230</v>
      </c>
      <c r="WXS1" t="s">
        <v>16231</v>
      </c>
      <c r="WXT1" t="s">
        <v>16232</v>
      </c>
      <c r="WXU1" t="s">
        <v>16233</v>
      </c>
      <c r="WXV1" t="s">
        <v>16234</v>
      </c>
      <c r="WXW1" t="s">
        <v>16235</v>
      </c>
      <c r="WXX1" t="s">
        <v>16236</v>
      </c>
      <c r="WXY1" t="s">
        <v>16237</v>
      </c>
      <c r="WXZ1" t="s">
        <v>16238</v>
      </c>
      <c r="WYA1" t="s">
        <v>16239</v>
      </c>
      <c r="WYB1" t="s">
        <v>16240</v>
      </c>
      <c r="WYC1" t="s">
        <v>16241</v>
      </c>
      <c r="WYD1" t="s">
        <v>16242</v>
      </c>
      <c r="WYE1" t="s">
        <v>16243</v>
      </c>
      <c r="WYF1" t="s">
        <v>16244</v>
      </c>
      <c r="WYG1" t="s">
        <v>16245</v>
      </c>
      <c r="WYH1" t="s">
        <v>16246</v>
      </c>
      <c r="WYI1" t="s">
        <v>16247</v>
      </c>
      <c r="WYJ1" t="s">
        <v>16248</v>
      </c>
      <c r="WYK1" t="s">
        <v>16249</v>
      </c>
      <c r="WYL1" t="s">
        <v>16250</v>
      </c>
      <c r="WYM1" t="s">
        <v>16251</v>
      </c>
      <c r="WYN1" t="s">
        <v>16252</v>
      </c>
      <c r="WYO1" t="s">
        <v>16253</v>
      </c>
      <c r="WYP1" t="s">
        <v>16254</v>
      </c>
      <c r="WYQ1" t="s">
        <v>16255</v>
      </c>
      <c r="WYR1" t="s">
        <v>16256</v>
      </c>
      <c r="WYS1" t="s">
        <v>16257</v>
      </c>
      <c r="WYT1" t="s">
        <v>16258</v>
      </c>
      <c r="WYU1" t="s">
        <v>16259</v>
      </c>
      <c r="WYV1" t="s">
        <v>16260</v>
      </c>
      <c r="WYW1" t="s">
        <v>16261</v>
      </c>
      <c r="WYX1" t="s">
        <v>16262</v>
      </c>
      <c r="WYY1" t="s">
        <v>16263</v>
      </c>
      <c r="WYZ1" t="s">
        <v>16264</v>
      </c>
      <c r="WZA1" t="s">
        <v>16265</v>
      </c>
      <c r="WZB1" t="s">
        <v>16266</v>
      </c>
      <c r="WZC1" t="s">
        <v>16267</v>
      </c>
      <c r="WZD1" t="s">
        <v>16268</v>
      </c>
      <c r="WZE1" t="s">
        <v>16269</v>
      </c>
      <c r="WZF1" t="s">
        <v>16270</v>
      </c>
      <c r="WZG1" t="s">
        <v>16271</v>
      </c>
      <c r="WZH1" t="s">
        <v>16272</v>
      </c>
      <c r="WZI1" t="s">
        <v>16273</v>
      </c>
      <c r="WZJ1" t="s">
        <v>16274</v>
      </c>
      <c r="WZK1" t="s">
        <v>16275</v>
      </c>
      <c r="WZL1" t="s">
        <v>16276</v>
      </c>
      <c r="WZM1" t="s">
        <v>16277</v>
      </c>
      <c r="WZN1" t="s">
        <v>16278</v>
      </c>
      <c r="WZO1" t="s">
        <v>16279</v>
      </c>
      <c r="WZP1" t="s">
        <v>16280</v>
      </c>
      <c r="WZQ1" t="s">
        <v>16281</v>
      </c>
      <c r="WZR1" t="s">
        <v>16282</v>
      </c>
      <c r="WZS1" t="s">
        <v>16283</v>
      </c>
      <c r="WZT1" t="s">
        <v>16284</v>
      </c>
      <c r="WZU1" t="s">
        <v>16285</v>
      </c>
      <c r="WZV1" t="s">
        <v>16286</v>
      </c>
      <c r="WZW1" t="s">
        <v>16287</v>
      </c>
      <c r="WZX1" t="s">
        <v>16288</v>
      </c>
      <c r="WZY1" t="s">
        <v>16289</v>
      </c>
      <c r="WZZ1" t="s">
        <v>16290</v>
      </c>
      <c r="XAA1" t="s">
        <v>16291</v>
      </c>
      <c r="XAB1" t="s">
        <v>16292</v>
      </c>
      <c r="XAC1" t="s">
        <v>16293</v>
      </c>
      <c r="XAD1" t="s">
        <v>16294</v>
      </c>
      <c r="XAE1" t="s">
        <v>16295</v>
      </c>
      <c r="XAF1" t="s">
        <v>16296</v>
      </c>
      <c r="XAG1" t="s">
        <v>16297</v>
      </c>
      <c r="XAH1" t="s">
        <v>16298</v>
      </c>
      <c r="XAI1" t="s">
        <v>16299</v>
      </c>
      <c r="XAJ1" t="s">
        <v>16300</v>
      </c>
      <c r="XAK1" t="s">
        <v>16301</v>
      </c>
      <c r="XAL1" t="s">
        <v>16302</v>
      </c>
      <c r="XAM1" t="s">
        <v>16303</v>
      </c>
      <c r="XAN1" t="s">
        <v>16304</v>
      </c>
      <c r="XAO1" t="s">
        <v>16305</v>
      </c>
      <c r="XAP1" t="s">
        <v>16306</v>
      </c>
      <c r="XAQ1" t="s">
        <v>16307</v>
      </c>
      <c r="XAR1" t="s">
        <v>16308</v>
      </c>
      <c r="XAS1" t="s">
        <v>16309</v>
      </c>
      <c r="XAT1" t="s">
        <v>16310</v>
      </c>
      <c r="XAU1" t="s">
        <v>16311</v>
      </c>
      <c r="XAV1" t="s">
        <v>16312</v>
      </c>
      <c r="XAW1" t="s">
        <v>16313</v>
      </c>
      <c r="XAX1" t="s">
        <v>16314</v>
      </c>
      <c r="XAY1" t="s">
        <v>16315</v>
      </c>
      <c r="XAZ1" t="s">
        <v>16316</v>
      </c>
      <c r="XBA1" t="s">
        <v>16317</v>
      </c>
      <c r="XBB1" t="s">
        <v>16318</v>
      </c>
      <c r="XBC1" t="s">
        <v>16319</v>
      </c>
      <c r="XBD1" t="s">
        <v>16320</v>
      </c>
      <c r="XBE1" t="s">
        <v>16321</v>
      </c>
      <c r="XBF1" t="s">
        <v>16322</v>
      </c>
      <c r="XBG1" t="s">
        <v>16323</v>
      </c>
      <c r="XBH1" t="s">
        <v>16324</v>
      </c>
      <c r="XBI1" t="s">
        <v>16325</v>
      </c>
      <c r="XBJ1" t="s">
        <v>16326</v>
      </c>
      <c r="XBK1" t="s">
        <v>16327</v>
      </c>
      <c r="XBL1" t="s">
        <v>16328</v>
      </c>
      <c r="XBM1" t="s">
        <v>16329</v>
      </c>
      <c r="XBN1" t="s">
        <v>16330</v>
      </c>
      <c r="XBO1" t="s">
        <v>16331</v>
      </c>
      <c r="XBP1" t="s">
        <v>16332</v>
      </c>
      <c r="XBQ1" t="s">
        <v>16333</v>
      </c>
      <c r="XBR1" t="s">
        <v>16334</v>
      </c>
      <c r="XBS1" t="s">
        <v>16335</v>
      </c>
      <c r="XBT1" t="s">
        <v>16336</v>
      </c>
      <c r="XBU1" t="s">
        <v>16337</v>
      </c>
      <c r="XBV1" t="s">
        <v>16338</v>
      </c>
      <c r="XBW1" t="s">
        <v>16339</v>
      </c>
      <c r="XBX1" t="s">
        <v>16340</v>
      </c>
      <c r="XBY1" t="s">
        <v>16341</v>
      </c>
      <c r="XBZ1" t="s">
        <v>16342</v>
      </c>
      <c r="XCA1" t="s">
        <v>16343</v>
      </c>
      <c r="XCB1" t="s">
        <v>16344</v>
      </c>
      <c r="XCC1" t="s">
        <v>16345</v>
      </c>
      <c r="XCD1" t="s">
        <v>16346</v>
      </c>
      <c r="XCE1" t="s">
        <v>16347</v>
      </c>
      <c r="XCF1" t="s">
        <v>16348</v>
      </c>
      <c r="XCG1" t="s">
        <v>16349</v>
      </c>
      <c r="XCH1" t="s">
        <v>16350</v>
      </c>
      <c r="XCI1" t="s">
        <v>16351</v>
      </c>
      <c r="XCJ1" t="s">
        <v>16352</v>
      </c>
      <c r="XCK1" t="s">
        <v>16353</v>
      </c>
      <c r="XCL1" t="s">
        <v>16354</v>
      </c>
      <c r="XCM1" t="s">
        <v>16355</v>
      </c>
      <c r="XCN1" t="s">
        <v>16356</v>
      </c>
      <c r="XCO1" t="s">
        <v>16357</v>
      </c>
      <c r="XCP1" t="s">
        <v>16358</v>
      </c>
      <c r="XCQ1" t="s">
        <v>16359</v>
      </c>
      <c r="XCR1" t="s">
        <v>16360</v>
      </c>
      <c r="XCS1" t="s">
        <v>16361</v>
      </c>
      <c r="XCT1" t="s">
        <v>16362</v>
      </c>
      <c r="XCU1" t="s">
        <v>16363</v>
      </c>
      <c r="XCV1" t="s">
        <v>16364</v>
      </c>
      <c r="XCW1" t="s">
        <v>16365</v>
      </c>
      <c r="XCX1" t="s">
        <v>16366</v>
      </c>
      <c r="XCY1" t="s">
        <v>16367</v>
      </c>
      <c r="XCZ1" t="s">
        <v>16368</v>
      </c>
      <c r="XDA1" t="s">
        <v>16369</v>
      </c>
      <c r="XDB1" t="s">
        <v>16370</v>
      </c>
      <c r="XDC1" t="s">
        <v>16371</v>
      </c>
      <c r="XDD1" t="s">
        <v>16372</v>
      </c>
      <c r="XDE1" t="s">
        <v>16373</v>
      </c>
      <c r="XDF1" t="s">
        <v>16374</v>
      </c>
      <c r="XDG1" t="s">
        <v>16375</v>
      </c>
      <c r="XDH1" t="s">
        <v>16376</v>
      </c>
      <c r="XDI1" t="s">
        <v>16377</v>
      </c>
      <c r="XDJ1" t="s">
        <v>16378</v>
      </c>
      <c r="XDK1" t="s">
        <v>16379</v>
      </c>
      <c r="XDL1" t="s">
        <v>16380</v>
      </c>
      <c r="XDM1" t="s">
        <v>16381</v>
      </c>
      <c r="XDN1" t="s">
        <v>16382</v>
      </c>
      <c r="XDO1" t="s">
        <v>16383</v>
      </c>
      <c r="XDP1" t="s">
        <v>16384</v>
      </c>
      <c r="XDQ1" t="s">
        <v>16385</v>
      </c>
      <c r="XDR1" t="s">
        <v>16386</v>
      </c>
      <c r="XDS1" t="s">
        <v>16387</v>
      </c>
      <c r="XDT1" t="s">
        <v>16388</v>
      </c>
      <c r="XDU1" t="s">
        <v>16389</v>
      </c>
      <c r="XDV1" t="s">
        <v>16390</v>
      </c>
      <c r="XDW1" t="s">
        <v>16391</v>
      </c>
      <c r="XDX1" t="s">
        <v>16392</v>
      </c>
      <c r="XDY1" t="s">
        <v>16393</v>
      </c>
      <c r="XDZ1" t="s">
        <v>16394</v>
      </c>
      <c r="XEA1" t="s">
        <v>16395</v>
      </c>
      <c r="XEB1" t="s">
        <v>16396</v>
      </c>
      <c r="XEC1" t="s">
        <v>16397</v>
      </c>
      <c r="XED1" t="s">
        <v>16398</v>
      </c>
      <c r="XEE1" t="s">
        <v>16399</v>
      </c>
      <c r="XEF1" t="s">
        <v>16400</v>
      </c>
      <c r="XEG1" t="s">
        <v>16401</v>
      </c>
      <c r="XEH1" t="s">
        <v>16402</v>
      </c>
      <c r="XEI1" t="s">
        <v>16403</v>
      </c>
      <c r="XEJ1" t="s">
        <v>16404</v>
      </c>
      <c r="XEK1" t="s">
        <v>16405</v>
      </c>
      <c r="XEL1" t="s">
        <v>16406</v>
      </c>
      <c r="XEM1" t="s">
        <v>16407</v>
      </c>
      <c r="XEN1" t="s">
        <v>16408</v>
      </c>
      <c r="XEO1" t="s">
        <v>16409</v>
      </c>
      <c r="XEP1" t="s">
        <v>16410</v>
      </c>
      <c r="XEQ1" t="s">
        <v>16411</v>
      </c>
      <c r="XER1" t="s">
        <v>16412</v>
      </c>
      <c r="XES1" t="s">
        <v>16413</v>
      </c>
      <c r="XET1" t="s">
        <v>16414</v>
      </c>
      <c r="XEU1" t="s">
        <v>16415</v>
      </c>
      <c r="XEV1" t="s">
        <v>16416</v>
      </c>
      <c r="XEW1" t="s">
        <v>16417</v>
      </c>
      <c r="XEX1" t="s">
        <v>16418</v>
      </c>
      <c r="XEY1" t="s">
        <v>16419</v>
      </c>
      <c r="XEZ1" t="s">
        <v>16420</v>
      </c>
      <c r="XFA1" t="s">
        <v>16421</v>
      </c>
      <c r="XFB1" t="s">
        <v>16422</v>
      </c>
      <c r="XFC1" t="s">
        <v>16423</v>
      </c>
      <c r="XFD1" t="s">
        <v>16424</v>
      </c>
    </row>
    <row r="2" spans="1:16384">
      <c r="A2" t="str">
        <f t="shared" ref="A2:A11" si="0">"P"&amp;TEXT(ROW()-1,"0000")</f>
        <v>P0001</v>
      </c>
      <c r="B2" t="s">
        <v>32</v>
      </c>
      <c r="C2" t="s">
        <v>41</v>
      </c>
      <c r="D2" s="4">
        <v>200</v>
      </c>
      <c r="E2" s="5">
        <f t="shared" ref="E2:E10" ca="1" si="1">D2*RANDBETWEEN(50,80)/100</f>
        <v>118</v>
      </c>
    </row>
    <row r="3" spans="1:16384">
      <c r="A3" t="str">
        <f t="shared" si="0"/>
        <v>P0002</v>
      </c>
      <c r="B3" t="s">
        <v>35</v>
      </c>
      <c r="C3" t="s">
        <v>42</v>
      </c>
      <c r="D3" s="4">
        <v>234</v>
      </c>
      <c r="E3" s="5">
        <f t="shared" ca="1" si="1"/>
        <v>133.38</v>
      </c>
    </row>
    <row r="4" spans="1:16384">
      <c r="A4" t="str">
        <f t="shared" si="0"/>
        <v>P0003</v>
      </c>
      <c r="B4" t="s">
        <v>36</v>
      </c>
      <c r="C4" t="s">
        <v>44</v>
      </c>
      <c r="D4" s="4">
        <v>235</v>
      </c>
      <c r="E4" s="5">
        <f t="shared" ca="1" si="1"/>
        <v>117.5</v>
      </c>
    </row>
    <row r="5" spans="1:16384">
      <c r="A5" t="str">
        <f t="shared" si="0"/>
        <v>P0004</v>
      </c>
      <c r="B5" t="s">
        <v>33</v>
      </c>
      <c r="C5" t="s">
        <v>42</v>
      </c>
      <c r="D5" s="4">
        <v>344</v>
      </c>
      <c r="E5" s="5">
        <f t="shared" ca="1" si="1"/>
        <v>213.28</v>
      </c>
    </row>
    <row r="6" spans="1:16384">
      <c r="A6" t="str">
        <f t="shared" si="0"/>
        <v>P0005</v>
      </c>
      <c r="B6" t="s">
        <v>37</v>
      </c>
      <c r="C6" t="s">
        <v>45</v>
      </c>
      <c r="D6" s="4">
        <v>567</v>
      </c>
      <c r="E6" s="5">
        <f t="shared" ca="1" si="1"/>
        <v>340.2</v>
      </c>
    </row>
    <row r="7" spans="1:16384">
      <c r="A7" t="str">
        <f t="shared" si="0"/>
        <v>P0006</v>
      </c>
      <c r="B7" t="s">
        <v>39</v>
      </c>
      <c r="C7" t="s">
        <v>43</v>
      </c>
      <c r="D7" s="4">
        <v>567</v>
      </c>
      <c r="E7" s="5">
        <f t="shared" ca="1" si="1"/>
        <v>294.83999999999997</v>
      </c>
    </row>
    <row r="8" spans="1:16384">
      <c r="A8" t="str">
        <f t="shared" si="0"/>
        <v>P0007</v>
      </c>
      <c r="B8" t="s">
        <v>40</v>
      </c>
      <c r="C8" t="s">
        <v>42</v>
      </c>
      <c r="D8" s="4">
        <v>789</v>
      </c>
      <c r="E8" s="5">
        <f t="shared" ca="1" si="1"/>
        <v>504.96</v>
      </c>
    </row>
    <row r="9" spans="1:16384">
      <c r="A9" t="str">
        <f t="shared" si="0"/>
        <v>P0008</v>
      </c>
      <c r="B9" t="s">
        <v>38</v>
      </c>
      <c r="C9" t="s">
        <v>42</v>
      </c>
      <c r="D9" s="4">
        <v>890</v>
      </c>
      <c r="E9" s="5">
        <f t="shared" ca="1" si="1"/>
        <v>471.7</v>
      </c>
    </row>
    <row r="10" spans="1:16384">
      <c r="A10" t="str">
        <f t="shared" si="0"/>
        <v>P0009</v>
      </c>
      <c r="B10" t="s">
        <v>34</v>
      </c>
      <c r="C10" t="s">
        <v>44</v>
      </c>
      <c r="D10" s="4">
        <v>1200</v>
      </c>
      <c r="E10" s="5">
        <f t="shared" ca="1" si="1"/>
        <v>840</v>
      </c>
    </row>
    <row r="11" spans="1:16384">
      <c r="A11" t="str">
        <f t="shared" si="0"/>
        <v>P0010</v>
      </c>
      <c r="B11" t="s">
        <v>33</v>
      </c>
      <c r="C11" t="s">
        <v>43</v>
      </c>
      <c r="D11" s="4">
        <v>1233</v>
      </c>
      <c r="E11" s="5">
        <f ca="1">D11*RANDBETWEEN(50,80)/100</f>
        <v>702.81</v>
      </c>
    </row>
    <row r="13" spans="1:16384">
      <c r="D13" s="6">
        <f>SUM(D2:D11)</f>
        <v>6259</v>
      </c>
    </row>
    <row r="15" spans="1:16384">
      <c r="D15" t="b">
        <f>ISNUMBER(D2)</f>
        <v>1</v>
      </c>
      <c r="E15" t="b">
        <f ca="1">ISNUMBER(E2)</f>
        <v>1</v>
      </c>
    </row>
  </sheetData>
  <dataValidations count="2">
    <dataValidation type="list" allowBlank="1" showInputMessage="1" showErrorMessage="1" sqref="C2:C11" xr:uid="{B7BDF7B5-F4D9-4FA3-B721-CBE45BAF11F2}">
      <formula1>"Electronics,Home,Clothing,Sports,Accessories"</formula1>
    </dataValidation>
    <dataValidation type="decimal" operator="greaterThan" allowBlank="1" showInputMessage="1" showErrorMessage="1" sqref="D2" xr:uid="{FF5D366E-8BA7-4641-B82D-6F0ECF7564AB}">
      <formula1>0</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9EA2-2E56-4DBD-93F6-71928F734F32}">
  <dimension ref="A1:D10"/>
  <sheetViews>
    <sheetView workbookViewId="0">
      <selection activeCell="B6" sqref="B6"/>
    </sheetView>
  </sheetViews>
  <sheetFormatPr defaultRowHeight="14.4"/>
  <cols>
    <col min="1" max="1" width="10" customWidth="1"/>
    <col min="2" max="2" width="13.33203125" customWidth="1"/>
    <col min="3" max="3" width="13.77734375" bestFit="1" customWidth="1"/>
  </cols>
  <sheetData>
    <row r="1" spans="1:4">
      <c r="A1" t="s">
        <v>16425</v>
      </c>
      <c r="B1" t="s">
        <v>0</v>
      </c>
      <c r="C1" s="18" t="s">
        <v>16426</v>
      </c>
      <c r="D1" t="s">
        <v>16427</v>
      </c>
    </row>
    <row r="2" spans="1:4">
      <c r="A2" t="str">
        <f>"O"&amp;TEXT(ROW()-1,"00000")</f>
        <v>O00001</v>
      </c>
      <c r="B2" t="str">
        <f ca="1">"C"&amp;TEXT(RANDBETWEEN(1,10),"0000")</f>
        <v>C0007</v>
      </c>
      <c r="C2" s="19">
        <f ca="1">RANDBETWEEN(DATE(2025,1,1),DATE(2025,12,31))</f>
        <v>45746</v>
      </c>
      <c r="D2" t="s">
        <v>16428</v>
      </c>
    </row>
    <row r="3" spans="1:4">
      <c r="A3" t="str">
        <f t="shared" ref="A3:A10" si="0">"O"&amp;TEXT(ROW()-1,"00000")</f>
        <v>O00002</v>
      </c>
      <c r="B3" t="str">
        <f t="shared" ref="B3:B10" ca="1" si="1">"C"&amp;TEXT(RANDBETWEEN(1,10),"0000")</f>
        <v>C0001</v>
      </c>
      <c r="C3" s="19">
        <f t="shared" ref="C3:C10" ca="1" si="2">RANDBETWEEN(DATE(2025,1,1),DATE(2025,12,31))</f>
        <v>45901</v>
      </c>
      <c r="D3" t="s">
        <v>16429</v>
      </c>
    </row>
    <row r="4" spans="1:4">
      <c r="A4" t="str">
        <f t="shared" si="0"/>
        <v>O00003</v>
      </c>
      <c r="B4" t="str">
        <f t="shared" ca="1" si="1"/>
        <v>C0009</v>
      </c>
      <c r="C4" s="19">
        <f t="shared" ca="1" si="2"/>
        <v>45731</v>
      </c>
      <c r="D4" t="s">
        <v>16430</v>
      </c>
    </row>
    <row r="5" spans="1:4">
      <c r="A5" t="str">
        <f t="shared" si="0"/>
        <v>O00004</v>
      </c>
      <c r="B5" t="str">
        <f t="shared" ca="1" si="1"/>
        <v>C0002</v>
      </c>
      <c r="C5" s="19">
        <f t="shared" ca="1" si="2"/>
        <v>46019</v>
      </c>
      <c r="D5" t="s">
        <v>16428</v>
      </c>
    </row>
    <row r="6" spans="1:4">
      <c r="A6" t="str">
        <f t="shared" si="0"/>
        <v>O00005</v>
      </c>
      <c r="B6" t="str">
        <f t="shared" ca="1" si="1"/>
        <v>C0009</v>
      </c>
      <c r="C6" s="19">
        <f t="shared" ca="1" si="2"/>
        <v>45676</v>
      </c>
      <c r="D6" t="s">
        <v>16431</v>
      </c>
    </row>
    <row r="7" spans="1:4">
      <c r="A7" t="str">
        <f t="shared" si="0"/>
        <v>O00006</v>
      </c>
      <c r="B7" t="str">
        <f t="shared" ca="1" si="1"/>
        <v>C0003</v>
      </c>
      <c r="C7" s="19">
        <f t="shared" ca="1" si="2"/>
        <v>45980</v>
      </c>
      <c r="D7" t="s">
        <v>16429</v>
      </c>
    </row>
    <row r="8" spans="1:4">
      <c r="A8" t="str">
        <f t="shared" si="0"/>
        <v>O00007</v>
      </c>
      <c r="B8" t="str">
        <f t="shared" ca="1" si="1"/>
        <v>C0010</v>
      </c>
      <c r="C8" s="19">
        <f t="shared" ca="1" si="2"/>
        <v>45728</v>
      </c>
      <c r="D8" t="s">
        <v>16428</v>
      </c>
    </row>
    <row r="9" spans="1:4">
      <c r="A9" t="str">
        <f t="shared" si="0"/>
        <v>O00008</v>
      </c>
      <c r="B9" t="str">
        <f t="shared" ca="1" si="1"/>
        <v>C0002</v>
      </c>
      <c r="C9" s="19">
        <f t="shared" ca="1" si="2"/>
        <v>45721</v>
      </c>
      <c r="D9" t="s">
        <v>16431</v>
      </c>
    </row>
    <row r="10" spans="1:4">
      <c r="A10" t="str">
        <f t="shared" si="0"/>
        <v>O00009</v>
      </c>
      <c r="B10" t="str">
        <f t="shared" ca="1" si="1"/>
        <v>C0004</v>
      </c>
      <c r="C10" s="19">
        <f t="shared" ca="1" si="2"/>
        <v>45733</v>
      </c>
      <c r="D10" t="s">
        <v>16431</v>
      </c>
    </row>
  </sheetData>
  <dataValidations count="1">
    <dataValidation type="list" allowBlank="1" showInputMessage="1" showErrorMessage="1" sqref="D2:D10" xr:uid="{8F265EF2-D711-4C21-A182-F2599CDCADCA}">
      <formula1>"Completed,Cancelled,Pending,Returned"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749F-1F32-46C2-9106-16CC0DB41814}">
  <dimension ref="A3:B5"/>
  <sheetViews>
    <sheetView workbookViewId="0">
      <selection activeCell="G7" sqref="G7"/>
    </sheetView>
  </sheetViews>
  <sheetFormatPr defaultRowHeight="14.4"/>
  <cols>
    <col min="1" max="1" width="12.5546875" bestFit="1" customWidth="1"/>
    <col min="2" max="2" width="14.44140625" bestFit="1" customWidth="1"/>
  </cols>
  <sheetData>
    <row r="3" spans="1:2">
      <c r="A3" s="7" t="s">
        <v>16438</v>
      </c>
      <c r="B3" t="s">
        <v>16444</v>
      </c>
    </row>
    <row r="4" spans="1:2">
      <c r="A4" s="8" t="s">
        <v>16445</v>
      </c>
      <c r="B4">
        <v>570</v>
      </c>
    </row>
    <row r="5" spans="1:2">
      <c r="A5" s="8" t="s">
        <v>16443</v>
      </c>
      <c r="B5">
        <v>570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5309-66F4-45BE-9DA5-4F5AAC5384A0}">
  <dimension ref="A3:B10"/>
  <sheetViews>
    <sheetView workbookViewId="0">
      <selection activeCell="A3" sqref="A3"/>
    </sheetView>
  </sheetViews>
  <sheetFormatPr defaultRowHeight="14.4"/>
  <cols>
    <col min="1" max="1" width="12.5546875" bestFit="1" customWidth="1"/>
    <col min="2" max="2" width="14.44140625" bestFit="1" customWidth="1"/>
  </cols>
  <sheetData>
    <row r="3" spans="1:2">
      <c r="A3" s="7" t="s">
        <v>16438</v>
      </c>
      <c r="B3" t="s">
        <v>16444</v>
      </c>
    </row>
    <row r="4" spans="1:2">
      <c r="A4" s="8" t="s">
        <v>16445</v>
      </c>
      <c r="B4">
        <v>570</v>
      </c>
    </row>
    <row r="5" spans="1:2">
      <c r="A5" s="8" t="s">
        <v>16439</v>
      </c>
      <c r="B5">
        <v>460.59999999999997</v>
      </c>
    </row>
    <row r="6" spans="1:2">
      <c r="A6" s="8" t="s">
        <v>16440</v>
      </c>
      <c r="B6">
        <v>3071.92</v>
      </c>
    </row>
    <row r="7" spans="1:2">
      <c r="A7" s="8" t="s">
        <v>16441</v>
      </c>
      <c r="B7">
        <v>555.66</v>
      </c>
    </row>
    <row r="8" spans="1:2">
      <c r="A8" s="8" t="s">
        <v>16442</v>
      </c>
      <c r="B8">
        <v>2041.1999999999998</v>
      </c>
    </row>
    <row r="9" spans="1:2">
      <c r="A9" s="8" t="s">
        <v>16446</v>
      </c>
      <c r="B9">
        <v>2367</v>
      </c>
    </row>
    <row r="10" spans="1:2">
      <c r="A10" s="8" t="s">
        <v>16443</v>
      </c>
      <c r="B10">
        <v>9066.380000000001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E889-6499-4E30-B590-AED013BB01C4}">
  <dimension ref="A3:B10"/>
  <sheetViews>
    <sheetView workbookViewId="0">
      <selection activeCell="A3" sqref="A3"/>
    </sheetView>
  </sheetViews>
  <sheetFormatPr defaultRowHeight="14.4"/>
  <cols>
    <col min="1" max="1" width="12.5546875" bestFit="1" customWidth="1"/>
    <col min="2" max="2" width="14.44140625" bestFit="1" customWidth="1"/>
  </cols>
  <sheetData>
    <row r="3" spans="1:2">
      <c r="A3" s="7" t="s">
        <v>16438</v>
      </c>
      <c r="B3" t="s">
        <v>16444</v>
      </c>
    </row>
    <row r="4" spans="1:2">
      <c r="A4" s="8" t="s">
        <v>16445</v>
      </c>
      <c r="B4">
        <v>570</v>
      </c>
    </row>
    <row r="5" spans="1:2">
      <c r="A5" s="8" t="s">
        <v>16439</v>
      </c>
      <c r="B5">
        <v>460.59999999999997</v>
      </c>
    </row>
    <row r="6" spans="1:2">
      <c r="A6" s="8" t="s">
        <v>16440</v>
      </c>
      <c r="B6">
        <v>3071.92</v>
      </c>
    </row>
    <row r="7" spans="1:2">
      <c r="A7" s="8" t="s">
        <v>16441</v>
      </c>
      <c r="B7">
        <v>555.66</v>
      </c>
    </row>
    <row r="8" spans="1:2">
      <c r="A8" s="8" t="s">
        <v>16442</v>
      </c>
      <c r="B8">
        <v>2041.1999999999998</v>
      </c>
    </row>
    <row r="9" spans="1:2">
      <c r="A9" s="8" t="s">
        <v>16446</v>
      </c>
      <c r="B9">
        <v>2367</v>
      </c>
    </row>
    <row r="10" spans="1:2">
      <c r="A10" s="8" t="s">
        <v>16443</v>
      </c>
      <c r="B10">
        <v>9066.380000000001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A075-5872-4630-B324-C02FF4F49FE0}">
  <dimension ref="A1:D11"/>
  <sheetViews>
    <sheetView workbookViewId="0">
      <selection activeCell="A18" sqref="A18"/>
    </sheetView>
  </sheetViews>
  <sheetFormatPr defaultRowHeight="14.4"/>
  <sheetData>
    <row r="1" spans="1:4">
      <c r="A1" s="1" t="s">
        <v>27</v>
      </c>
      <c r="B1" s="1" t="s">
        <v>28</v>
      </c>
      <c r="C1" s="1" t="s">
        <v>16449</v>
      </c>
      <c r="D1" s="1" t="s">
        <v>16450</v>
      </c>
    </row>
    <row r="2" spans="1:4">
      <c r="A2" t="s">
        <v>16445</v>
      </c>
      <c r="B2" t="str">
        <f>_xlfn.XLOOKUP(A2,Products!A:A,Products!B:B,"Not Found")</f>
        <v>Wireless Mouse</v>
      </c>
      <c r="C2">
        <f ca="1">SUMIF(Order_Items!B:B,A2,Order_Items!G:G)</f>
        <v>498</v>
      </c>
      <c r="D2">
        <f ca="1">SUMIF(Order_Items!B:B,A2,Order_Items!J:J)</f>
        <v>144</v>
      </c>
    </row>
    <row r="3" spans="1:4">
      <c r="A3" t="s">
        <v>16451</v>
      </c>
      <c r="B3" t="str">
        <f>_xlfn.XLOOKUP(A3,Products!A:A,Products!B:B,"Not Found")</f>
        <v>Webcam</v>
      </c>
      <c r="C3">
        <f ca="1">SUMIF(Order_Items!B:B,A3,Order_Items!G:G)</f>
        <v>0</v>
      </c>
      <c r="D3">
        <f ca="1">SUMIF(Order_Items!B:B,A3,Order_Items!J:J)</f>
        <v>0</v>
      </c>
    </row>
    <row r="4" spans="1:4">
      <c r="A4" t="s">
        <v>16439</v>
      </c>
      <c r="B4" t="str">
        <f>_xlfn.XLOOKUP(A4,Products!A:A,Products!B:B,"Not Found")</f>
        <v>Laptop Stand</v>
      </c>
      <c r="C4">
        <f ca="1">SUMIF(Order_Items!B:B,A4,Order_Items!G:G)</f>
        <v>0</v>
      </c>
      <c r="D4">
        <f ca="1">SUMIF(Order_Items!B:B,A4,Order_Items!J:J)</f>
        <v>0</v>
      </c>
    </row>
    <row r="5" spans="1:4">
      <c r="A5" t="s">
        <v>16440</v>
      </c>
      <c r="B5" t="str">
        <f>_xlfn.XLOOKUP(A5,Products!A:A,Products!B:B,"Not Found")</f>
        <v>Keyboard</v>
      </c>
      <c r="C5">
        <f ca="1">SUMIF(Order_Items!B:B,A5,Order_Items!G:G)</f>
        <v>1692.48</v>
      </c>
      <c r="D5">
        <f ca="1">SUMIF(Order_Items!B:B,A5,Order_Items!J:J)</f>
        <v>412.7999999999999</v>
      </c>
    </row>
    <row r="6" spans="1:4">
      <c r="A6" t="s">
        <v>16441</v>
      </c>
      <c r="B6" t="str">
        <f>_xlfn.XLOOKUP(A6,Products!A:A,Products!B:B,"Not Found")</f>
        <v>Backpack</v>
      </c>
      <c r="C6">
        <f ca="1">SUMIF(Order_Items!B:B,A6,Order_Items!G:G)</f>
        <v>6265.35</v>
      </c>
      <c r="D6">
        <f ca="1">SUMIF(Order_Items!B:B,A6,Order_Items!J:J)</f>
        <v>2182.9500000000007</v>
      </c>
    </row>
    <row r="7" spans="1:4">
      <c r="A7" t="s">
        <v>16442</v>
      </c>
      <c r="B7" t="str">
        <f>_xlfn.XLOOKUP(A7,Products!A:A,Products!B:B,"Not Found")</f>
        <v>Running Shoes</v>
      </c>
      <c r="C7">
        <f ca="1">SUMIF(Order_Items!B:B,A7,Order_Items!G:G)</f>
        <v>453.6</v>
      </c>
      <c r="D7">
        <f ca="1">SUMIF(Order_Items!B:B,A7,Order_Items!J:J)</f>
        <v>158.76000000000005</v>
      </c>
    </row>
    <row r="8" spans="1:4">
      <c r="A8" t="s">
        <v>16446</v>
      </c>
      <c r="B8" t="str">
        <f>_xlfn.XLOOKUP(A8,Products!A:A,Products!B:B,"Not Found")</f>
        <v>Desk Lamp</v>
      </c>
      <c r="C8">
        <f ca="1">SUMIF(Order_Items!B:B,A8,Order_Items!G:G)</f>
        <v>2248.65</v>
      </c>
      <c r="D8">
        <f ca="1">SUMIF(Order_Items!B:B,A8,Order_Items!J:J)</f>
        <v>733.77000000000021</v>
      </c>
    </row>
    <row r="9" spans="1:4">
      <c r="A9" t="s">
        <v>16452</v>
      </c>
      <c r="B9" t="str">
        <f>_xlfn.XLOOKUP(A9,Products!A:A,Products!B:B,"Not Found")</f>
        <v>Water Bottle</v>
      </c>
      <c r="C9">
        <f ca="1">SUMIF(Order_Items!B:B,A9,Order_Items!G:G)</f>
        <v>2919.2000000000003</v>
      </c>
      <c r="D9">
        <f ca="1">SUMIF(Order_Items!B:B,A9,Order_Items!J:J)</f>
        <v>1032.4000000000003</v>
      </c>
    </row>
    <row r="10" spans="1:4">
      <c r="A10" t="s">
        <v>16453</v>
      </c>
      <c r="B10" t="str">
        <f>_xlfn.XLOOKUP(A10,Products!A:A,Products!B:B,"Not Found")</f>
        <v>Headphones</v>
      </c>
      <c r="C10">
        <f ca="1">SUMIF(Order_Items!B:B,A10,Order_Items!G:G)</f>
        <v>0</v>
      </c>
      <c r="D10">
        <f ca="1">SUMIF(Order_Items!B:B,A10,Order_Items!J:J)</f>
        <v>0</v>
      </c>
    </row>
    <row r="11" spans="1:4">
      <c r="A11" t="s">
        <v>16454</v>
      </c>
      <c r="B11" t="str">
        <f>_xlfn.XLOOKUP(A11,Products!A:A,Products!B:B,"Not Found")</f>
        <v>Keyboard</v>
      </c>
      <c r="C11">
        <f ca="1">SUMIF(Order_Items!B:B,A11,Order_Items!G:G)</f>
        <v>7188.3899999999994</v>
      </c>
      <c r="D11">
        <f ca="1">SUMIF(Order_Items!B:B,A11,Order_Items!J:J)</f>
        <v>2971.5299999999997</v>
      </c>
    </row>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98C4-E479-42F1-8BDF-C0D4F411E1DA}">
  <dimension ref="A3:C20"/>
  <sheetViews>
    <sheetView topLeftCell="A7" workbookViewId="0">
      <selection activeCell="F10" sqref="F10"/>
    </sheetView>
  </sheetViews>
  <sheetFormatPr defaultRowHeight="14.4"/>
  <sheetData>
    <row r="3" spans="1:3">
      <c r="A3" s="9"/>
      <c r="B3" s="10"/>
      <c r="C3" s="11"/>
    </row>
    <row r="4" spans="1:3">
      <c r="A4" s="12"/>
      <c r="B4" s="13"/>
      <c r="C4" s="14"/>
    </row>
    <row r="5" spans="1:3">
      <c r="A5" s="12"/>
      <c r="B5" s="13"/>
      <c r="C5" s="14"/>
    </row>
    <row r="6" spans="1:3">
      <c r="A6" s="12"/>
      <c r="B6" s="13"/>
      <c r="C6" s="14"/>
    </row>
    <row r="7" spans="1:3">
      <c r="A7" s="12"/>
      <c r="B7" s="13"/>
      <c r="C7" s="14"/>
    </row>
    <row r="8" spans="1:3">
      <c r="A8" s="12"/>
      <c r="B8" s="13"/>
      <c r="C8" s="14"/>
    </row>
    <row r="9" spans="1:3">
      <c r="A9" s="12"/>
      <c r="B9" s="13"/>
      <c r="C9" s="14"/>
    </row>
    <row r="10" spans="1:3">
      <c r="A10" s="12"/>
      <c r="B10" s="13"/>
      <c r="C10" s="14"/>
    </row>
    <row r="11" spans="1:3">
      <c r="A11" s="12"/>
      <c r="B11" s="13"/>
      <c r="C11" s="14"/>
    </row>
    <row r="12" spans="1:3">
      <c r="A12" s="12"/>
      <c r="B12" s="13"/>
      <c r="C12" s="14"/>
    </row>
    <row r="13" spans="1:3">
      <c r="A13" s="12"/>
      <c r="B13" s="13"/>
      <c r="C13" s="14"/>
    </row>
    <row r="14" spans="1:3">
      <c r="A14" s="12"/>
      <c r="B14" s="13"/>
      <c r="C14" s="14"/>
    </row>
    <row r="15" spans="1:3">
      <c r="A15" s="12"/>
      <c r="B15" s="13"/>
      <c r="C15" s="14"/>
    </row>
    <row r="16" spans="1:3">
      <c r="A16" s="12"/>
      <c r="B16" s="13"/>
      <c r="C16" s="14"/>
    </row>
    <row r="17" spans="1:3">
      <c r="A17" s="12"/>
      <c r="B17" s="13"/>
      <c r="C17" s="14"/>
    </row>
    <row r="18" spans="1:3">
      <c r="A18" s="12"/>
      <c r="B18" s="13"/>
      <c r="C18" s="14"/>
    </row>
    <row r="19" spans="1:3">
      <c r="A19" s="12"/>
      <c r="B19" s="13"/>
      <c r="C19" s="14"/>
    </row>
    <row r="20" spans="1:3">
      <c r="A20" s="15"/>
      <c r="B20" s="16"/>
      <c r="C20"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79AA-BB9F-40F9-941E-237E8532BBED}">
  <dimension ref="A1:J18"/>
  <sheetViews>
    <sheetView tabSelected="1" workbookViewId="0">
      <selection sqref="A1:J12"/>
    </sheetView>
  </sheetViews>
  <sheetFormatPr defaultRowHeight="14.4"/>
  <cols>
    <col min="1" max="1" width="10" customWidth="1"/>
    <col min="2" max="2" width="12.44140625" bestFit="1" customWidth="1"/>
    <col min="3" max="3" width="22.109375" customWidth="1"/>
    <col min="4" max="4" width="13.77734375" customWidth="1"/>
    <col min="5" max="5" width="10.109375" customWidth="1"/>
    <col min="6" max="6" width="9.77734375" customWidth="1"/>
  </cols>
  <sheetData>
    <row r="1" spans="1:10">
      <c r="A1" s="1" t="s">
        <v>16425</v>
      </c>
      <c r="B1" s="1" t="s">
        <v>27</v>
      </c>
      <c r="C1" t="s">
        <v>28</v>
      </c>
      <c r="D1" s="1" t="s">
        <v>16432</v>
      </c>
      <c r="E1" s="1" t="s">
        <v>16433</v>
      </c>
      <c r="F1" s="1" t="s">
        <v>16434</v>
      </c>
      <c r="G1" s="1" t="s">
        <v>16435</v>
      </c>
      <c r="H1" s="1" t="s">
        <v>29</v>
      </c>
      <c r="I1" s="1" t="s">
        <v>16448</v>
      </c>
      <c r="J1" s="1" t="s">
        <v>16447</v>
      </c>
    </row>
    <row r="2" spans="1:10">
      <c r="A2" t="str">
        <f ca="1">"O"&amp;TEXT(RANDBETWEEN(1,20),"00000")</f>
        <v>O00020</v>
      </c>
      <c r="B2" t="str">
        <f ca="1">"P"&amp;TEXT(RANDBETWEEN(1,10),"0000")</f>
        <v>P0006</v>
      </c>
      <c r="C2" t="str">
        <f ca="1">_xlfn.XLOOKUP(B2,Products!A:A,Products!B:B,"Not Found")</f>
        <v>Running Shoes</v>
      </c>
      <c r="D2">
        <f ca="1">RANDBETWEEN(1,5)</f>
        <v>1</v>
      </c>
      <c r="E2">
        <f ca="1">_xlfn.XLOOKUP(B2,ProductsTable[product_id],ProductsTable[price])</f>
        <v>567</v>
      </c>
      <c r="F2" s="20">
        <f ca="1">RANDBETWEEN(0,20)/100</f>
        <v>0.2</v>
      </c>
      <c r="G2">
        <f t="shared" ref="G2:G12" ca="1" si="0">D2*E2*(1-F2)</f>
        <v>453.6</v>
      </c>
      <c r="H2" t="str">
        <f ca="1">_xlfn.XLOOKUP(B2,Products!A:A,Products!C:C,"Not Found")</f>
        <v>Clothing</v>
      </c>
      <c r="I2">
        <f ca="1">_xlfn.XLOOKUP(B2,Products!A:A,Products!E:E,"Not Found")</f>
        <v>294.83999999999997</v>
      </c>
      <c r="J2">
        <f t="shared" ref="J2:J12" ca="1" si="1">G2-(D2*I2)</f>
        <v>158.76000000000005</v>
      </c>
    </row>
    <row r="3" spans="1:10">
      <c r="A3" t="str">
        <f t="shared" ref="A3:A12" ca="1" si="2">"O"&amp;TEXT(RANDBETWEEN(1,20),"00000")</f>
        <v>O00007</v>
      </c>
      <c r="B3" t="str">
        <f t="shared" ref="B3:B11" ca="1" si="3">"P"&amp;TEXT(RANDBETWEEN(1,10),"0000")</f>
        <v>P0010</v>
      </c>
      <c r="C3" t="str">
        <f ca="1">_xlfn.XLOOKUP(B3,Products!A:A,Products!B:B,"Not Found")</f>
        <v>Keyboard</v>
      </c>
      <c r="D3">
        <f t="shared" ref="D3:D12" ca="1" si="4">RANDBETWEEN(1,5)</f>
        <v>5</v>
      </c>
      <c r="E3">
        <f ca="1">_xlfn.XLOOKUP(B3,ProductsTable[product_id],ProductsTable[price])</f>
        <v>1233</v>
      </c>
      <c r="F3" s="20">
        <f t="shared" ref="F3:F12" ca="1" si="5">RANDBETWEEN(0,20)/100</f>
        <v>0.02</v>
      </c>
      <c r="G3">
        <f t="shared" ca="1" si="0"/>
        <v>6041.7</v>
      </c>
      <c r="H3" t="str">
        <f ca="1">_xlfn.XLOOKUP(B3,Products!A:A,Products!C:C,"Not Found")</f>
        <v>Clothing</v>
      </c>
      <c r="I3">
        <f ca="1">_xlfn.XLOOKUP(B3,Products!A:A,Products!E:E,"Not Found")</f>
        <v>702.81</v>
      </c>
      <c r="J3">
        <f t="shared" ca="1" si="1"/>
        <v>2527.65</v>
      </c>
    </row>
    <row r="4" spans="1:10">
      <c r="A4" t="str">
        <f t="shared" ca="1" si="2"/>
        <v>O00006</v>
      </c>
      <c r="B4" t="str">
        <f t="shared" ca="1" si="3"/>
        <v>P0010</v>
      </c>
      <c r="C4" t="str">
        <f ca="1">_xlfn.XLOOKUP(B4,Products!A:A,Products!B:B,"Not Found")</f>
        <v>Keyboard</v>
      </c>
      <c r="D4">
        <f t="shared" ca="1" si="4"/>
        <v>1</v>
      </c>
      <c r="E4">
        <f ca="1">_xlfn.XLOOKUP(B4,ProductsTable[product_id],ProductsTable[price])</f>
        <v>1233</v>
      </c>
      <c r="F4" s="20">
        <f t="shared" ca="1" si="5"/>
        <v>7.0000000000000007E-2</v>
      </c>
      <c r="G4">
        <f t="shared" ca="1" si="0"/>
        <v>1146.6899999999998</v>
      </c>
      <c r="H4" t="str">
        <f ca="1">_xlfn.XLOOKUP(B4,Products!A:A,Products!C:C,"Not Found")</f>
        <v>Clothing</v>
      </c>
      <c r="I4">
        <f ca="1">_xlfn.XLOOKUP(B4,Products!A:A,Products!E:E,"Not Found")</f>
        <v>702.81</v>
      </c>
      <c r="J4">
        <f t="shared" ca="1" si="1"/>
        <v>443.87999999999988</v>
      </c>
    </row>
    <row r="5" spans="1:10">
      <c r="A5" t="str">
        <f t="shared" ca="1" si="2"/>
        <v>O00013</v>
      </c>
      <c r="B5" t="str">
        <f t="shared" ca="1" si="3"/>
        <v>P0005</v>
      </c>
      <c r="C5" t="str">
        <f ca="1">_xlfn.XLOOKUP(B5,Products!A:A,Products!B:B,"Not Found")</f>
        <v>Backpack</v>
      </c>
      <c r="D5">
        <f t="shared" ca="1" si="4"/>
        <v>4</v>
      </c>
      <c r="E5">
        <f ca="1">_xlfn.XLOOKUP(B5,ProductsTable[product_id],ProductsTable[price])</f>
        <v>567</v>
      </c>
      <c r="F5" s="20">
        <f t="shared" ca="1" si="5"/>
        <v>0.13</v>
      </c>
      <c r="G5">
        <f t="shared" ca="1" si="0"/>
        <v>1973.16</v>
      </c>
      <c r="H5" t="str">
        <f ca="1">_xlfn.XLOOKUP(B5,Products!A:A,Products!C:C,"Not Found")</f>
        <v>Accessories</v>
      </c>
      <c r="I5">
        <f ca="1">_xlfn.XLOOKUP(B5,Products!A:A,Products!E:E,"Not Found")</f>
        <v>340.2</v>
      </c>
      <c r="J5">
        <f t="shared" ca="1" si="1"/>
        <v>612.36000000000013</v>
      </c>
    </row>
    <row r="6" spans="1:10">
      <c r="A6" t="str">
        <f t="shared" ca="1" si="2"/>
        <v>O00003</v>
      </c>
      <c r="B6" t="str">
        <f t="shared" ca="1" si="3"/>
        <v>P0005</v>
      </c>
      <c r="C6" t="str">
        <f ca="1">_xlfn.XLOOKUP(B6,Products!A:A,Products!B:B,"Not Found")</f>
        <v>Backpack</v>
      </c>
      <c r="D6">
        <f t="shared" ca="1" si="4"/>
        <v>3</v>
      </c>
      <c r="E6">
        <f ca="1">_xlfn.XLOOKUP(B6,ProductsTable[product_id],ProductsTable[price])</f>
        <v>567</v>
      </c>
      <c r="F6" s="20">
        <f t="shared" ca="1" si="5"/>
        <v>0.01</v>
      </c>
      <c r="G6">
        <f t="shared" ca="1" si="0"/>
        <v>1683.99</v>
      </c>
      <c r="H6" t="str">
        <f ca="1">_xlfn.XLOOKUP(B6,Products!A:A,Products!C:C,"Not Found")</f>
        <v>Accessories</v>
      </c>
      <c r="I6">
        <f ca="1">_xlfn.XLOOKUP(B6,Products!A:A,Products!E:E,"Not Found")</f>
        <v>340.2</v>
      </c>
      <c r="J6">
        <f t="shared" ca="1" si="1"/>
        <v>663.3900000000001</v>
      </c>
    </row>
    <row r="7" spans="1:10">
      <c r="A7" t="str">
        <f t="shared" ca="1" si="2"/>
        <v>O00014</v>
      </c>
      <c r="B7" t="str">
        <f t="shared" ca="1" si="3"/>
        <v>P0005</v>
      </c>
      <c r="C7" t="str">
        <f ca="1">_xlfn.XLOOKUP(B7,Products!A:A,Products!B:B,"Not Found")</f>
        <v>Backpack</v>
      </c>
      <c r="D7">
        <f t="shared" ca="1" si="4"/>
        <v>5</v>
      </c>
      <c r="E7">
        <f ca="1">_xlfn.XLOOKUP(B7,ProductsTable[product_id],ProductsTable[price])</f>
        <v>567</v>
      </c>
      <c r="F7" s="20">
        <f t="shared" ca="1" si="5"/>
        <v>0.08</v>
      </c>
      <c r="G7">
        <f t="shared" ca="1" si="0"/>
        <v>2608.2000000000003</v>
      </c>
      <c r="H7" t="str">
        <f ca="1">_xlfn.XLOOKUP(B7,Products!A:A,Products!C:C,"Not Found")</f>
        <v>Accessories</v>
      </c>
      <c r="I7">
        <f ca="1">_xlfn.XLOOKUP(B7,Products!A:A,Products!E:E,"Not Found")</f>
        <v>340.2</v>
      </c>
      <c r="J7">
        <f t="shared" ca="1" si="1"/>
        <v>907.20000000000027</v>
      </c>
    </row>
    <row r="8" spans="1:10">
      <c r="A8" t="str">
        <f t="shared" ca="1" si="2"/>
        <v>O00018</v>
      </c>
      <c r="B8" t="str">
        <f t="shared" ca="1" si="3"/>
        <v>P0004</v>
      </c>
      <c r="C8" t="str">
        <f ca="1">_xlfn.XLOOKUP(B8,Products!A:A,Products!B:B,"Not Found")</f>
        <v>Keyboard</v>
      </c>
      <c r="D8">
        <f t="shared" ca="1" si="4"/>
        <v>2</v>
      </c>
      <c r="E8">
        <f ca="1">_xlfn.XLOOKUP(B8,ProductsTable[product_id],ProductsTable[price])</f>
        <v>344</v>
      </c>
      <c r="F8" s="20">
        <f t="shared" ca="1" si="5"/>
        <v>0.14000000000000001</v>
      </c>
      <c r="G8">
        <f t="shared" ca="1" si="0"/>
        <v>591.67999999999995</v>
      </c>
      <c r="H8" t="str">
        <f ca="1">_xlfn.XLOOKUP(B8,Products!A:A,Products!C:C,"Not Found")</f>
        <v>Home</v>
      </c>
      <c r="I8">
        <f ca="1">_xlfn.XLOOKUP(B8,Products!A:A,Products!E:E,"Not Found")</f>
        <v>213.28</v>
      </c>
      <c r="J8">
        <f t="shared" ca="1" si="1"/>
        <v>165.11999999999995</v>
      </c>
    </row>
    <row r="9" spans="1:10">
      <c r="A9" t="str">
        <f t="shared" ca="1" si="2"/>
        <v>O00011</v>
      </c>
      <c r="B9" t="str">
        <f t="shared" ca="1" si="3"/>
        <v>P0007</v>
      </c>
      <c r="C9" t="str">
        <f ca="1">_xlfn.XLOOKUP(B9,Products!A:A,Products!B:B,"Not Found")</f>
        <v>Desk Lamp</v>
      </c>
      <c r="D9">
        <f t="shared" ca="1" si="4"/>
        <v>3</v>
      </c>
      <c r="E9">
        <f ca="1">_xlfn.XLOOKUP(B9,ProductsTable[product_id],ProductsTable[price])</f>
        <v>789</v>
      </c>
      <c r="F9" s="20">
        <f t="shared" ca="1" si="5"/>
        <v>0.05</v>
      </c>
      <c r="G9">
        <f t="shared" ca="1" si="0"/>
        <v>2248.65</v>
      </c>
      <c r="H9" t="str">
        <f ca="1">_xlfn.XLOOKUP(B9,Products!A:A,Products!C:C,"Not Found")</f>
        <v>Home</v>
      </c>
      <c r="I9">
        <f ca="1">_xlfn.XLOOKUP(B9,Products!A:A,Products!E:E,"Not Found")</f>
        <v>504.96</v>
      </c>
      <c r="J9">
        <f t="shared" ca="1" si="1"/>
        <v>733.77000000000021</v>
      </c>
    </row>
    <row r="10" spans="1:10">
      <c r="A10" t="str">
        <f t="shared" ca="1" si="2"/>
        <v>O00008</v>
      </c>
      <c r="B10" t="str">
        <f t="shared" ca="1" si="3"/>
        <v>P0004</v>
      </c>
      <c r="C10" t="str">
        <f ca="1">_xlfn.XLOOKUP(B10,Products!A:A,Products!B:B,"Not Found")</f>
        <v>Keyboard</v>
      </c>
      <c r="D10">
        <f t="shared" ca="1" si="4"/>
        <v>4</v>
      </c>
      <c r="E10">
        <f ca="1">_xlfn.XLOOKUP(B10,ProductsTable[product_id],ProductsTable[price])</f>
        <v>344</v>
      </c>
      <c r="F10" s="20">
        <f t="shared" ca="1" si="5"/>
        <v>0.2</v>
      </c>
      <c r="G10">
        <f t="shared" ca="1" si="0"/>
        <v>1100.8</v>
      </c>
      <c r="H10" t="str">
        <f ca="1">_xlfn.XLOOKUP(B10,Products!A:A,Products!C:C,"Not Found")</f>
        <v>Home</v>
      </c>
      <c r="I10">
        <f ca="1">_xlfn.XLOOKUP(B10,Products!A:A,Products!E:E,"Not Found")</f>
        <v>213.28</v>
      </c>
      <c r="J10">
        <f t="shared" ca="1" si="1"/>
        <v>247.67999999999995</v>
      </c>
    </row>
    <row r="11" spans="1:10">
      <c r="A11" t="str">
        <f t="shared" ca="1" si="2"/>
        <v>O00013</v>
      </c>
      <c r="B11" t="str">
        <f t="shared" ca="1" si="3"/>
        <v>P0008</v>
      </c>
      <c r="C11" t="str">
        <f ca="1">_xlfn.XLOOKUP(B11,Products!A:A,Products!B:B,"Not Found")</f>
        <v>Water Bottle</v>
      </c>
      <c r="D11">
        <f t="shared" ca="1" si="4"/>
        <v>4</v>
      </c>
      <c r="E11">
        <f ca="1">_xlfn.XLOOKUP(B11,ProductsTable[product_id],ProductsTable[price])</f>
        <v>890</v>
      </c>
      <c r="F11" s="20">
        <f t="shared" ca="1" si="5"/>
        <v>0.18</v>
      </c>
      <c r="G11">
        <f t="shared" ca="1" si="0"/>
        <v>2919.2000000000003</v>
      </c>
      <c r="H11" t="str">
        <f ca="1">_xlfn.XLOOKUP(B11,Products!A:A,Products!C:C,"Not Found")</f>
        <v>Home</v>
      </c>
      <c r="I11">
        <f ca="1">_xlfn.XLOOKUP(B11,Products!A:A,Products!E:E,"Not Found")</f>
        <v>471.7</v>
      </c>
      <c r="J11">
        <f t="shared" ca="1" si="1"/>
        <v>1032.4000000000003</v>
      </c>
    </row>
    <row r="12" spans="1:10">
      <c r="A12" t="str">
        <f t="shared" ca="1" si="2"/>
        <v>O00011</v>
      </c>
      <c r="B12" t="str">
        <f ca="1">"P"&amp;TEXT(RANDBETWEEN(1,10),"0000")</f>
        <v>P0001</v>
      </c>
      <c r="C12" t="str">
        <f ca="1">_xlfn.XLOOKUP(B12,Products!A:A,Products!B:B,"Not Found")</f>
        <v>Wireless Mouse</v>
      </c>
      <c r="D12">
        <f t="shared" ca="1" si="4"/>
        <v>3</v>
      </c>
      <c r="E12">
        <f ca="1">_xlfn.XLOOKUP(B12,ProductsTable[product_id],ProductsTable[price])</f>
        <v>200</v>
      </c>
      <c r="F12" s="20">
        <f t="shared" ca="1" si="5"/>
        <v>0.17</v>
      </c>
      <c r="G12">
        <f t="shared" ca="1" si="0"/>
        <v>498</v>
      </c>
      <c r="H12" t="str">
        <f ca="1">_xlfn.XLOOKUP(B12,Products!A:A,Products!C:C,"Not Found")</f>
        <v>Electronics</v>
      </c>
      <c r="I12">
        <f ca="1">_xlfn.XLOOKUP(B12,Products!A:A,Products!E:E,"Not Found")</f>
        <v>118</v>
      </c>
      <c r="J12">
        <f t="shared" ca="1" si="1"/>
        <v>144</v>
      </c>
    </row>
    <row r="14" spans="1:10">
      <c r="C14">
        <f ca="1">AVERAGE(D2:D11)</f>
        <v>3.2</v>
      </c>
      <c r="E14">
        <f>COUNTIF(OrdersTable[status],"Completed")</f>
        <v>3</v>
      </c>
      <c r="F14">
        <f ca="1">SUMIF(B2:B31,"P0001",F2:F31)</f>
        <v>0.17</v>
      </c>
    </row>
    <row r="15" spans="1:10">
      <c r="C15">
        <f ca="1">MIN(D2:D11)</f>
        <v>1</v>
      </c>
    </row>
    <row r="16" spans="1:10">
      <c r="C16">
        <f ca="1">MAX(D2:D11)</f>
        <v>5</v>
      </c>
      <c r="D16">
        <f ca="1">COUNTIFS(OrdersTable[status],"Completed",OrdersTable[customer_id],"C0001")</f>
        <v>0</v>
      </c>
    </row>
    <row r="18" spans="4:4">
      <c r="D18">
        <f ca="1">SUMIFS(F2:F31,B2:B31,"P0001",E2:E31,"&gt;=10%")</f>
        <v>0.17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Products</vt:lpstr>
      <vt:lpstr>Orders</vt:lpstr>
      <vt:lpstr>Sheet2</vt:lpstr>
      <vt:lpstr>Sheet1</vt:lpstr>
      <vt:lpstr>Sheet7</vt:lpstr>
      <vt:lpstr>Product_Summary</vt:lpstr>
      <vt:lpstr>Sheet9</vt:lpstr>
      <vt:lpstr>Order_Items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Pranjul Singh</dc:creator>
  <cp:lastModifiedBy>Pranjul Singh</cp:lastModifiedBy>
  <dcterms:created xsi:type="dcterms:W3CDTF">2026-10-08T17:22:11Z</dcterms:created>
  <dcterms:modified xsi:type="dcterms:W3CDTF">2026-10-11T10:24:13Z</dcterms:modified>
</cp:coreProperties>
</file>